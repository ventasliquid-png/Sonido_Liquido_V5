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2026-02" sheetId="1" state="visible" r:id="rId1"/>
    <sheet xmlns:r="http://schemas.openxmlformats.org/officeDocument/2006/relationships" name="2025-05" sheetId="2" state="visible" r:id="rId2"/>
    <sheet xmlns:r="http://schemas.openxmlformats.org/officeDocument/2006/relationships" name="2024-05" sheetId="3" state="visible" r:id="rId3"/>
    <sheet xmlns:r="http://schemas.openxmlformats.org/officeDocument/2006/relationships" name="2024-01" sheetId="4" state="visible" r:id="rId4"/>
    <sheet xmlns:r="http://schemas.openxmlformats.org/officeDocument/2006/relationships" name="2023-11 " sheetId="5" state="visible" r:id="rId5"/>
    <sheet xmlns:r="http://schemas.openxmlformats.org/officeDocument/2006/relationships" name="2023-10" sheetId="6" state="visible" r:id="rId6"/>
    <sheet xmlns:r="http://schemas.openxmlformats.org/officeDocument/2006/relationships" name="2023-08" sheetId="7" state="visible" r:id="rId7"/>
    <sheet xmlns:r="http://schemas.openxmlformats.org/officeDocument/2006/relationships" name="2023-09 Dólares" sheetId="8" state="visible" r:id="rId8"/>
    <sheet xmlns:r="http://schemas.openxmlformats.org/officeDocument/2006/relationships" name="2023-07" sheetId="9" state="visible" r:id="rId9"/>
    <sheet xmlns:r="http://schemas.openxmlformats.org/officeDocument/2006/relationships" name="2023-06" sheetId="10" state="visible" r:id="rId10"/>
    <sheet xmlns:r="http://schemas.openxmlformats.org/officeDocument/2006/relationships" name="Mayo 23" sheetId="11" state="visible" r:id="rId11"/>
    <sheet xmlns:r="http://schemas.openxmlformats.org/officeDocument/2006/relationships" name="MArzo 23" sheetId="12" state="visible" r:id="rId12"/>
    <sheet xmlns:r="http://schemas.openxmlformats.org/officeDocument/2006/relationships" name="Febrero 23" sheetId="13" state="visible" r:id="rId13"/>
    <sheet xmlns:r="http://schemas.openxmlformats.org/officeDocument/2006/relationships" name="2023-01" sheetId="14" state="visible" r:id="rId14"/>
    <sheet xmlns:r="http://schemas.openxmlformats.org/officeDocument/2006/relationships" name="Diciembre 22" sheetId="15" state="visible" r:id="rId15"/>
    <sheet xmlns:r="http://schemas.openxmlformats.org/officeDocument/2006/relationships" name="NOVIEMBRE 22 B" sheetId="16" state="visible" r:id="rId16"/>
    <sheet xmlns:r="http://schemas.openxmlformats.org/officeDocument/2006/relationships" name="nOVIEMBRE 22 a" sheetId="17" state="visible" r:id="rId17"/>
    <sheet xmlns:r="http://schemas.openxmlformats.org/officeDocument/2006/relationships" name="Octubre 22" sheetId="18" state="visible" r:id="rId18"/>
    <sheet xmlns:r="http://schemas.openxmlformats.org/officeDocument/2006/relationships" name="Agosto 22" sheetId="19" state="visible" r:id="rId19"/>
    <sheet xmlns:r="http://schemas.openxmlformats.org/officeDocument/2006/relationships" name="Septiembre 22" sheetId="20" state="visible" r:id="rId20"/>
    <sheet xmlns:r="http://schemas.openxmlformats.org/officeDocument/2006/relationships" name="Listas vieja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 $]#,##0.00"/>
    <numFmt numFmtId="165" formatCode="d&quot; de &quot;mmmm&quot; de &quot;yyyy"/>
    <numFmt numFmtId="166" formatCode="dd&quot; de &quot;mmmm&quot; de &quot;yyyy"/>
    <numFmt numFmtId="167" formatCode="$ #,##0.00"/>
  </numFmts>
  <fonts count="25">
    <font>
      <name val="Arial"/>
      <color rgb="FF000000"/>
      <sz val="10"/>
      <scheme val="minor"/>
    </font>
    <font>
      <name val="Arial"/>
      <b val="1"/>
      <color rgb="FF000000"/>
    </font>
    <font>
      <name val="Arial"/>
      <color rgb="FF3366FF"/>
    </font>
    <font>
      <name val="Arial"/>
      <color rgb="FF000000"/>
    </font>
    <font>
      <name val="Arial"/>
      <b val="1"/>
      <color rgb="FF800000"/>
      <sz val="12"/>
    </font>
    <font>
      <name val="Arial"/>
      <b val="1"/>
      <i val="1"/>
      <color rgb="FF000000"/>
    </font>
    <font>
      <name val="Arial"/>
      <color theme="1"/>
    </font>
    <font>
      <name val="Arial"/>
      <color theme="1"/>
      <scheme val="minor"/>
    </font>
    <font/>
    <font>
      <name val="Arial"/>
      <b val="1"/>
      <color rgb="FF000000"/>
      <sz val="9"/>
    </font>
    <font>
      <name val="Arial"/>
      <color rgb="FF000000"/>
      <sz val="9"/>
    </font>
    <font>
      <name val="Arial"/>
      <b val="1"/>
      <color theme="1"/>
      <sz val="11"/>
      <scheme val="minor"/>
    </font>
    <font>
      <name val="Arial"/>
      <b val="1"/>
      <color theme="1"/>
    </font>
    <font>
      <name val="Arial"/>
      <b val="1"/>
      <i val="1"/>
      <color theme="1"/>
    </font>
    <font>
      <name val="Inconsolata"/>
      <color rgb="FF1155CC"/>
      <sz val="11"/>
    </font>
    <font>
      <name val="Arial"/>
      <b val="1"/>
      <color theme="1"/>
      <sz val="9"/>
    </font>
    <font>
      <name val="Arial"/>
      <color theme="1"/>
      <sz val="9"/>
    </font>
    <font>
      <name val="Arial"/>
      <b val="1"/>
      <color rgb="FFFF0000"/>
      <sz val="11"/>
      <scheme val="minor"/>
    </font>
    <font>
      <name val="Inconsolata"/>
      <b val="1"/>
      <color rgb="FF1155CC"/>
      <sz val="11"/>
    </font>
    <font>
      <name val="Arial"/>
      <b val="1"/>
      <color theme="4"/>
      <sz val="12"/>
      <scheme val="minor"/>
    </font>
    <font>
      <name val="Calibri"/>
      <color rgb="FF000000"/>
      <sz val="11"/>
    </font>
    <font>
      <b val="1"/>
    </font>
    <font>
      <b val="1"/>
      <sz val="12"/>
    </font>
    <font>
      <b val="1"/>
      <color rgb="00FF0000"/>
    </font>
    <font>
      <b val="1"/>
      <i val="1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D9AC"/>
        <bgColor rgb="FFF7D9AC"/>
      </patternFill>
    </fill>
    <fill>
      <patternFill patternType="solid">
        <fgColor rgb="FFFFF2CC"/>
        <bgColor rgb="FFFFF2CC"/>
      </patternFill>
    </fill>
    <fill>
      <patternFill patternType="solid">
        <fgColor rgb="FFC5BE97"/>
        <bgColor rgb="FFC5BE97"/>
      </patternFill>
    </fill>
    <fill>
      <patternFill patternType="solid">
        <fgColor theme="0"/>
        <bgColor theme="0"/>
      </patternFill>
    </fill>
    <fill>
      <patternFill patternType="solid">
        <fgColor rgb="FFC4BD97"/>
        <bgColor rgb="FFC4BD97"/>
      </patternFill>
    </fill>
  </fills>
  <borders count="13">
    <border/>
    <border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27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165" fontId="4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3" fillId="0" borderId="0" applyAlignment="1" pivotButton="0" quotePrefix="0" xfId="0">
      <alignment vertical="bottom"/>
    </xf>
    <xf numFmtId="164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bottom"/>
    </xf>
    <xf numFmtId="0" fontId="3" fillId="2" borderId="0" applyAlignment="1" pivotButton="0" quotePrefix="0" xfId="0">
      <alignment vertical="bottom"/>
    </xf>
    <xf numFmtId="0" fontId="1" fillId="0" borderId="1" applyAlignment="1" pivotButton="0" quotePrefix="0" xfId="0">
      <alignment horizontal="left" vertical="bottom"/>
    </xf>
    <xf numFmtId="164" fontId="5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164" fontId="3" fillId="0" borderId="0" applyAlignment="1" pivotButton="0" quotePrefix="0" xfId="0">
      <alignment horizontal="right" vertical="bottom"/>
    </xf>
    <xf numFmtId="0" fontId="3" fillId="2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164" fontId="6" fillId="0" borderId="0" applyAlignment="1" pivotButton="0" quotePrefix="0" xfId="0">
      <alignment horizontal="right" vertical="bottom"/>
    </xf>
    <xf numFmtId="164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right" vertical="bottom"/>
    </xf>
    <xf numFmtId="0" fontId="3" fillId="0" borderId="2" applyAlignment="1" pivotButton="0" quotePrefix="0" xfId="0">
      <alignment horizontal="right" vertical="bottom"/>
    </xf>
    <xf numFmtId="10" fontId="3" fillId="2" borderId="0" applyAlignment="1" pivotButton="0" quotePrefix="0" xfId="0">
      <alignment horizontal="right" vertical="bottom"/>
    </xf>
    <xf numFmtId="0" fontId="3" fillId="0" borderId="3" applyAlignment="1" pivotButton="0" quotePrefix="0" xfId="0">
      <alignment horizontal="right" vertical="bottom"/>
    </xf>
    <xf numFmtId="0" fontId="1" fillId="0" borderId="0" applyAlignment="1" pivotButton="0" quotePrefix="0" xfId="0">
      <alignment horizontal="left" vertical="bottom"/>
    </xf>
    <xf numFmtId="0" fontId="3" fillId="3" borderId="0" applyAlignment="1" pivotButton="0" quotePrefix="0" xfId="0">
      <alignment horizontal="center" vertical="bottom"/>
    </xf>
    <xf numFmtId="0" fontId="3" fillId="3" borderId="0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164" fontId="3" fillId="3" borderId="0" applyAlignment="1" pivotButton="0" quotePrefix="0" xfId="0">
      <alignment horizontal="right" vertical="bottom"/>
    </xf>
    <xf numFmtId="0" fontId="3" fillId="3" borderId="0" applyAlignment="1" pivotButton="0" quotePrefix="0" xfId="0">
      <alignment horizontal="right" vertical="bottom"/>
    </xf>
    <xf numFmtId="0" fontId="3" fillId="3" borderId="2" applyAlignment="1" pivotButton="0" quotePrefix="0" xfId="0">
      <alignment horizontal="right" vertical="bottom"/>
    </xf>
    <xf numFmtId="0" fontId="3" fillId="3" borderId="0" applyAlignment="1" pivotButton="0" quotePrefix="0" xfId="0">
      <alignment horizontal="center" vertical="bottom"/>
    </xf>
    <xf numFmtId="10" fontId="3" fillId="3" borderId="0" applyAlignment="1" pivotButton="0" quotePrefix="0" xfId="0">
      <alignment horizontal="right" vertical="bottom"/>
    </xf>
    <xf numFmtId="0" fontId="7" fillId="3" borderId="0" pivotButton="0" quotePrefix="0" xfId="0"/>
    <xf numFmtId="0" fontId="3" fillId="2" borderId="0" applyAlignment="1" pivotButton="0" quotePrefix="0" xfId="0">
      <alignment horizontal="center" vertical="bottom"/>
    </xf>
    <xf numFmtId="0" fontId="8" fillId="0" borderId="1" pivotButton="0" quotePrefix="0" xfId="0"/>
    <xf numFmtId="0" fontId="1" fillId="2" borderId="0" applyAlignment="1" pivotButton="0" quotePrefix="0" xfId="0">
      <alignment vertical="bottom"/>
    </xf>
    <xf numFmtId="0" fontId="3" fillId="4" borderId="0" applyAlignment="1" pivotButton="0" quotePrefix="0" xfId="0">
      <alignment horizontal="center" vertical="bottom"/>
    </xf>
    <xf numFmtId="0" fontId="3" fillId="4" borderId="0" applyAlignment="1" pivotButton="0" quotePrefix="0" xfId="0">
      <alignment vertical="bottom"/>
    </xf>
    <xf numFmtId="0" fontId="1" fillId="0" borderId="4" applyAlignment="1" pivotButton="0" quotePrefix="0" xfId="0">
      <alignment horizontal="left" vertical="bottom"/>
    </xf>
    <xf numFmtId="0" fontId="8" fillId="0" borderId="4" pivotButton="0" quotePrefix="0" xfId="0"/>
    <xf numFmtId="0" fontId="3" fillId="2" borderId="2" applyAlignment="1" pivotButton="0" quotePrefix="0" xfId="0">
      <alignment horizontal="center" vertical="bottom"/>
    </xf>
    <xf numFmtId="0" fontId="3" fillId="2" borderId="5" applyAlignment="1" pivotButton="0" quotePrefix="0" xfId="0">
      <alignment vertical="bottom"/>
    </xf>
    <xf numFmtId="0" fontId="3" fillId="2" borderId="5" applyAlignment="1" pivotButton="0" quotePrefix="0" xfId="0">
      <alignment vertical="bottom"/>
    </xf>
    <xf numFmtId="164" fontId="3" fillId="2" borderId="5" applyAlignment="1" pivotButton="0" quotePrefix="0" xfId="0">
      <alignment horizontal="right" vertical="bottom"/>
    </xf>
    <xf numFmtId="0" fontId="3" fillId="2" borderId="3" applyAlignment="1" pivotButton="0" quotePrefix="0" xfId="0">
      <alignment horizontal="center" vertical="bottom"/>
    </xf>
    <xf numFmtId="0" fontId="3" fillId="2" borderId="6" applyAlignment="1" pivotButton="0" quotePrefix="0" xfId="0">
      <alignment vertical="bottom"/>
    </xf>
    <xf numFmtId="0" fontId="3" fillId="2" borderId="6" applyAlignment="1" pivotButton="0" quotePrefix="0" xfId="0">
      <alignment vertical="bottom"/>
    </xf>
    <xf numFmtId="164" fontId="3" fillId="2" borderId="6" applyAlignment="1" pivotButton="0" quotePrefix="0" xfId="0">
      <alignment horizontal="right" vertical="bottom"/>
    </xf>
    <xf numFmtId="0" fontId="3" fillId="5" borderId="0" applyAlignment="1" pivotButton="0" quotePrefix="0" xfId="0">
      <alignment vertical="bottom"/>
    </xf>
    <xf numFmtId="164" fontId="3" fillId="5" borderId="0" applyAlignment="1" pivotButton="0" quotePrefix="0" xfId="0">
      <alignment horizontal="right" vertical="bottom"/>
    </xf>
    <xf numFmtId="0" fontId="3" fillId="5" borderId="0" applyAlignment="1" pivotButton="0" quotePrefix="0" xfId="0">
      <alignment vertical="bottom"/>
    </xf>
    <xf numFmtId="164" fontId="1" fillId="5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left" vertical="bottom"/>
    </xf>
    <xf numFmtId="10" fontId="3" fillId="2" borderId="0" applyAlignment="1" pivotButton="0" quotePrefix="0" xfId="0">
      <alignment horizontal="left" vertical="bottom"/>
    </xf>
    <xf numFmtId="0" fontId="1" fillId="0" borderId="1" applyAlignment="1" pivotButton="0" quotePrefix="0" xfId="0">
      <alignment vertical="bottom"/>
    </xf>
    <xf numFmtId="164" fontId="3" fillId="4" borderId="0" applyAlignment="1" pivotButton="0" quotePrefix="0" xfId="0">
      <alignment horizontal="right" vertical="bottom"/>
    </xf>
    <xf numFmtId="0" fontId="3" fillId="4" borderId="0" applyAlignment="1" pivotButton="0" quotePrefix="0" xfId="0">
      <alignment vertical="bottom"/>
    </xf>
    <xf numFmtId="0" fontId="3" fillId="4" borderId="0" applyAlignment="1" pivotButton="0" quotePrefix="0" xfId="0">
      <alignment horizontal="right" vertical="bottom"/>
    </xf>
    <xf numFmtId="0" fontId="3" fillId="4" borderId="2" applyAlignment="1" pivotButton="0" quotePrefix="0" xfId="0">
      <alignment horizontal="right" vertical="bottom"/>
    </xf>
    <xf numFmtId="0" fontId="3" fillId="4" borderId="0" applyAlignment="1" pivotButton="0" quotePrefix="0" xfId="0">
      <alignment horizontal="center" vertical="bottom"/>
    </xf>
    <xf numFmtId="10" fontId="3" fillId="4" borderId="0" applyAlignment="1" pivotButton="0" quotePrefix="0" xfId="0">
      <alignment horizontal="right" vertical="bottom"/>
    </xf>
    <xf numFmtId="0" fontId="3" fillId="4" borderId="3" applyAlignment="1" pivotButton="0" quotePrefix="0" xfId="0">
      <alignment horizontal="right" vertical="bottom"/>
    </xf>
    <xf numFmtId="166" fontId="4" fillId="0" borderId="0" applyAlignment="1" pivotButton="0" quotePrefix="0" xfId="0">
      <alignment horizontal="right" vertical="bottom"/>
    </xf>
    <xf numFmtId="0" fontId="4" fillId="2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64" fontId="3" fillId="0" borderId="2" applyAlignment="1" pivotButton="0" quotePrefix="0" xfId="0">
      <alignment horizontal="right" vertical="bottom"/>
    </xf>
    <xf numFmtId="164" fontId="3" fillId="0" borderId="3" applyAlignment="1" pivotButton="0" quotePrefix="0" xfId="0">
      <alignment horizontal="right" vertical="bottom"/>
    </xf>
    <xf numFmtId="0" fontId="1" fillId="5" borderId="0" applyAlignment="1" pivotButton="0" quotePrefix="0" xfId="0">
      <alignment horizontal="left" vertical="bottom"/>
    </xf>
    <xf numFmtId="0" fontId="1" fillId="0" borderId="2" applyAlignment="1" pivotButton="0" quotePrefix="0" xfId="0">
      <alignment horizontal="right" vertical="bottom"/>
    </xf>
    <xf numFmtId="0" fontId="1" fillId="2" borderId="0" applyAlignment="1" pivotButton="0" quotePrefix="0" xfId="0">
      <alignment horizontal="center" vertical="bottom"/>
    </xf>
    <xf numFmtId="0" fontId="1" fillId="4" borderId="3" applyAlignment="1" pivotButton="0" quotePrefix="0" xfId="0">
      <alignment horizontal="right" vertical="bottom"/>
    </xf>
    <xf numFmtId="0" fontId="1" fillId="4" borderId="0" applyAlignment="1" pivotButton="0" quotePrefix="0" xfId="0">
      <alignment horizontal="center" vertical="bottom"/>
    </xf>
    <xf numFmtId="0" fontId="1" fillId="0" borderId="3" applyAlignment="1" pivotButton="0" quotePrefix="0" xfId="0">
      <alignment horizontal="right" vertical="bottom"/>
    </xf>
    <xf numFmtId="0" fontId="1" fillId="0" borderId="0" applyAlignment="1" pivotButton="0" quotePrefix="0" xfId="0">
      <alignment horizontal="center" vertical="bottom"/>
    </xf>
    <xf numFmtId="164" fontId="1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vertical="bottom"/>
    </xf>
    <xf numFmtId="0" fontId="9" fillId="2" borderId="0" applyAlignment="1" pivotButton="0" quotePrefix="0" xfId="0">
      <alignment horizontal="center" vertical="bottom"/>
    </xf>
    <xf numFmtId="10" fontId="10" fillId="2" borderId="0" applyAlignment="1" pivotButton="0" quotePrefix="0" xfId="0">
      <alignment horizontal="right" vertical="bottom"/>
    </xf>
    <xf numFmtId="0" fontId="10" fillId="0" borderId="0" applyAlignment="1" pivotButton="0" quotePrefix="0" xfId="0">
      <alignment vertical="bottom"/>
    </xf>
    <xf numFmtId="0" fontId="10" fillId="2" borderId="0" applyAlignment="1" pivotButton="0" quotePrefix="0" xfId="0">
      <alignment vertical="bottom"/>
    </xf>
    <xf numFmtId="164" fontId="7" fillId="0" borderId="0" pivotButton="0" quotePrefix="0" xfId="0"/>
    <xf numFmtId="164" fontId="7" fillId="0" borderId="0" pivotButton="0" quotePrefix="0" xfId="0"/>
    <xf numFmtId="0" fontId="7" fillId="2" borderId="0" pivotButton="0" quotePrefix="0" xfId="0"/>
    <xf numFmtId="0" fontId="3" fillId="2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64" fontId="11" fillId="0" borderId="0" applyAlignment="1" pivotButton="0" quotePrefix="0" xfId="0">
      <alignment horizontal="center"/>
    </xf>
    <xf numFmtId="0" fontId="7" fillId="0" borderId="0" pivotButton="0" quotePrefix="0" xfId="0"/>
    <xf numFmtId="164" fontId="6" fillId="0" borderId="2" applyAlignment="1" pivotButton="0" quotePrefix="0" xfId="0">
      <alignment horizontal="right" vertical="bottom"/>
    </xf>
    <xf numFmtId="164" fontId="6" fillId="0" borderId="3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164" fontId="1" fillId="0" borderId="2" applyAlignment="1" pivotButton="0" quotePrefix="0" xfId="0">
      <alignment horizontal="right" vertical="bottom"/>
    </xf>
    <xf numFmtId="164" fontId="1" fillId="0" borderId="3" applyAlignment="1" pivotButton="0" quotePrefix="0" xfId="0">
      <alignment horizontal="right" vertical="bottom"/>
    </xf>
    <xf numFmtId="164" fontId="1" fillId="4" borderId="0" applyAlignment="1" pivotButton="0" quotePrefix="0" xfId="0">
      <alignment horizontal="right" vertical="bottom"/>
    </xf>
    <xf numFmtId="0" fontId="7" fillId="0" borderId="0" pivotButton="0" quotePrefix="0" xfId="0"/>
    <xf numFmtId="0" fontId="1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6" fillId="0" borderId="0" applyAlignment="1" pivotButton="0" quotePrefix="0" xfId="0">
      <alignment vertical="bottom"/>
    </xf>
    <xf numFmtId="164" fontId="7" fillId="2" borderId="0" pivotButton="0" quotePrefix="0" xfId="0"/>
    <xf numFmtId="10" fontId="7" fillId="2" borderId="0" pivotButton="0" quotePrefix="0" xfId="0"/>
    <xf numFmtId="0" fontId="12" fillId="0" borderId="0" applyAlignment="1" pivotButton="0" quotePrefix="0" xfId="0">
      <alignment horizontal="center" vertical="bottom"/>
    </xf>
    <xf numFmtId="166" fontId="4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64" fontId="12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164" fontId="12" fillId="2" borderId="0" applyAlignment="1" pivotButton="0" quotePrefix="0" xfId="0">
      <alignment horizontal="left" vertical="bottom"/>
    </xf>
    <xf numFmtId="10" fontId="6" fillId="2" borderId="0" applyAlignment="1" pivotButton="0" quotePrefix="0" xfId="0">
      <alignment vertical="bottom"/>
    </xf>
    <xf numFmtId="0" fontId="12" fillId="0" borderId="1" applyAlignment="1" pivotButton="0" quotePrefix="0" xfId="0">
      <alignment horizontal="left" vertical="bottom"/>
    </xf>
    <xf numFmtId="164" fontId="13" fillId="0" borderId="0" applyAlignment="1" pivotButton="0" quotePrefix="0" xfId="0">
      <alignment horizontal="center" vertical="bottom"/>
    </xf>
    <xf numFmtId="164" fontId="12" fillId="2" borderId="0" applyAlignment="1" pivotButton="0" quotePrefix="0" xfId="0">
      <alignment horizontal="left" vertical="bottom"/>
    </xf>
    <xf numFmtId="10" fontId="6" fillId="2" borderId="0" applyAlignment="1" pivotButton="0" quotePrefix="0" xfId="0">
      <alignment vertical="bottom"/>
    </xf>
    <xf numFmtId="0" fontId="6" fillId="0" borderId="0" applyAlignment="1" pivotButton="0" quotePrefix="0" xfId="0">
      <alignment horizontal="center" vertical="bottom"/>
    </xf>
    <xf numFmtId="164" fontId="6" fillId="0" borderId="0" applyAlignment="1" pivotButton="0" quotePrefix="0" xfId="0">
      <alignment horizontal="right" vertical="bottom"/>
    </xf>
    <xf numFmtId="164" fontId="6" fillId="2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164" fontId="6" fillId="0" borderId="0" applyAlignment="1" pivotButton="0" quotePrefix="0" xfId="0">
      <alignment horizontal="right" vertical="bottom"/>
    </xf>
    <xf numFmtId="164" fontId="6" fillId="0" borderId="2" applyAlignment="1" pivotButton="0" quotePrefix="0" xfId="0">
      <alignment horizontal="right" vertical="bottom"/>
    </xf>
    <xf numFmtId="164" fontId="6" fillId="2" borderId="0" applyAlignment="1" pivotButton="0" quotePrefix="0" xfId="0">
      <alignment horizontal="center" vertical="bottom"/>
    </xf>
    <xf numFmtId="164" fontId="6" fillId="0" borderId="3" applyAlignment="1" pivotButton="0" quotePrefix="0" xfId="0">
      <alignment horizontal="right" vertical="bottom"/>
    </xf>
    <xf numFmtId="164" fontId="6" fillId="0" borderId="0" applyAlignment="1" pivotButton="0" quotePrefix="0" xfId="0">
      <alignment vertical="bottom"/>
    </xf>
    <xf numFmtId="0" fontId="12" fillId="0" borderId="0" applyAlignment="1" pivotButton="0" quotePrefix="0" xfId="0">
      <alignment horizontal="left" vertical="bottom"/>
    </xf>
    <xf numFmtId="10" fontId="12" fillId="2" borderId="0" applyAlignment="1" pivotButton="0" quotePrefix="0" xfId="0">
      <alignment vertical="bottom"/>
    </xf>
    <xf numFmtId="0" fontId="6" fillId="4" borderId="0" applyAlignment="1" pivotButton="0" quotePrefix="0" xfId="0">
      <alignment horizontal="center" vertical="bottom"/>
    </xf>
    <xf numFmtId="0" fontId="6" fillId="4" borderId="0" applyAlignment="1" pivotButton="0" quotePrefix="0" xfId="0">
      <alignment vertical="bottom"/>
    </xf>
    <xf numFmtId="164" fontId="6" fillId="4" borderId="0" applyAlignment="1" pivotButton="0" quotePrefix="0" xfId="0">
      <alignment horizontal="right" vertical="bottom"/>
    </xf>
    <xf numFmtId="0" fontId="6" fillId="5" borderId="0" applyAlignment="1" pivotButton="0" quotePrefix="0" xfId="0">
      <alignment vertical="bottom"/>
    </xf>
    <xf numFmtId="164" fontId="6" fillId="5" borderId="0" applyAlignment="1" pivotButton="0" quotePrefix="0" xfId="0">
      <alignment horizontal="right" vertical="bottom"/>
    </xf>
    <xf numFmtId="0" fontId="6" fillId="5" borderId="0" applyAlignment="1" pivotButton="0" quotePrefix="0" xfId="0">
      <alignment vertical="bottom"/>
    </xf>
    <xf numFmtId="164" fontId="12" fillId="5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10" fontId="6" fillId="2" borderId="0" applyAlignment="1" pivotButton="0" quotePrefix="0" xfId="0">
      <alignment horizontal="left" vertical="bottom"/>
    </xf>
    <xf numFmtId="0" fontId="12" fillId="0" borderId="1" applyAlignment="1" pivotButton="0" quotePrefix="0" xfId="0">
      <alignment vertical="bottom"/>
    </xf>
    <xf numFmtId="164" fontId="12" fillId="2" borderId="0" applyAlignment="1" pivotButton="0" quotePrefix="0" xfId="0">
      <alignment vertical="bottom"/>
    </xf>
    <xf numFmtId="164" fontId="12" fillId="2" borderId="0" applyAlignment="1" pivotButton="0" quotePrefix="0" xfId="0">
      <alignment vertical="bottom"/>
    </xf>
    <xf numFmtId="164" fontId="7" fillId="4" borderId="0" pivotButton="0" quotePrefix="0" xfId="0"/>
    <xf numFmtId="0" fontId="7" fillId="4" borderId="0" pivotButton="0" quotePrefix="0" xfId="0"/>
    <xf numFmtId="164" fontId="7" fillId="4" borderId="0" pivotButton="0" quotePrefix="0" xfId="0"/>
    <xf numFmtId="164" fontId="6" fillId="4" borderId="2" applyAlignment="1" pivotButton="0" quotePrefix="0" xfId="0">
      <alignment horizontal="right" vertical="bottom"/>
    </xf>
    <xf numFmtId="164" fontId="6" fillId="4" borderId="0" applyAlignment="1" pivotButton="0" quotePrefix="0" xfId="0">
      <alignment horizontal="center" vertical="bottom"/>
    </xf>
    <xf numFmtId="10" fontId="6" fillId="4" borderId="0" applyAlignment="1" pivotButton="0" quotePrefix="0" xfId="0">
      <alignment vertical="bottom"/>
    </xf>
    <xf numFmtId="164" fontId="6" fillId="4" borderId="3" applyAlignment="1" pivotButton="0" quotePrefix="0" xfId="0">
      <alignment horizontal="right" vertical="bottom"/>
    </xf>
    <xf numFmtId="164" fontId="6" fillId="4" borderId="0" applyAlignment="1" pivotButton="0" quotePrefix="0" xfId="0">
      <alignment horizontal="center" vertical="bottom"/>
    </xf>
    <xf numFmtId="10" fontId="4" fillId="2" borderId="0" applyAlignment="1" pivotButton="0" quotePrefix="0" xfId="0">
      <alignment vertical="bottom"/>
    </xf>
    <xf numFmtId="164" fontId="14" fillId="2" borderId="0" pivotButton="0" quotePrefix="0" xfId="0"/>
    <xf numFmtId="0" fontId="4" fillId="0" borderId="0" applyAlignment="1" pivotButton="0" quotePrefix="0" xfId="0">
      <alignment vertical="bottom"/>
    </xf>
    <xf numFmtId="10" fontId="4" fillId="2" borderId="0" applyAlignment="1" pivotButton="0" quotePrefix="0" xfId="0">
      <alignment vertical="bottom"/>
    </xf>
    <xf numFmtId="0" fontId="12" fillId="5" borderId="0" applyAlignment="1" pivotButton="0" quotePrefix="0" xfId="0">
      <alignment horizontal="left" vertical="bottom"/>
    </xf>
    <xf numFmtId="0" fontId="6" fillId="5" borderId="0" applyAlignment="1" pivotButton="0" quotePrefix="0" xfId="0">
      <alignment vertical="bottom"/>
    </xf>
    <xf numFmtId="164" fontId="12" fillId="0" borderId="0" applyAlignment="1" pivotButton="0" quotePrefix="0" xfId="0">
      <alignment horizontal="right" vertical="bottom"/>
    </xf>
    <xf numFmtId="164" fontId="12" fillId="0" borderId="2" applyAlignment="1" pivotButton="0" quotePrefix="0" xfId="0">
      <alignment horizontal="right" vertical="bottom"/>
    </xf>
    <xf numFmtId="164" fontId="12" fillId="2" borderId="0" applyAlignment="1" pivotButton="0" quotePrefix="0" xfId="0">
      <alignment horizontal="center" vertical="bottom"/>
    </xf>
    <xf numFmtId="164" fontId="12" fillId="4" borderId="3" applyAlignment="1" pivotButton="0" quotePrefix="0" xfId="0">
      <alignment horizontal="right" vertical="bottom"/>
    </xf>
    <xf numFmtId="164" fontId="12" fillId="4" borderId="0" applyAlignment="1" pivotButton="0" quotePrefix="0" xfId="0">
      <alignment horizontal="center" vertical="bottom"/>
    </xf>
    <xf numFmtId="164" fontId="12" fillId="4" borderId="0" applyAlignment="1" pivotButton="0" quotePrefix="0" xfId="0">
      <alignment horizontal="right" vertical="bottom"/>
    </xf>
    <xf numFmtId="164" fontId="12" fillId="0" borderId="3" applyAlignment="1" pivotButton="0" quotePrefix="0" xfId="0">
      <alignment horizontal="right" vertical="bottom"/>
    </xf>
    <xf numFmtId="164" fontId="12" fillId="0" borderId="0" applyAlignment="1" pivotButton="0" quotePrefix="0" xfId="0">
      <alignment horizontal="right" vertical="bottom"/>
    </xf>
    <xf numFmtId="164" fontId="12" fillId="2" borderId="0" applyAlignment="1" pivotButton="0" quotePrefix="0" xfId="0">
      <alignment horizontal="center" vertical="bottom"/>
    </xf>
    <xf numFmtId="0" fontId="12" fillId="5" borderId="0" applyAlignment="1" pivotButton="0" quotePrefix="0" xfId="0">
      <alignment horizontal="left"/>
    </xf>
    <xf numFmtId="164" fontId="12" fillId="5" borderId="0" applyAlignment="1" pivotButton="0" quotePrefix="0" xfId="0">
      <alignment horizontal="right" vertical="bottom"/>
    </xf>
    <xf numFmtId="164" fontId="12" fillId="2" borderId="0" applyAlignment="1" pivotButton="0" quotePrefix="0" xfId="0">
      <alignment horizontal="left"/>
    </xf>
    <xf numFmtId="0" fontId="15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vertical="bottom"/>
    </xf>
    <xf numFmtId="164" fontId="15" fillId="2" borderId="0" applyAlignment="1" pivotButton="0" quotePrefix="0" xfId="0">
      <alignment horizontal="center" vertical="bottom"/>
    </xf>
    <xf numFmtId="10" fontId="16" fillId="2" borderId="0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164" fontId="6" fillId="2" borderId="0" applyAlignment="1" pivotButton="0" quotePrefix="0" xfId="0">
      <alignment vertical="bottom"/>
    </xf>
    <xf numFmtId="10" fontId="16" fillId="2" borderId="0" applyAlignment="1" pivotButton="0" quotePrefix="0" xfId="0">
      <alignment vertical="bottom"/>
    </xf>
    <xf numFmtId="0" fontId="12" fillId="0" borderId="4" applyAlignment="1" pivotButton="0" quotePrefix="0" xfId="0">
      <alignment vertical="bottom"/>
    </xf>
    <xf numFmtId="0" fontId="6" fillId="0" borderId="4" applyAlignment="1" pivotButton="0" quotePrefix="0" xfId="0">
      <alignment vertical="bottom"/>
    </xf>
    <xf numFmtId="0" fontId="12" fillId="0" borderId="7" applyAlignment="1" pivotButton="0" quotePrefix="0" xfId="0">
      <alignment vertical="bottom"/>
    </xf>
    <xf numFmtId="0" fontId="8" fillId="0" borderId="7" pivotButton="0" quotePrefix="0" xfId="0"/>
    <xf numFmtId="0" fontId="6" fillId="3" borderId="0" applyAlignment="1" pivotButton="0" quotePrefix="0" xfId="0">
      <alignment horizontal="center" vertical="bottom"/>
    </xf>
    <xf numFmtId="0" fontId="6" fillId="3" borderId="0" applyAlignment="1" pivotButton="0" quotePrefix="0" xfId="0">
      <alignment vertical="bottom"/>
    </xf>
    <xf numFmtId="164" fontId="6" fillId="3" borderId="0" applyAlignment="1" pivotButton="0" quotePrefix="0" xfId="0">
      <alignment horizontal="right" vertical="bottom"/>
    </xf>
    <xf numFmtId="0" fontId="17" fillId="0" borderId="0" pivotButton="0" quotePrefix="0" xfId="0"/>
    <xf numFmtId="0" fontId="12" fillId="0" borderId="0" applyAlignment="1" pivotButton="0" quotePrefix="0" xfId="0">
      <alignment horizontal="center" vertical="bottom"/>
    </xf>
    <xf numFmtId="164" fontId="18" fillId="2" borderId="0" pivotButton="0" quotePrefix="0" xfId="0"/>
    <xf numFmtId="0" fontId="13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right" vertical="bottom"/>
    </xf>
    <xf numFmtId="0" fontId="6" fillId="5" borderId="0" applyAlignment="1" pivotButton="0" quotePrefix="0" xfId="0">
      <alignment horizontal="right" vertical="bottom"/>
    </xf>
    <xf numFmtId="0" fontId="12" fillId="5" borderId="0" applyAlignment="1" pivotButton="0" quotePrefix="0" xfId="0">
      <alignment horizontal="right" vertical="bottom"/>
    </xf>
    <xf numFmtId="164" fontId="6" fillId="5" borderId="4" applyAlignment="1" pivotButton="0" quotePrefix="0" xfId="0">
      <alignment horizontal="right" vertical="bottom"/>
    </xf>
    <xf numFmtId="0" fontId="7" fillId="3" borderId="0" pivotButton="0" quotePrefix="0" xfId="0"/>
    <xf numFmtId="164" fontId="7" fillId="3" borderId="0" pivotButton="0" quotePrefix="0" xfId="0"/>
    <xf numFmtId="0" fontId="12" fillId="0" borderId="0" applyAlignment="1" pivotButton="0" quotePrefix="0" xfId="0">
      <alignment horizontal="right" vertical="bottom"/>
    </xf>
    <xf numFmtId="164" fontId="12" fillId="0" borderId="4" applyAlignment="1" pivotButton="0" quotePrefix="0" xfId="0">
      <alignment horizontal="right" vertical="bottom"/>
    </xf>
    <xf numFmtId="0" fontId="12" fillId="5" borderId="0" applyAlignment="1" pivotButton="0" quotePrefix="0" xfId="0">
      <alignment horizontal="right" vertical="bottom"/>
    </xf>
    <xf numFmtId="164" fontId="12" fillId="5" borderId="4" applyAlignment="1" pivotButton="0" quotePrefix="0" xfId="0">
      <alignment horizontal="right" vertical="bottom"/>
    </xf>
    <xf numFmtId="164" fontId="6" fillId="4" borderId="3" applyAlignment="1" pivotButton="0" quotePrefix="0" xfId="0">
      <alignment horizontal="right" vertical="bottom"/>
    </xf>
    <xf numFmtId="0" fontId="6" fillId="0" borderId="0" applyAlignment="1" pivotButton="0" quotePrefix="0" xfId="0">
      <alignment horizontal="right" vertical="bottom"/>
    </xf>
    <xf numFmtId="9" fontId="13" fillId="0" borderId="0" applyAlignment="1" pivotButton="0" quotePrefix="0" xfId="0">
      <alignment horizontal="center" vertical="bottom"/>
    </xf>
    <xf numFmtId="164" fontId="6" fillId="0" borderId="5" applyAlignment="1" pivotButton="0" quotePrefix="0" xfId="0">
      <alignment horizontal="right" vertical="bottom"/>
    </xf>
    <xf numFmtId="164" fontId="6" fillId="0" borderId="6" applyAlignment="1" pivotButton="0" quotePrefix="0" xfId="0">
      <alignment horizontal="right" vertical="bottom"/>
    </xf>
    <xf numFmtId="164" fontId="6" fillId="0" borderId="3" applyAlignment="1" pivotButton="0" quotePrefix="0" xfId="0">
      <alignment horizontal="right" vertical="bottom"/>
    </xf>
    <xf numFmtId="164" fontId="6" fillId="0" borderId="6" applyAlignment="1" pivotButton="0" quotePrefix="0" xfId="0">
      <alignment horizontal="right" vertical="bottom"/>
    </xf>
    <xf numFmtId="164" fontId="6" fillId="0" borderId="5" applyAlignment="1" pivotButton="0" quotePrefix="0" xfId="0">
      <alignment horizontal="right" vertical="bottom"/>
    </xf>
    <xf numFmtId="164" fontId="6" fillId="3" borderId="6" applyAlignment="1" pivotButton="0" quotePrefix="0" xfId="0">
      <alignment horizontal="right" vertical="bottom"/>
    </xf>
    <xf numFmtId="164" fontId="6" fillId="3" borderId="5" applyAlignment="1" pivotButton="0" quotePrefix="0" xfId="0">
      <alignment horizontal="right" vertical="bottom"/>
    </xf>
    <xf numFmtId="164" fontId="12" fillId="0" borderId="6" applyAlignment="1" pivotButton="0" quotePrefix="0" xfId="0">
      <alignment horizontal="right" vertical="bottom"/>
    </xf>
    <xf numFmtId="165" fontId="4" fillId="0" borderId="0" applyAlignment="1" pivotButton="0" quotePrefix="0" xfId="0">
      <alignment horizontal="right" vertical="bottom"/>
    </xf>
    <xf numFmtId="0" fontId="19" fillId="0" borderId="0" pivotButton="0" quotePrefix="0" xfId="0"/>
    <xf numFmtId="164" fontId="6" fillId="0" borderId="0" applyAlignment="1" pivotButton="0" quotePrefix="0" xfId="0">
      <alignment vertical="bottom"/>
    </xf>
    <xf numFmtId="164" fontId="12" fillId="0" borderId="0" applyAlignment="1" pivotButton="0" quotePrefix="0" xfId="0">
      <alignment horizontal="center" vertical="bottom"/>
    </xf>
    <xf numFmtId="0" fontId="6" fillId="0" borderId="2" applyAlignment="1" pivotButton="0" quotePrefix="0" xfId="0">
      <alignment horizontal="right" vertical="bottom"/>
    </xf>
    <xf numFmtId="164" fontId="6" fillId="0" borderId="0" applyAlignment="1" pivotButton="0" quotePrefix="0" xfId="0">
      <alignment vertical="bottom"/>
    </xf>
    <xf numFmtId="0" fontId="6" fillId="0" borderId="5" applyAlignment="1" pivotButton="0" quotePrefix="0" xfId="0">
      <alignment horizontal="right" vertical="bottom"/>
    </xf>
    <xf numFmtId="0" fontId="6" fillId="0" borderId="3" applyAlignment="1" pivotButton="0" quotePrefix="0" xfId="0">
      <alignment horizontal="right" vertical="bottom"/>
    </xf>
    <xf numFmtId="164" fontId="20" fillId="6" borderId="0" applyAlignment="1" pivotButton="0" quotePrefix="0" xfId="0">
      <alignment vertical="bottom"/>
    </xf>
    <xf numFmtId="164" fontId="20" fillId="6" borderId="8" applyAlignment="1" pivotButton="0" quotePrefix="0" xfId="0">
      <alignment vertical="bottom"/>
    </xf>
    <xf numFmtId="164" fontId="6" fillId="6" borderId="0" applyAlignment="1" pivotButton="0" quotePrefix="0" xfId="0">
      <alignment vertical="bottom"/>
    </xf>
    <xf numFmtId="0" fontId="6" fillId="0" borderId="6" applyAlignment="1" pivotButton="0" quotePrefix="0" xfId="0">
      <alignment horizontal="right" vertical="bottom"/>
    </xf>
    <xf numFmtId="0" fontId="6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164" fontId="6" fillId="3" borderId="0" applyAlignment="1" pivotButton="0" quotePrefix="0" xfId="0">
      <alignment vertical="bottom"/>
    </xf>
    <xf numFmtId="164" fontId="20" fillId="3" borderId="8" applyAlignment="1" pivotButton="0" quotePrefix="0" xfId="0">
      <alignment vertical="bottom"/>
    </xf>
    <xf numFmtId="164" fontId="6" fillId="3" borderId="0" applyAlignment="1" pivotButton="0" quotePrefix="0" xfId="0">
      <alignment vertical="bottom"/>
    </xf>
    <xf numFmtId="164" fontId="20" fillId="3" borderId="0" applyAlignment="1" pivotButton="0" quotePrefix="0" xfId="0">
      <alignment vertical="bottom"/>
    </xf>
    <xf numFmtId="0" fontId="6" fillId="0" borderId="3" applyAlignment="1" pivotButton="0" quotePrefix="0" xfId="0">
      <alignment horizontal="right" vertical="bottom"/>
    </xf>
    <xf numFmtId="164" fontId="6" fillId="0" borderId="3" applyAlignment="1" pivotButton="0" quotePrefix="0" xfId="0">
      <alignment horizontal="right" vertical="bottom"/>
    </xf>
    <xf numFmtId="164" fontId="6" fillId="7" borderId="0" applyAlignment="1" pivotButton="0" quotePrefix="0" xfId="0">
      <alignment horizontal="right" vertical="bottom"/>
    </xf>
    <xf numFmtId="0" fontId="6" fillId="5" borderId="4" applyAlignment="1" pivotButton="0" quotePrefix="0" xfId="0">
      <alignment horizontal="right" vertical="bottom"/>
    </xf>
    <xf numFmtId="164" fontId="6" fillId="7" borderId="4" applyAlignment="1" pivotButton="0" quotePrefix="0" xfId="0">
      <alignment horizontal="right" vertical="bottom"/>
    </xf>
    <xf numFmtId="0" fontId="6" fillId="5" borderId="4" applyAlignment="1" pivotButton="0" quotePrefix="0" xfId="0">
      <alignment horizontal="right" vertical="bottom"/>
    </xf>
    <xf numFmtId="0" fontId="6" fillId="3" borderId="0" applyAlignment="1" pivotButton="0" quotePrefix="0" xfId="0">
      <alignment horizontal="left" vertical="bottom"/>
    </xf>
    <xf numFmtId="0" fontId="6" fillId="0" borderId="3" applyAlignment="1" pivotButton="0" quotePrefix="0" xfId="0">
      <alignment horizontal="right" vertical="bottom"/>
    </xf>
    <xf numFmtId="164" fontId="6" fillId="0" borderId="0" applyAlignment="1" pivotButton="0" quotePrefix="0" xfId="0">
      <alignment horizontal="right" vertical="bottom"/>
    </xf>
    <xf numFmtId="0" fontId="6" fillId="0" borderId="2" applyAlignment="1" pivotButton="0" quotePrefix="0" xfId="0">
      <alignment horizontal="right" vertical="bottom"/>
    </xf>
    <xf numFmtId="0" fontId="12" fillId="0" borderId="3" applyAlignment="1" pivotButton="0" quotePrefix="0" xfId="0">
      <alignment horizontal="right" vertical="bottom"/>
    </xf>
    <xf numFmtId="164" fontId="12" fillId="0" borderId="3" applyAlignment="1" pivotButton="0" quotePrefix="0" xfId="0">
      <alignment horizontal="right" vertical="bottom"/>
    </xf>
    <xf numFmtId="0" fontId="12" fillId="0" borderId="6" applyAlignment="1" pivotButton="0" quotePrefix="0" xfId="0">
      <alignment horizontal="right" vertical="bottom"/>
    </xf>
    <xf numFmtId="0" fontId="12" fillId="3" borderId="0" applyAlignment="1" pivotButton="0" quotePrefix="0" xfId="0">
      <alignment horizontal="center" vertical="bottom"/>
    </xf>
    <xf numFmtId="0" fontId="12" fillId="0" borderId="4" applyAlignment="1" pivotButton="0" quotePrefix="0" xfId="0">
      <alignment horizontal="right" vertical="bottom"/>
    </xf>
    <xf numFmtId="164" fontId="12" fillId="0" borderId="4" applyAlignment="1" pivotButton="0" quotePrefix="0" xfId="0">
      <alignment horizontal="right" vertical="bottom"/>
    </xf>
    <xf numFmtId="0" fontId="12" fillId="5" borderId="4" applyAlignment="1" pivotButton="0" quotePrefix="0" xfId="0">
      <alignment horizontal="right" vertical="bottom"/>
    </xf>
    <xf numFmtId="164" fontId="12" fillId="7" borderId="4" applyAlignment="1" pivotButton="0" quotePrefix="0" xfId="0">
      <alignment horizontal="right" vertical="bottom"/>
    </xf>
    <xf numFmtId="0" fontId="12" fillId="0" borderId="5" applyAlignment="1" pivotButton="0" quotePrefix="0" xfId="0">
      <alignment horizontal="right" vertical="bottom"/>
    </xf>
    <xf numFmtId="0" fontId="12" fillId="0" borderId="4" applyAlignment="1" pivotButton="0" quotePrefix="0" xfId="0">
      <alignment vertical="bottom"/>
    </xf>
    <xf numFmtId="164" fontId="4" fillId="0" borderId="0" applyAlignment="1" pivotButton="0" quotePrefix="0" xfId="0">
      <alignment horizontal="center" vertical="bottom"/>
    </xf>
    <xf numFmtId="0" fontId="12" fillId="0" borderId="2" applyAlignment="1" pivotButton="0" quotePrefix="0" xfId="0">
      <alignment horizontal="right" vertical="bottom"/>
    </xf>
    <xf numFmtId="0" fontId="6" fillId="0" borderId="7" applyAlignment="1" pivotButton="0" quotePrefix="0" xfId="0">
      <alignment horizontal="right" vertical="bottom"/>
    </xf>
    <xf numFmtId="0" fontId="6" fillId="0" borderId="4" applyAlignment="1" pivotButton="0" quotePrefix="0" xfId="0">
      <alignment horizontal="right" vertical="bottom"/>
    </xf>
    <xf numFmtId="0" fontId="6" fillId="0" borderId="4" applyAlignment="1" pivotButton="0" quotePrefix="0" xfId="0">
      <alignment horizontal="right" vertical="bottom"/>
    </xf>
    <xf numFmtId="0" fontId="6" fillId="0" borderId="7" applyAlignment="1" pivotButton="0" quotePrefix="0" xfId="0">
      <alignment horizontal="right" vertical="bottom"/>
    </xf>
    <xf numFmtId="0" fontId="12" fillId="0" borderId="4" applyAlignment="1" pivotButton="0" quotePrefix="0" xfId="0">
      <alignment horizontal="right" vertical="bottom"/>
    </xf>
    <xf numFmtId="0" fontId="6" fillId="0" borderId="5" applyAlignment="1" pivotButton="0" quotePrefix="0" xfId="0">
      <alignment horizontal="right" vertical="bottom"/>
    </xf>
    <xf numFmtId="0" fontId="6" fillId="0" borderId="6" applyAlignment="1" pivotButton="0" quotePrefix="0" xfId="0">
      <alignment horizontal="right" vertical="bottom"/>
    </xf>
    <xf numFmtId="0" fontId="6" fillId="3" borderId="2" applyAlignment="1" pivotButton="0" quotePrefix="0" xfId="0">
      <alignment horizontal="right" vertical="bottom"/>
    </xf>
    <xf numFmtId="0" fontId="6" fillId="3" borderId="5" applyAlignment="1" pivotButton="0" quotePrefix="0" xfId="0">
      <alignment horizontal="right" vertical="bottom"/>
    </xf>
    <xf numFmtId="0" fontId="6" fillId="3" borderId="5" applyAlignment="1" pivotButton="0" quotePrefix="0" xfId="0">
      <alignment horizontal="right" vertical="bottom"/>
    </xf>
    <xf numFmtId="0" fontId="6" fillId="3" borderId="3" applyAlignment="1" pivotButton="0" quotePrefix="0" xfId="0">
      <alignment horizontal="right" vertical="bottom"/>
    </xf>
    <xf numFmtId="0" fontId="6" fillId="3" borderId="6" applyAlignment="1" pivotButton="0" quotePrefix="0" xfId="0">
      <alignment horizontal="right" vertical="bottom"/>
    </xf>
    <xf numFmtId="0" fontId="6" fillId="3" borderId="6" applyAlignment="1" pivotButton="0" quotePrefix="0" xfId="0">
      <alignment horizontal="right" vertical="bottom"/>
    </xf>
    <xf numFmtId="0" fontId="6" fillId="5" borderId="9" applyAlignment="1" pivotButton="0" quotePrefix="0" xfId="0">
      <alignment horizontal="right" vertical="bottom"/>
    </xf>
    <xf numFmtId="0" fontId="6" fillId="5" borderId="6" applyAlignment="1" pivotButton="0" quotePrefix="0" xfId="0">
      <alignment horizontal="right" vertical="bottom"/>
    </xf>
    <xf numFmtId="0" fontId="12" fillId="3" borderId="3" applyAlignment="1" pivotButton="0" quotePrefix="0" xfId="0">
      <alignment horizontal="right" vertical="bottom"/>
    </xf>
    <xf numFmtId="0" fontId="12" fillId="3" borderId="6" applyAlignment="1" pivotButton="0" quotePrefix="0" xfId="0">
      <alignment horizontal="right" vertical="bottom"/>
    </xf>
    <xf numFmtId="0" fontId="12" fillId="0" borderId="6" applyAlignment="1" pivotButton="0" quotePrefix="0" xfId="0">
      <alignment horizontal="right" vertical="bottom"/>
    </xf>
    <xf numFmtId="0" fontId="12" fillId="5" borderId="6" applyAlignment="1" pivotButton="0" quotePrefix="0" xfId="0">
      <alignment horizontal="right" vertical="bottom"/>
    </xf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21" fillId="0" borderId="11" applyAlignment="1" pivotButton="0" quotePrefix="0" xfId="0">
      <alignment horizontal="center" vertical="top"/>
    </xf>
    <xf numFmtId="0" fontId="22" fillId="0" borderId="0" pivotButton="0" quotePrefix="0" xfId="0"/>
    <xf numFmtId="0" fontId="23" fillId="0" borderId="0" pivotButton="0" quotePrefix="0" xfId="0"/>
    <xf numFmtId="0" fontId="24" fillId="0" borderId="12" pivotButton="0" quotePrefix="0" xfId="0"/>
    <xf numFmtId="167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79"/>
  <sheetViews>
    <sheetView workbookViewId="0">
      <selection activeCell="A1" sqref="A1"/>
    </sheetView>
  </sheetViews>
  <sheetFormatPr baseColWidth="8" defaultRowHeight="15"/>
  <cols>
    <col width="10" customWidth="1" style="270" min="2" max="2"/>
    <col width="50" customWidth="1" style="270" min="3" max="3"/>
    <col width="15" customWidth="1" style="270" min="5" max="5"/>
    <col width="15" customWidth="1" style="270" min="6" max="6"/>
    <col width="15" customWidth="1" style="270" min="7" max="7"/>
    <col width="15" customWidth="1" style="270" min="8" max="8"/>
  </cols>
  <sheetData>
    <row r="1">
      <c r="B1" s="275" t="inlineStr">
        <is>
          <t>LISTA DE PRECIOS DE PRODUCTOS CELTRAP/JABOCON</t>
        </is>
      </c>
    </row>
    <row r="2">
      <c r="B2" t="inlineStr">
        <is>
          <t>VIGENCIA:</t>
        </is>
      </c>
      <c r="C2" s="276" t="inlineStr">
        <is>
          <t>Febrero 2026</t>
        </is>
      </c>
    </row>
    <row r="4">
      <c r="B4" s="277" t="inlineStr">
        <is>
          <t>Código</t>
        </is>
      </c>
      <c r="C4" s="277" t="inlineStr">
        <is>
          <t>Descripción</t>
        </is>
      </c>
      <c r="D4" s="277" t="n"/>
      <c r="E4" s="277" t="inlineStr">
        <is>
          <t>Costo Base</t>
        </is>
      </c>
      <c r="F4" s="277" t="inlineStr">
        <is>
          <t>Mayorista (38%)</t>
        </is>
      </c>
      <c r="G4" s="277" t="inlineStr">
        <is>
          <t>Distribuidor (/0.895)</t>
        </is>
      </c>
      <c r="H4" s="277" t="inlineStr">
        <is>
          <t>Minorista (*1.25)</t>
        </is>
      </c>
    </row>
    <row r="5">
      <c r="B5" t="n">
        <v>720</v>
      </c>
      <c r="C5" t="inlineStr">
        <is>
          <t>Bidon x 5 lts. Jabón Líquido Tocador</t>
        </is>
      </c>
      <c r="E5" s="278" t="n">
        <v>14808</v>
      </c>
      <c r="F5" s="278">
        <f>E5*1.38</f>
        <v/>
      </c>
      <c r="G5" s="278">
        <f>F5/0.895</f>
        <v/>
      </c>
      <c r="H5" s="278">
        <f>G5*1.25</f>
        <v/>
      </c>
    </row>
    <row r="6">
      <c r="B6" t="n">
        <v>901</v>
      </c>
      <c r="C6" t="inlineStr">
        <is>
          <t>Toallas Blancas Super 21x25</t>
        </is>
      </c>
      <c r="E6" s="278" t="n">
        <v>16694</v>
      </c>
      <c r="F6" s="278">
        <f>E6*1.38</f>
        <v/>
      </c>
      <c r="G6" s="278">
        <f>F6/0.895</f>
        <v/>
      </c>
      <c r="H6" s="278">
        <f>G6*1.25</f>
        <v/>
      </c>
    </row>
    <row r="7">
      <c r="B7" t="n">
        <v>902</v>
      </c>
      <c r="C7" t="inlineStr">
        <is>
          <t>Toallas Blancas Pura Simple</t>
        </is>
      </c>
      <c r="E7" s="278" t="n">
        <v>18512</v>
      </c>
      <c r="F7" s="278">
        <f>E7*1.38</f>
        <v/>
      </c>
      <c r="G7" s="278">
        <f>F7/0.895</f>
        <v/>
      </c>
      <c r="H7" s="278">
        <f>G7*1.25</f>
        <v/>
      </c>
    </row>
    <row r="8">
      <c r="B8" t="n">
        <v>903</v>
      </c>
      <c r="C8" t="inlineStr">
        <is>
          <t>Toallas Blancas Pura Doble</t>
        </is>
      </c>
      <c r="E8" s="278" t="n">
        <v>22890</v>
      </c>
      <c r="F8" s="278">
        <f>E8*1.38</f>
        <v/>
      </c>
      <c r="G8" s="278">
        <f>F8/0.895</f>
        <v/>
      </c>
      <c r="H8" s="278">
        <f>G8*1.25</f>
        <v/>
      </c>
    </row>
    <row r="9">
      <c r="B9" t="n">
        <v>914</v>
      </c>
      <c r="C9" t="inlineStr">
        <is>
          <t>Toalla Blanca Unitas (17,5x25 cm)</t>
        </is>
      </c>
      <c r="E9" s="278" t="n">
        <v>12721</v>
      </c>
      <c r="F9" s="278">
        <f>E9*1.38</f>
        <v/>
      </c>
      <c r="G9" s="278">
        <f>F9/0.895</f>
        <v/>
      </c>
      <c r="H9" s="278">
        <f>G9*1.25</f>
        <v/>
      </c>
    </row>
    <row r="10">
      <c r="B10" t="n">
        <v>916</v>
      </c>
      <c r="C10" t="inlineStr">
        <is>
          <t>Toalla Blanca Especial 21 x 25 ( tiza )</t>
        </is>
      </c>
      <c r="E10" s="278" t="n">
        <v>15572</v>
      </c>
      <c r="F10" s="278">
        <f>E10*1.38</f>
        <v/>
      </c>
      <c r="G10" s="278">
        <f>F10/0.895</f>
        <v/>
      </c>
      <c r="H10" s="278">
        <f>G10*1.25</f>
        <v/>
      </c>
    </row>
    <row r="11">
      <c r="B11" t="n">
        <v>920</v>
      </c>
      <c r="C11" t="inlineStr">
        <is>
          <t>Toalla Blanca Especial 21 x 37 ( tiza )</t>
        </is>
      </c>
      <c r="E11" s="278" t="n">
        <v>21239</v>
      </c>
      <c r="F11" s="278">
        <f>E11*1.38</f>
        <v/>
      </c>
      <c r="G11" s="278">
        <f>F11/0.895</f>
        <v/>
      </c>
      <c r="H11" s="278">
        <f>G11*1.25</f>
        <v/>
      </c>
    </row>
    <row r="12">
      <c r="B12" t="n">
        <v>927</v>
      </c>
      <c r="C12" t="inlineStr">
        <is>
          <t>Toalla Blanca Especial 17,5 x 25 ( tiza ) Unita</t>
        </is>
      </c>
      <c r="E12" s="278" t="n">
        <v>12204</v>
      </c>
      <c r="F12" s="278">
        <f>E12*1.38</f>
        <v/>
      </c>
      <c r="G12" s="278">
        <f>F12/0.895</f>
        <v/>
      </c>
      <c r="H12" s="278">
        <f>G12*1.25</f>
        <v/>
      </c>
    </row>
    <row r="13">
      <c r="B13" t="n">
        <v>928</v>
      </c>
      <c r="C13" t="inlineStr">
        <is>
          <t>Cajas x 2500 Toallas Beige 21x37</t>
        </is>
      </c>
      <c r="E13" s="278" t="n">
        <v>18010</v>
      </c>
      <c r="F13" s="278">
        <f>E13*1.38</f>
        <v/>
      </c>
      <c r="G13" s="278">
        <f>F13/0.895</f>
        <v/>
      </c>
      <c r="H13" s="278">
        <f>G13*1.25</f>
        <v/>
      </c>
    </row>
    <row r="14">
      <c r="B14" t="n">
        <v>930</v>
      </c>
      <c r="C14" t="inlineStr">
        <is>
          <t>Toalla Blanca Super 21x37 cm</t>
        </is>
      </c>
      <c r="E14" s="278" t="n">
        <v>22958</v>
      </c>
      <c r="F14" s="278">
        <f>E14*1.38</f>
        <v/>
      </c>
      <c r="G14" s="278">
        <f>F14/0.895</f>
        <v/>
      </c>
      <c r="H14" s="278">
        <f>G14*1.25</f>
        <v/>
      </c>
    </row>
    <row r="15">
      <c r="B15" t="n">
        <v>931</v>
      </c>
      <c r="C15" t="inlineStr">
        <is>
          <t>Caja x 2500 Toallas Beige Unitas 17,5 cm x 25 cm</t>
        </is>
      </c>
      <c r="E15" s="278" t="n">
        <v>11228</v>
      </c>
      <c r="F15" s="278">
        <f>E15*1.38</f>
        <v/>
      </c>
      <c r="G15" s="278">
        <f>F15/0.895</f>
        <v/>
      </c>
      <c r="H15" s="278">
        <f>G15*1.25</f>
        <v/>
      </c>
    </row>
    <row r="16">
      <c r="B16" t="n">
        <v>932</v>
      </c>
      <c r="C16" t="inlineStr">
        <is>
          <t>Caja x 2500 Toallas Beige 21 cm x 25 cm simple hoja</t>
        </is>
      </c>
      <c r="E16" s="278" t="n">
        <v>12802</v>
      </c>
      <c r="F16" s="278">
        <f>E16*1.38</f>
        <v/>
      </c>
      <c r="G16" s="278">
        <f>F16/0.895</f>
        <v/>
      </c>
      <c r="H16" s="278">
        <f>G16*1.25</f>
        <v/>
      </c>
    </row>
    <row r="17">
      <c r="B17" t="n">
        <v>116</v>
      </c>
      <c r="C17" t="inlineStr">
        <is>
          <t>Pack x 6 Rollos de Toallas x 200 mts. Blanca</t>
        </is>
      </c>
      <c r="E17" s="278" t="n">
        <v>20064</v>
      </c>
      <c r="F17" s="278">
        <f>E17*1.38</f>
        <v/>
      </c>
      <c r="G17" s="278">
        <f>F17/0.895</f>
        <v/>
      </c>
      <c r="H17" s="278">
        <f>G17*1.25</f>
        <v/>
      </c>
    </row>
    <row r="18">
      <c r="B18" t="n">
        <v>135</v>
      </c>
      <c r="C18" t="inlineStr">
        <is>
          <t>Recarga Original P/Dispenser Celmatic 2500 U. Dobles</t>
        </is>
      </c>
      <c r="E18" s="278" t="n">
        <v>32108</v>
      </c>
      <c r="F18" s="278">
        <f>E18*1.38</f>
        <v/>
      </c>
      <c r="G18" s="278">
        <f>F18/0.895</f>
        <v/>
      </c>
      <c r="H18" s="278">
        <f>G18*1.25</f>
        <v/>
      </c>
    </row>
    <row r="19">
      <c r="B19" t="n">
        <v>136</v>
      </c>
      <c r="C19" t="inlineStr">
        <is>
          <t>Pack x 4 Recarga Celmatic Due 2400 U. Dobles</t>
        </is>
      </c>
      <c r="E19" s="278" t="n">
        <v>25402</v>
      </c>
      <c r="F19" s="278">
        <f>E19*1.38</f>
        <v/>
      </c>
      <c r="G19" s="278">
        <f>F19/0.895</f>
        <v/>
      </c>
      <c r="H19" s="278">
        <f>G19*1.25</f>
        <v/>
      </c>
    </row>
    <row r="20">
      <c r="B20" t="n">
        <v>204</v>
      </c>
      <c r="C20" t="inlineStr">
        <is>
          <t>Pack X 2 Rollos de toalla x 300 mts Blanca</t>
        </is>
      </c>
      <c r="E20" s="278" t="n">
        <v>10032</v>
      </c>
      <c r="F20" s="278">
        <f>E20*1.38</f>
        <v/>
      </c>
      <c r="G20" s="278">
        <f>F20/0.895</f>
        <v/>
      </c>
      <c r="H20" s="278">
        <f>G20*1.25</f>
        <v/>
      </c>
    </row>
    <row r="21">
      <c r="B21" t="n">
        <v>205</v>
      </c>
      <c r="C21" t="inlineStr">
        <is>
          <t>Pack X 2 Rollos de toalla x 240 mts Blanca</t>
        </is>
      </c>
      <c r="E21" s="278" t="n">
        <v>8026</v>
      </c>
      <c r="F21" s="278">
        <f>E21*1.38</f>
        <v/>
      </c>
      <c r="G21" s="278">
        <f>F21/0.895</f>
        <v/>
      </c>
      <c r="H21" s="278">
        <f>G21*1.25</f>
        <v/>
      </c>
    </row>
    <row r="22">
      <c r="B22" t="n">
        <v>550</v>
      </c>
      <c r="C22" t="inlineStr">
        <is>
          <t>CAJA POR 1600 SERV LAMINADAS DE 40 X40 CM</t>
        </is>
      </c>
      <c r="E22" s="278" t="n">
        <v>101743</v>
      </c>
      <c r="F22" s="278">
        <f>E22*1.38</f>
        <v/>
      </c>
      <c r="G22" s="278">
        <f>F22/0.895</f>
        <v/>
      </c>
      <c r="H22" s="278">
        <f>G22*1.25</f>
        <v/>
      </c>
    </row>
    <row r="23">
      <c r="B23" t="n">
        <v>551</v>
      </c>
      <c r="C23" t="inlineStr">
        <is>
          <t>CAJA POR 1600 SERV ECOLOGICAS LAM DE 40 X40</t>
        </is>
      </c>
      <c r="E23" s="278" t="n">
        <v>101743</v>
      </c>
      <c r="F23" s="278">
        <f>E23*1.38</f>
        <v/>
      </c>
      <c r="G23" s="278">
        <f>F23/0.895</f>
        <v/>
      </c>
      <c r="H23" s="278">
        <f>G23*1.25</f>
        <v/>
      </c>
    </row>
    <row r="24">
      <c r="B24" t="n">
        <v>501</v>
      </c>
      <c r="C24" t="inlineStr">
        <is>
          <t>Pack x 2 rollos Cel-Soft de 22,5 x 150 mts</t>
        </is>
      </c>
      <c r="E24" s="278" t="n">
        <v>44</v>
      </c>
      <c r="F24" s="278">
        <f>E24*1.38</f>
        <v/>
      </c>
      <c r="G24" s="278">
        <f>F24/0.895</f>
        <v/>
      </c>
      <c r="H24" s="278">
        <f>G24*1.25</f>
        <v/>
      </c>
    </row>
    <row r="25">
      <c r="B25" t="n">
        <v>505</v>
      </c>
      <c r="C25" t="inlineStr">
        <is>
          <t>Caja x 2000 U. Servilletas Cel-Soft 30 x 40 cm</t>
        </is>
      </c>
      <c r="E25" s="278" t="n">
        <v>130</v>
      </c>
      <c r="F25" s="278">
        <f>E25*1.38</f>
        <v/>
      </c>
      <c r="G25" s="278">
        <f>F25/0.895</f>
        <v/>
      </c>
      <c r="H25" s="278">
        <f>G25*1.25</f>
        <v/>
      </c>
    </row>
    <row r="26">
      <c r="B26" t="n">
        <v>506</v>
      </c>
      <c r="C26" t="inlineStr">
        <is>
          <t>Caja x 3500 Toallas Cel-Soft 21 x 25 cm Blancas</t>
        </is>
      </c>
      <c r="E26" s="278" t="n">
        <v>130</v>
      </c>
      <c r="F26" s="278">
        <f>E26*1.38</f>
        <v/>
      </c>
      <c r="G26" s="278">
        <f>F26/0.895</f>
        <v/>
      </c>
      <c r="H26" s="278">
        <f>G26*1.25</f>
        <v/>
      </c>
    </row>
    <row r="27">
      <c r="B27" t="n">
        <v>512</v>
      </c>
      <c r="C27" t="inlineStr">
        <is>
          <t>Caja x 2000 U. Servilletas Cel-Soft 30 x 25 cm</t>
        </is>
      </c>
      <c r="E27" s="278" t="n">
        <v>0</v>
      </c>
      <c r="F27" s="278">
        <f>E27*1.38</f>
        <v/>
      </c>
      <c r="G27" s="278">
        <f>F27/0.895</f>
        <v/>
      </c>
      <c r="H27" s="278">
        <f>G27*1.25</f>
        <v/>
      </c>
    </row>
    <row r="28">
      <c r="B28" t="n">
        <v>514</v>
      </c>
      <c r="C28" t="inlineStr">
        <is>
          <t>Caja por 600 servilletas Celsoft 40x40 Victoria Ambra</t>
        </is>
      </c>
      <c r="E28" s="278" t="n">
        <v>78</v>
      </c>
      <c r="F28" s="278">
        <f>E28*1.38</f>
        <v/>
      </c>
      <c r="G28" s="278">
        <f>F28/0.895</f>
        <v/>
      </c>
      <c r="H28" s="278">
        <f>G28*1.25</f>
        <v/>
      </c>
    </row>
    <row r="29">
      <c r="B29" t="n">
        <v>515</v>
      </c>
      <c r="C29" t="inlineStr">
        <is>
          <t>Caja por 600 servilletas Celsoft 40x40 Victoria Nero</t>
        </is>
      </c>
      <c r="E29" s="278" t="n">
        <v>78</v>
      </c>
      <c r="F29" s="278">
        <f>E29*1.38</f>
        <v/>
      </c>
      <c r="G29" s="278">
        <f>F29/0.895</f>
        <v/>
      </c>
      <c r="H29" s="278">
        <f>G29*1.25</f>
        <v/>
      </c>
    </row>
    <row r="30">
      <c r="B30" t="n">
        <v>518</v>
      </c>
      <c r="C30" t="inlineStr">
        <is>
          <t>Caja por 600 servilletas Celsoft 40x40 Tasca Lino Avorio</t>
        </is>
      </c>
      <c r="E30" s="278" t="n">
        <v>78</v>
      </c>
      <c r="F30" s="278">
        <f>E30*1.38</f>
        <v/>
      </c>
      <c r="G30" s="278">
        <f>F30/0.895</f>
        <v/>
      </c>
      <c r="H30" s="278">
        <f>G30*1.25</f>
        <v/>
      </c>
    </row>
    <row r="31">
      <c r="B31" t="n">
        <v>519</v>
      </c>
      <c r="C31" t="inlineStr">
        <is>
          <t>Caja por 600 servilletas Celsoft 40x40 Taca Iuta Grigio</t>
        </is>
      </c>
      <c r="E31" s="278" t="n">
        <v>78</v>
      </c>
      <c r="F31" s="278">
        <f>E31*1.38</f>
        <v/>
      </c>
      <c r="G31" s="278">
        <f>F31/0.895</f>
        <v/>
      </c>
      <c r="H31" s="278">
        <f>G31*1.25</f>
        <v/>
      </c>
    </row>
    <row r="32">
      <c r="B32" t="n">
        <v>520</v>
      </c>
      <c r="C32" t="inlineStr">
        <is>
          <t>Caja de servilletas Celsoft 40 x 40 SAMPLER 300 Unid</t>
        </is>
      </c>
      <c r="E32" s="278" t="n">
        <v>100</v>
      </c>
      <c r="F32" s="278">
        <f>E32*1.38</f>
        <v/>
      </c>
      <c r="G32" s="278">
        <f>F32/0.895</f>
        <v/>
      </c>
      <c r="H32" s="278">
        <f>G32*1.25</f>
        <v/>
      </c>
    </row>
    <row r="33">
      <c r="B33" t="n">
        <v>211</v>
      </c>
      <c r="C33" t="inlineStr">
        <is>
          <t>Pack x18 Rollos Higienico Racional D/H x 60 mts</t>
        </is>
      </c>
      <c r="E33" s="278" t="n">
        <v>14435</v>
      </c>
      <c r="F33" s="278">
        <f>E33*1.38</f>
        <v/>
      </c>
      <c r="G33" s="278">
        <f>F33/0.895</f>
        <v/>
      </c>
      <c r="H33" s="278">
        <f>G33*1.25</f>
        <v/>
      </c>
    </row>
    <row r="34">
      <c r="B34" t="n">
        <v>213</v>
      </c>
      <c r="C34" t="inlineStr">
        <is>
          <t>Pack x 4 Rollos Higienico Racional x 500 mts Buje 7,5</t>
        </is>
      </c>
      <c r="E34" s="278" t="n">
        <v>11187</v>
      </c>
      <c r="F34" s="278">
        <f>E34*1.38</f>
        <v/>
      </c>
      <c r="G34" s="278">
        <f>F34/0.895</f>
        <v/>
      </c>
      <c r="H34" s="278">
        <f>G34*1.25</f>
        <v/>
      </c>
    </row>
    <row r="35">
      <c r="B35" t="n">
        <v>214</v>
      </c>
      <c r="C35" t="inlineStr">
        <is>
          <t>Pack x 18 rollos Papel Higienico Racional x 122 mts</t>
        </is>
      </c>
      <c r="E35" s="278" t="n">
        <v>13745</v>
      </c>
      <c r="F35" s="278">
        <f>E35*1.38</f>
        <v/>
      </c>
      <c r="G35" s="278">
        <f>F35/0.895</f>
        <v/>
      </c>
      <c r="H35" s="278">
        <f>G35*1.25</f>
        <v/>
      </c>
    </row>
    <row r="36">
      <c r="B36" t="n">
        <v>218</v>
      </c>
      <c r="C36" t="inlineStr">
        <is>
          <t>Pack x 8 rollos Higienico Racional x 265 mts buje 7,5</t>
        </is>
      </c>
      <c r="E36" s="278" t="n">
        <v>12651</v>
      </c>
      <c r="F36" s="278">
        <f>E36*1.38</f>
        <v/>
      </c>
      <c r="G36" s="278">
        <f>F36/0.895</f>
        <v/>
      </c>
      <c r="H36" s="278">
        <f>G36*1.25</f>
        <v/>
      </c>
    </row>
    <row r="37">
      <c r="B37" t="n">
        <v>220</v>
      </c>
      <c r="C37" t="inlineStr">
        <is>
          <t>Pack x 8 Rollos Papel Higienico Racional x 300 mts</t>
        </is>
      </c>
      <c r="E37" s="278" t="n">
        <v>14386</v>
      </c>
      <c r="F37" s="278">
        <f>E37*1.38</f>
        <v/>
      </c>
      <c r="G37" s="278">
        <f>F37/0.895</f>
        <v/>
      </c>
      <c r="H37" s="278">
        <f>G37*1.25</f>
        <v/>
      </c>
    </row>
    <row r="38">
      <c r="B38" t="n">
        <v>222</v>
      </c>
      <c r="C38" t="inlineStr">
        <is>
          <t>Pack x 8 Rollos Papel Higienico x 260 mts Buje4,5</t>
        </is>
      </c>
      <c r="E38" s="278" t="n">
        <v>12238</v>
      </c>
      <c r="F38" s="278">
        <f>E38*1.38</f>
        <v/>
      </c>
      <c r="G38" s="278">
        <f>F38/0.895</f>
        <v/>
      </c>
      <c r="H38" s="278">
        <f>G38*1.25</f>
        <v/>
      </c>
    </row>
    <row r="39">
      <c r="B39" t="n">
        <v>909</v>
      </c>
      <c r="C39" t="inlineStr">
        <is>
          <t>Papel Higiénico 20 x 14,5 8000 h. 4000 usos</t>
        </is>
      </c>
      <c r="E39" s="278" t="n">
        <v>23626</v>
      </c>
      <c r="F39" s="278">
        <f>E39*1.38</f>
        <v/>
      </c>
      <c r="G39" s="278">
        <f>F39/0.895</f>
        <v/>
      </c>
      <c r="H39" s="278">
        <f>G39*1.25</f>
        <v/>
      </c>
    </row>
    <row r="40">
      <c r="B40" t="n">
        <v>912</v>
      </c>
      <c r="C40" t="inlineStr">
        <is>
          <t>Papel Higienico UNITAS(18x14,5cm) 8000 h/4000 usos</t>
        </is>
      </c>
      <c r="E40" s="278" t="n">
        <v>18982</v>
      </c>
      <c r="F40" s="278">
        <f>E40*1.38</f>
        <v/>
      </c>
      <c r="G40" s="278">
        <f>F40/0.895</f>
        <v/>
      </c>
      <c r="H40" s="278">
        <f>G40*1.25</f>
        <v/>
      </c>
    </row>
    <row r="41">
      <c r="B41" t="n">
        <v>301</v>
      </c>
      <c r="C41" t="inlineStr">
        <is>
          <t>Pack x 2 Rollos Camilleros bco s/h 54x100mts Prec</t>
        </is>
      </c>
      <c r="E41" s="278" t="n">
        <v>16095.40185</v>
      </c>
      <c r="F41" s="278">
        <f>E41*1.38</f>
        <v/>
      </c>
      <c r="G41" s="278">
        <f>F41/0.895</f>
        <v/>
      </c>
      <c r="H41" s="278">
        <f>G41*1.25</f>
        <v/>
      </c>
    </row>
    <row r="42">
      <c r="B42" t="n">
        <v>403</v>
      </c>
      <c r="C42" t="inlineStr">
        <is>
          <t>Portabobina de Pared</t>
        </is>
      </c>
      <c r="E42" s="278" t="n">
        <v>32580</v>
      </c>
      <c r="F42" s="278">
        <f>E42*1.38</f>
        <v/>
      </c>
      <c r="G42" s="278">
        <f>F42/0.895</f>
        <v/>
      </c>
      <c r="H42" s="278">
        <f>G42*1.25</f>
        <v/>
      </c>
    </row>
    <row r="43">
      <c r="B43" t="n">
        <v>418</v>
      </c>
      <c r="C43" t="inlineStr">
        <is>
          <t>Portabobina de Piso</t>
        </is>
      </c>
      <c r="E43" s="278" t="n">
        <v>35837</v>
      </c>
      <c r="F43" s="278">
        <f>E43*1.38</f>
        <v/>
      </c>
      <c r="G43" s="278">
        <f>F43/0.895</f>
        <v/>
      </c>
      <c r="H43" s="278">
        <f>G43*1.25</f>
        <v/>
      </c>
    </row>
    <row r="44">
      <c r="B44" t="n">
        <v>422</v>
      </c>
      <c r="C44" t="inlineStr">
        <is>
          <t>Dispenser Celmatic Due</t>
        </is>
      </c>
      <c r="E44" s="278" t="n">
        <v>45920</v>
      </c>
      <c r="F44" s="278">
        <f>E44*1.38</f>
        <v/>
      </c>
      <c r="G44" s="278">
        <f>F44/0.895</f>
        <v/>
      </c>
      <c r="H44" s="278">
        <f>G44*1.25</f>
        <v/>
      </c>
    </row>
    <row r="45">
      <c r="B45" t="n">
        <v>425</v>
      </c>
      <c r="C45" t="inlineStr">
        <is>
          <t>Dosificador para Jabón Líquido Recargable</t>
        </is>
      </c>
      <c r="E45" s="278" t="n">
        <v>17226</v>
      </c>
      <c r="F45" s="278">
        <f>E45*1.38</f>
        <v/>
      </c>
      <c r="G45" s="278">
        <f>F45/0.895</f>
        <v/>
      </c>
      <c r="H45" s="278">
        <f>G45*1.25</f>
        <v/>
      </c>
    </row>
    <row r="46">
      <c r="B46" t="n">
        <v>427</v>
      </c>
      <c r="C46" t="inlineStr">
        <is>
          <t>Dispenser Para Papel Higienico Racional 350</t>
        </is>
      </c>
      <c r="E46" s="278" t="n">
        <v>21210</v>
      </c>
      <c r="F46" s="278">
        <f>E46*1.38</f>
        <v/>
      </c>
      <c r="G46" s="278">
        <f>F46/0.895</f>
        <v/>
      </c>
      <c r="H46" s="278">
        <f>G46*1.25</f>
        <v/>
      </c>
    </row>
    <row r="47">
      <c r="B47" t="n">
        <v>428</v>
      </c>
      <c r="C47" t="inlineStr">
        <is>
          <t>Dispenser para Papel Higiénico</t>
        </is>
      </c>
      <c r="E47" s="278" t="n">
        <v>26250</v>
      </c>
      <c r="F47" s="278">
        <f>E47*1.38</f>
        <v/>
      </c>
      <c r="G47" s="278">
        <f>F47/0.895</f>
        <v/>
      </c>
      <c r="H47" s="278">
        <f>G47*1.25</f>
        <v/>
      </c>
    </row>
    <row r="48">
      <c r="B48" t="n">
        <v>429</v>
      </c>
      <c r="C48" t="inlineStr">
        <is>
          <t>Dispenser para Toallas de Papel</t>
        </is>
      </c>
      <c r="E48" s="278" t="n">
        <v>18832</v>
      </c>
      <c r="F48" s="278">
        <f>E48*1.38</f>
        <v/>
      </c>
      <c r="G48" s="278">
        <f>F48/0.895</f>
        <v/>
      </c>
      <c r="H48" s="278">
        <f>G48*1.25</f>
        <v/>
      </c>
    </row>
    <row r="49">
      <c r="B49" t="n">
        <v>430</v>
      </c>
      <c r="C49" t="inlineStr">
        <is>
          <t>Dispenser Para Papel Higienico Racional 600</t>
        </is>
      </c>
      <c r="E49" s="278" t="n">
        <v>36960</v>
      </c>
      <c r="F49" s="278">
        <f>E49*1.38</f>
        <v/>
      </c>
      <c r="G49" s="278">
        <f>F49/0.895</f>
        <v/>
      </c>
      <c r="H49" s="278">
        <f>G49*1.25</f>
        <v/>
      </c>
    </row>
    <row r="50">
      <c r="B50" t="n">
        <v>101</v>
      </c>
      <c r="C50" t="inlineStr">
        <is>
          <t>Pack x 6 bobinas 22,5 cm x 300 porciones</t>
        </is>
      </c>
      <c r="E50" s="278" t="n">
        <v>24602</v>
      </c>
      <c r="F50" s="278">
        <f>E50*1.38</f>
        <v/>
      </c>
      <c r="G50" s="278">
        <f>F50/0.895</f>
        <v/>
      </c>
      <c r="H50" s="278">
        <f>G50*1.25</f>
        <v/>
      </c>
    </row>
    <row r="51">
      <c r="B51" t="n">
        <v>109</v>
      </c>
      <c r="C51" t="inlineStr">
        <is>
          <t>Pack x 2 bobinas papel original 22,5 cm x 270 mts</t>
        </is>
      </c>
      <c r="E51" s="278" t="n">
        <v>16896</v>
      </c>
      <c r="F51" s="278">
        <f>E51*1.38</f>
        <v/>
      </c>
      <c r="G51" s="278">
        <f>F51/0.895</f>
        <v/>
      </c>
      <c r="H51" s="278">
        <f>G51*1.25</f>
        <v/>
      </c>
    </row>
    <row r="52">
      <c r="B52" t="n">
        <v>123</v>
      </c>
      <c r="C52" t="inlineStr">
        <is>
          <t>Pack x 2 bobinas Papel Original 900 hjs/360 mts.</t>
        </is>
      </c>
      <c r="E52" s="278" t="n">
        <v>24738</v>
      </c>
      <c r="F52" s="278">
        <f>E52*1.38</f>
        <v/>
      </c>
      <c r="G52" s="278">
        <f>F52/0.895</f>
        <v/>
      </c>
      <c r="H52" s="278">
        <f>G52*1.25</f>
        <v/>
      </c>
    </row>
    <row r="53">
      <c r="B53" t="n">
        <v>809</v>
      </c>
      <c r="C53" t="inlineStr">
        <is>
          <t>Pack x 4 Rollos 600 porc 25x25 Rep Tambo</t>
        </is>
      </c>
      <c r="E53" s="278" t="n">
        <v>25782</v>
      </c>
      <c r="F53" s="278">
        <f>E53*1.38</f>
        <v/>
      </c>
      <c r="G53" s="278">
        <f>F53/0.895</f>
        <v/>
      </c>
      <c r="H53" s="278">
        <f>G53*1.25</f>
        <v/>
      </c>
    </row>
    <row r="54">
      <c r="B54" t="n">
        <v>601</v>
      </c>
      <c r="C54" t="inlineStr">
        <is>
          <t>Rollo Softclean Maxi Bco prec 30 x 38 x 500</t>
        </is>
      </c>
      <c r="E54" s="278" t="n">
        <v>57</v>
      </c>
      <c r="F54" s="278">
        <f>E54*1.38</f>
        <v/>
      </c>
      <c r="G54" s="278">
        <f>F54/0.895</f>
        <v/>
      </c>
      <c r="H54" s="278">
        <f>G54*1.25</f>
        <v/>
      </c>
    </row>
    <row r="55">
      <c r="B55" t="n">
        <v>606</v>
      </c>
      <c r="C55" t="inlineStr">
        <is>
          <t>Caja x 300 Paños Ultratex de 45,7cm x 53,3cm</t>
        </is>
      </c>
      <c r="E55" s="278" t="n">
        <v>417</v>
      </c>
      <c r="F55" s="278">
        <f>E55*1.38</f>
        <v/>
      </c>
      <c r="G55" s="278">
        <f>F55/0.895</f>
        <v/>
      </c>
      <c r="H55" s="278">
        <f>G55*1.25</f>
        <v/>
      </c>
    </row>
    <row r="56">
      <c r="B56" t="n">
        <v>608</v>
      </c>
      <c r="C56" t="inlineStr">
        <is>
          <t>Repuesto x 2 rollos Softclean x 350 mts</t>
        </is>
      </c>
      <c r="E56" s="278" t="n">
        <v>52</v>
      </c>
      <c r="F56" s="278">
        <f>E56*1.38</f>
        <v/>
      </c>
      <c r="G56" s="278">
        <f>F56/0.895</f>
        <v/>
      </c>
      <c r="H56" s="278">
        <f>G56*1.25</f>
        <v/>
      </c>
    </row>
    <row r="57">
      <c r="B57" t="n">
        <v>614</v>
      </c>
      <c r="C57" t="inlineStr">
        <is>
          <t>Rollo SoftClean S 70x 875 Porciones de 30x 25</t>
        </is>
      </c>
      <c r="E57" s="278" t="n">
        <v>62</v>
      </c>
      <c r="F57" s="278">
        <f>E57*1.38</f>
        <v/>
      </c>
      <c r="G57" s="278">
        <f>F57/0.895</f>
        <v/>
      </c>
      <c r="H57" s="278">
        <f>G57*1.25</f>
        <v/>
      </c>
    </row>
    <row r="58">
      <c r="B58" t="n">
        <v>615</v>
      </c>
      <c r="C58" t="inlineStr">
        <is>
          <t>Contenedor Center Softclean x 350 22,5 x26,5</t>
        </is>
      </c>
      <c r="E58" s="278" t="n">
        <v>27</v>
      </c>
      <c r="F58" s="278">
        <f>E58*1.38</f>
        <v/>
      </c>
      <c r="G58" s="278">
        <f>F58/0.895</f>
        <v/>
      </c>
      <c r="H58" s="278">
        <f>G58*1.25</f>
        <v/>
      </c>
    </row>
    <row r="59">
      <c r="B59" t="n">
        <v>616</v>
      </c>
      <c r="C59" t="inlineStr">
        <is>
          <t>Rollo Mini Sofclean x 190 porciones de 22,5 x 26,5</t>
        </is>
      </c>
      <c r="E59" s="278" t="n">
        <v>14</v>
      </c>
      <c r="F59" s="278">
        <f>E59*1.38</f>
        <v/>
      </c>
      <c r="G59" s="278">
        <f>F59/0.895</f>
        <v/>
      </c>
      <c r="H59" s="278">
        <f>G59*1.25</f>
        <v/>
      </c>
    </row>
    <row r="60">
      <c r="B60" t="n">
        <v>617</v>
      </c>
      <c r="C60" t="inlineStr">
        <is>
          <t>Caja 1/4 Folded Softclean 500 30 x 30 cm Celeste</t>
        </is>
      </c>
      <c r="E60" s="278" t="n">
        <v>46</v>
      </c>
      <c r="F60" s="278">
        <f>E60*1.38</f>
        <v/>
      </c>
      <c r="G60" s="278">
        <f>F60/0.895</f>
        <v/>
      </c>
      <c r="H60" s="278">
        <f>G60*1.25</f>
        <v/>
      </c>
    </row>
    <row r="61">
      <c r="B61" t="n">
        <v>618</v>
      </c>
      <c r="C61" t="inlineStr">
        <is>
          <t>Rollo Precortado Softclean 600 porciones de 30x 26,5</t>
        </is>
      </c>
      <c r="E61" s="278" t="n">
        <v>46</v>
      </c>
      <c r="F61" s="278">
        <f>E61*1.38</f>
        <v/>
      </c>
      <c r="G61" s="278">
        <f>F61/0.895</f>
        <v/>
      </c>
      <c r="H61" s="278">
        <f>G61*1.25</f>
        <v/>
      </c>
    </row>
    <row r="62">
      <c r="B62" t="n">
        <v>604</v>
      </c>
      <c r="C62" t="inlineStr">
        <is>
          <t>Rollo precortado Maxi de 30 x38 blanco</t>
        </is>
      </c>
      <c r="E62" s="278" t="n">
        <v>116</v>
      </c>
      <c r="F62" s="278">
        <f>E62*1.38</f>
        <v/>
      </c>
      <c r="G62" s="278">
        <f>F62/0.895</f>
        <v/>
      </c>
      <c r="H62" s="278">
        <f>G62*1.25</f>
        <v/>
      </c>
    </row>
    <row r="63">
      <c r="B63" t="n">
        <v>619</v>
      </c>
      <c r="C63" t="inlineStr">
        <is>
          <t>Centerfeed Sontara Celeste 350 porc22,5 x 26,5</t>
        </is>
      </c>
      <c r="E63" s="278" t="n">
        <v>58</v>
      </c>
      <c r="F63" s="278">
        <f>E63*1.38</f>
        <v/>
      </c>
      <c r="G63" s="278">
        <f>F63/0.895</f>
        <v/>
      </c>
      <c r="H63" s="278">
        <f>G63*1.25</f>
        <v/>
      </c>
    </row>
    <row r="64">
      <c r="B64" t="n">
        <v>620</v>
      </c>
      <c r="C64" t="inlineStr">
        <is>
          <t>Rollo prec Sontara por 600 porc 30 x26,5 celeste</t>
        </is>
      </c>
      <c r="E64" s="278" t="n">
        <v>110</v>
      </c>
      <c r="F64" s="278">
        <f>E64*1.38</f>
        <v/>
      </c>
      <c r="G64" s="278">
        <f>F64/0.895</f>
        <v/>
      </c>
      <c r="H64" s="278">
        <f>G64*1.25</f>
        <v/>
      </c>
    </row>
    <row r="65">
      <c r="B65" t="n">
        <v>621</v>
      </c>
      <c r="C65" t="inlineStr">
        <is>
          <t>Rollo Sontara Mini x 190 porc 22,5 x26,5 celeste</t>
        </is>
      </c>
      <c r="E65" s="278" t="n">
        <v>26</v>
      </c>
      <c r="F65" s="278">
        <f>E65*1.38</f>
        <v/>
      </c>
      <c r="G65" s="278">
        <f>F65/0.895</f>
        <v/>
      </c>
      <c r="H65" s="278">
        <f>G65*1.25</f>
        <v/>
      </c>
    </row>
    <row r="66">
      <c r="B66" t="n">
        <v>627</v>
      </c>
      <c r="C66" t="inlineStr">
        <is>
          <t>SMP 300 Paños de 22,5 cm x 22,5 cm</t>
        </is>
      </c>
      <c r="E66" s="278" t="n">
        <v>70</v>
      </c>
      <c r="F66" s="278">
        <f>E66*1.38</f>
        <v/>
      </c>
      <c r="G66" s="278">
        <f>F66/0.895</f>
        <v/>
      </c>
      <c r="H66" s="278">
        <f>G66*1.25</f>
        <v/>
      </c>
    </row>
    <row r="67">
      <c r="B67" t="n">
        <v>645</v>
      </c>
      <c r="C67" t="inlineStr">
        <is>
          <t>Caja por 500Paños Sontara de 30 x 30 cm celeste</t>
        </is>
      </c>
      <c r="E67" s="278" t="n">
        <v>118</v>
      </c>
      <c r="F67" s="278">
        <f>E67*1.38</f>
        <v/>
      </c>
      <c r="G67" s="278">
        <f>F67/0.895</f>
        <v/>
      </c>
      <c r="H67" s="278">
        <f>G67*1.25</f>
        <v/>
      </c>
    </row>
    <row r="68">
      <c r="B68" t="n">
        <v>656</v>
      </c>
      <c r="C68" t="inlineStr">
        <is>
          <t>Caja por 400 Paños Sontara de 30 x 30 cm Blancos</t>
        </is>
      </c>
      <c r="E68" s="278" t="n">
        <v>75</v>
      </c>
      <c r="F68" s="278">
        <f>E68*1.38</f>
        <v/>
      </c>
      <c r="G68" s="278">
        <f>F68/0.895</f>
        <v/>
      </c>
      <c r="H68" s="278">
        <f>G68*1.25</f>
        <v/>
      </c>
    </row>
    <row r="69">
      <c r="B69" t="n">
        <v>901</v>
      </c>
      <c r="C69" t="inlineStr">
        <is>
          <t>Toallas Blancas Super 21x25</t>
        </is>
      </c>
      <c r="E69" s="278" t="n">
        <v>16694</v>
      </c>
      <c r="F69" s="278">
        <f>E69*1.38</f>
        <v/>
      </c>
      <c r="G69" s="278">
        <f>F69/0.895</f>
        <v/>
      </c>
      <c r="H69" s="278">
        <f>G69*1.25</f>
        <v/>
      </c>
    </row>
    <row r="70">
      <c r="B70" t="n">
        <v>902</v>
      </c>
      <c r="C70" t="inlineStr">
        <is>
          <t>Toallas Blancas Pura Simple</t>
        </is>
      </c>
      <c r="E70" s="278" t="n">
        <v>18512</v>
      </c>
      <c r="F70" s="278">
        <f>E70*1.38</f>
        <v/>
      </c>
      <c r="G70" s="278">
        <f>F70/0.895</f>
        <v/>
      </c>
      <c r="H70" s="278">
        <f>G70*1.25</f>
        <v/>
      </c>
    </row>
    <row r="71">
      <c r="B71" t="n">
        <v>903</v>
      </c>
      <c r="C71" t="inlineStr">
        <is>
          <t>Toallas Blancas Pura Doble</t>
        </is>
      </c>
      <c r="E71" s="278" t="n">
        <v>22890</v>
      </c>
      <c r="F71" s="278">
        <f>E71*1.38</f>
        <v/>
      </c>
      <c r="G71" s="278">
        <f>F71/0.895</f>
        <v/>
      </c>
      <c r="H71" s="278">
        <f>G71*1.25</f>
        <v/>
      </c>
    </row>
    <row r="72">
      <c r="B72" t="n">
        <v>914</v>
      </c>
      <c r="C72" t="inlineStr">
        <is>
          <t>Toalla Blanca Unitas (17,5x25 cm)</t>
        </is>
      </c>
      <c r="E72" s="278" t="n">
        <v>12721</v>
      </c>
      <c r="F72" s="278">
        <f>E72*1.38</f>
        <v/>
      </c>
      <c r="G72" s="278">
        <f>F72/0.895</f>
        <v/>
      </c>
      <c r="H72" s="278">
        <f>G72*1.25</f>
        <v/>
      </c>
    </row>
    <row r="73">
      <c r="B73" t="n">
        <v>916</v>
      </c>
      <c r="C73" t="inlineStr">
        <is>
          <t>Toalla Blanca Especial 21 x 25 ( tiza )</t>
        </is>
      </c>
      <c r="E73" s="278" t="n">
        <v>15572</v>
      </c>
      <c r="F73" s="278">
        <f>E73*1.38</f>
        <v/>
      </c>
      <c r="G73" s="278">
        <f>F73/0.895</f>
        <v/>
      </c>
      <c r="H73" s="278">
        <f>G73*1.25</f>
        <v/>
      </c>
    </row>
    <row r="74">
      <c r="B74" t="n">
        <v>920</v>
      </c>
      <c r="C74" t="inlineStr">
        <is>
          <t>Toalla Blanca Especial 21 x 37 ( tiza )</t>
        </is>
      </c>
      <c r="E74" s="278" t="n">
        <v>21239</v>
      </c>
      <c r="F74" s="278">
        <f>E74*1.38</f>
        <v/>
      </c>
      <c r="G74" s="278">
        <f>F74/0.895</f>
        <v/>
      </c>
      <c r="H74" s="278">
        <f>G74*1.25</f>
        <v/>
      </c>
    </row>
    <row r="75">
      <c r="B75" t="n">
        <v>927</v>
      </c>
      <c r="C75" t="inlineStr">
        <is>
          <t>Toalla Blanca Especial 17,5 x 25 ( tiza ) Unita</t>
        </is>
      </c>
      <c r="E75" s="278" t="n">
        <v>12204</v>
      </c>
      <c r="F75" s="278">
        <f>E75*1.38</f>
        <v/>
      </c>
      <c r="G75" s="278">
        <f>F75/0.895</f>
        <v/>
      </c>
      <c r="H75" s="278">
        <f>G75*1.25</f>
        <v/>
      </c>
    </row>
    <row r="76">
      <c r="B76" t="n">
        <v>928</v>
      </c>
      <c r="C76" t="inlineStr">
        <is>
          <t>Cajas x 2500 Toallas Beige 21x37</t>
        </is>
      </c>
      <c r="E76" s="278" t="n">
        <v>18010</v>
      </c>
      <c r="F76" s="278">
        <f>E76*1.38</f>
        <v/>
      </c>
      <c r="G76" s="278">
        <f>F76/0.895</f>
        <v/>
      </c>
      <c r="H76" s="278">
        <f>G76*1.25</f>
        <v/>
      </c>
    </row>
    <row r="77">
      <c r="B77" t="n">
        <v>930</v>
      </c>
      <c r="C77" t="inlineStr">
        <is>
          <t>Toalla Blanca Super 21x37 cm</t>
        </is>
      </c>
      <c r="E77" s="278" t="n">
        <v>22958</v>
      </c>
      <c r="F77" s="278">
        <f>E77*1.38</f>
        <v/>
      </c>
      <c r="G77" s="278">
        <f>F77/0.895</f>
        <v/>
      </c>
      <c r="H77" s="278">
        <f>G77*1.25</f>
        <v/>
      </c>
    </row>
    <row r="78">
      <c r="B78" t="n">
        <v>931</v>
      </c>
      <c r="C78" t="inlineStr">
        <is>
          <t>Caja x 2500 Toallas Beige Unitas 17,5 cm x 25 cm</t>
        </is>
      </c>
      <c r="E78" s="278" t="n">
        <v>11228</v>
      </c>
      <c r="F78" s="278">
        <f>E78*1.38</f>
        <v/>
      </c>
      <c r="G78" s="278">
        <f>F78/0.895</f>
        <v/>
      </c>
      <c r="H78" s="278">
        <f>G78*1.25</f>
        <v/>
      </c>
    </row>
    <row r="79">
      <c r="B79" t="n">
        <v>932</v>
      </c>
      <c r="C79" t="inlineStr">
        <is>
          <t>Caja x 2500 Toallas Beige 21 cm x 25 cm simple hoja</t>
        </is>
      </c>
      <c r="E79" s="278" t="n">
        <v>12802</v>
      </c>
      <c r="F79" s="278">
        <f>E79*1.38</f>
        <v/>
      </c>
      <c r="G79" s="278">
        <f>F79/0.895</f>
        <v/>
      </c>
      <c r="H79" s="278">
        <f>G79*1.25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12.63" customWidth="1" style="270" min="1" max="1"/>
    <col width="30.38" customWidth="1" style="270" min="2" max="2"/>
    <col width="42" customWidth="1" style="270" min="4" max="4"/>
  </cols>
  <sheetData>
    <row r="1">
      <c r="A1" s="9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13" t="n"/>
      <c r="J1" s="13" t="n"/>
      <c r="K1" s="13" t="n"/>
      <c r="L1" s="13" t="n"/>
      <c r="M1" s="15" t="n"/>
      <c r="N1" s="15" t="n"/>
    </row>
    <row r="2">
      <c r="A2" s="78" t="inlineStr">
        <is>
          <t>VIGENCIA:</t>
        </is>
      </c>
      <c r="B2" s="210" t="n">
        <v>45293</v>
      </c>
      <c r="C2" s="13" t="n"/>
      <c r="D2" s="8" t="n"/>
      <c r="E2" s="9" t="n"/>
      <c r="F2" s="9" t="n"/>
      <c r="G2" s="9" t="n"/>
      <c r="H2" s="9" t="n"/>
      <c r="I2" s="13" t="n"/>
      <c r="J2" s="13" t="n"/>
      <c r="K2" s="13" t="n"/>
      <c r="L2" s="13" t="n"/>
      <c r="M2" s="15" t="n"/>
      <c r="N2" s="15" t="n"/>
    </row>
    <row r="3">
      <c r="A3" s="13" t="n"/>
      <c r="B3" s="13" t="n"/>
      <c r="C3" s="13" t="n"/>
      <c r="D3" s="10" t="n"/>
      <c r="E3" s="13" t="n"/>
      <c r="F3" s="13" t="n"/>
      <c r="G3" s="13" t="n"/>
      <c r="H3" s="13" t="n"/>
      <c r="I3" s="13" t="n"/>
      <c r="J3" s="13" t="n"/>
      <c r="K3" s="13" t="n"/>
      <c r="L3" s="13" t="n"/>
      <c r="M3" s="15" t="n"/>
      <c r="N3" s="15" t="n"/>
    </row>
    <row r="4">
      <c r="A4" s="13" t="n"/>
      <c r="B4" s="13" t="n"/>
      <c r="C4" s="13" t="n"/>
      <c r="D4" s="17" t="inlineStr">
        <is>
          <t>Lista 20 con -7 y -2</t>
        </is>
      </c>
      <c r="E4" s="12" t="inlineStr">
        <is>
          <t>Mayorista</t>
        </is>
      </c>
      <c r="F4" s="12" t="inlineStr">
        <is>
          <t>Minorista</t>
        </is>
      </c>
      <c r="G4" s="12" t="inlineStr">
        <is>
          <t>Minorista con IVA</t>
        </is>
      </c>
      <c r="H4" s="12" t="inlineStr">
        <is>
          <t>Redondeado</t>
        </is>
      </c>
      <c r="I4" s="13" t="n"/>
      <c r="J4" s="13" t="inlineStr">
        <is>
          <t>Antes del 7 + 2% ANTERIOR</t>
        </is>
      </c>
      <c r="L4" s="13" t="inlineStr">
        <is>
          <t>Antes del 7 + 2% ACTUAL</t>
        </is>
      </c>
      <c r="M4" s="14" t="n"/>
      <c r="N4" s="15" t="inlineStr">
        <is>
          <t>% Aumento</t>
        </is>
      </c>
    </row>
    <row r="5">
      <c r="A5" s="16" t="inlineStr">
        <is>
          <t>JABONES</t>
        </is>
      </c>
      <c r="B5" s="13" t="n"/>
      <c r="C5" s="13" t="n"/>
      <c r="D5" s="17" t="n"/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  <c r="N5" s="15" t="n"/>
    </row>
    <row r="6">
      <c r="A6" s="21" t="n"/>
      <c r="B6" s="13" t="n"/>
      <c r="C6" s="13" t="n"/>
      <c r="D6" s="23" t="n"/>
      <c r="E6" s="13" t="n"/>
      <c r="F6" s="13" t="n"/>
      <c r="G6" s="13" t="n"/>
      <c r="H6" s="13" t="n"/>
      <c r="I6" s="13" t="n"/>
      <c r="J6" s="13" t="n"/>
      <c r="K6" s="13" t="n"/>
      <c r="L6" s="13" t="n"/>
      <c r="M6" s="38" t="n"/>
      <c r="N6" s="15" t="n"/>
    </row>
    <row r="7">
      <c r="A7" s="21" t="n">
        <v>701</v>
      </c>
      <c r="B7" s="13" t="inlineStr">
        <is>
          <t>Botella 1 lt. Servicio Dilución DMQ</t>
        </is>
      </c>
      <c r="D7" s="237" t="n">
        <v>4292</v>
      </c>
      <c r="E7" s="23">
        <f>Round(D7*1.3/1.105,-2)</f>
        <v/>
      </c>
      <c r="F7" s="23">
        <f>round(E7*1.105,-2)</f>
        <v/>
      </c>
      <c r="G7" s="23">
        <f>round(F7*1.21,-2)</f>
        <v/>
      </c>
      <c r="H7" s="23">
        <f>round(G7,-2)</f>
        <v/>
      </c>
      <c r="I7" s="13" t="n"/>
      <c r="J7" s="24" t="inlineStr">
        <is>
          <t>$2.081,14</t>
        </is>
      </c>
      <c r="K7" s="13" t="n"/>
      <c r="L7" s="25" t="inlineStr">
        <is>
          <t>$1.945,00</t>
        </is>
      </c>
      <c r="M7" s="38" t="n"/>
      <c r="N7" s="26" t="n">
        <v>-0.0654</v>
      </c>
    </row>
    <row r="8">
      <c r="A8" s="21" t="n">
        <v>720</v>
      </c>
      <c r="B8" s="13" t="inlineStr">
        <is>
          <t>Bidon x 5 lts. Jabón Líquido Tocador</t>
        </is>
      </c>
      <c r="D8" s="237" t="n">
        <v>13461</v>
      </c>
      <c r="E8" s="23">
        <f>Round(D8*1.3/1.105,-2)</f>
        <v/>
      </c>
      <c r="F8" s="23">
        <f>round(E8*1.105,-2)</f>
        <v/>
      </c>
      <c r="G8" s="23">
        <f>round(F8*1.21,-2)</f>
        <v/>
      </c>
      <c r="H8" s="23">
        <f>round(G8,-2)</f>
        <v/>
      </c>
      <c r="I8" s="13" t="n"/>
      <c r="J8" s="24" t="inlineStr">
        <is>
          <t>$6.526,77</t>
        </is>
      </c>
      <c r="K8" s="13" t="n"/>
      <c r="L8" s="27" t="inlineStr">
        <is>
          <t>$6.099,78</t>
        </is>
      </c>
      <c r="M8" s="38" t="n"/>
      <c r="N8" s="26" t="n">
        <v>-0.0654</v>
      </c>
    </row>
    <row r="9">
      <c r="A9" s="21" t="n"/>
      <c r="B9" s="13" t="n"/>
      <c r="C9" s="13" t="n"/>
      <c r="D9" s="23" t="n"/>
      <c r="E9" s="13" t="n"/>
      <c r="F9" s="13" t="n"/>
      <c r="G9" s="13" t="n"/>
      <c r="H9" s="13" t="n"/>
      <c r="I9" s="13" t="n"/>
      <c r="J9" s="13" t="n"/>
      <c r="K9" s="13" t="n"/>
      <c r="L9" s="13" t="n"/>
      <c r="M9" s="38" t="n"/>
      <c r="N9" s="15" t="n"/>
    </row>
    <row r="10">
      <c r="A10" s="16" t="inlineStr">
        <is>
          <t>TOALLAS</t>
        </is>
      </c>
      <c r="B10" s="13" t="n"/>
      <c r="C10" s="13" t="n"/>
      <c r="D10" s="23" t="n"/>
      <c r="E10" s="10">
        <f>D14*1.3/1.105</f>
        <v/>
      </c>
      <c r="F10" s="13" t="n"/>
      <c r="G10" s="13" t="n"/>
      <c r="H10" s="13" t="n"/>
      <c r="I10" s="13" t="n"/>
      <c r="J10" s="13" t="n"/>
      <c r="K10" s="13" t="n"/>
      <c r="L10" s="13" t="n"/>
      <c r="M10" s="14" t="n"/>
      <c r="N10" s="15" t="n"/>
    </row>
    <row r="11">
      <c r="A11" s="28" t="n"/>
      <c r="B11" s="13" t="n"/>
      <c r="C11" s="13" t="n"/>
      <c r="D11" s="2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  <c r="N11" s="15" t="n"/>
    </row>
    <row r="12">
      <c r="A12" s="35" t="n">
        <v>901</v>
      </c>
      <c r="B12" s="31" t="inlineStr">
        <is>
          <t>Toallas Blancas Super 21x25</t>
        </is>
      </c>
      <c r="C12" s="31" t="n"/>
      <c r="D12" s="237" t="n">
        <v>15176</v>
      </c>
      <c r="E12" s="32">
        <f>Round(D12*1.3*1.105,-2)</f>
        <v/>
      </c>
      <c r="F12" s="32">
        <f>round(E12*1.105,-2)</f>
        <v/>
      </c>
      <c r="G12" s="32">
        <f>F12*1.21</f>
        <v/>
      </c>
      <c r="H12" s="32">
        <f>round(G12,-2)</f>
        <v/>
      </c>
      <c r="I12" s="31" t="n"/>
      <c r="J12" s="33" t="inlineStr">
        <is>
          <t>$7.745,48</t>
        </is>
      </c>
      <c r="K12" s="31" t="n"/>
      <c r="L12" s="34" t="inlineStr">
        <is>
          <t>$7.238,77</t>
        </is>
      </c>
      <c r="M12" s="35" t="n"/>
      <c r="N12" s="36" t="n">
        <v>-0.0654</v>
      </c>
      <c r="O12" s="193" t="n"/>
      <c r="P12" s="193" t="n"/>
      <c r="Q12" s="193" t="n"/>
      <c r="R12" s="193" t="n"/>
      <c r="S12" s="193" t="n"/>
      <c r="T12" s="193" t="n"/>
      <c r="U12" s="193" t="n"/>
      <c r="V12" s="193" t="n"/>
      <c r="W12" s="193" t="n"/>
      <c r="X12" s="193" t="n"/>
      <c r="Y12" s="193" t="n"/>
      <c r="Z12" s="193" t="n"/>
    </row>
    <row r="13">
      <c r="A13" s="21" t="n">
        <v>902</v>
      </c>
      <c r="B13" s="13" t="inlineStr">
        <is>
          <t>Toallas Blancas Pura Simple</t>
        </is>
      </c>
      <c r="C13" s="13" t="n"/>
      <c r="D13" s="237" t="n">
        <v>16829</v>
      </c>
      <c r="E13" s="23">
        <f>Round(D13*1.3*1.105,-2)</f>
        <v/>
      </c>
      <c r="F13" s="23">
        <f>round(E13*1.105,-2)</f>
        <v/>
      </c>
      <c r="G13" s="23">
        <f>F13*1.21</f>
        <v/>
      </c>
      <c r="H13" s="23">
        <f>round(G13,-2)</f>
        <v/>
      </c>
      <c r="I13" s="13" t="n"/>
      <c r="J13" s="24" t="inlineStr">
        <is>
          <t>$8.588,99</t>
        </is>
      </c>
      <c r="K13" s="13" t="n"/>
      <c r="L13" s="27" t="inlineStr">
        <is>
          <t>$8.027,10</t>
        </is>
      </c>
      <c r="M13" s="38" t="n"/>
      <c r="N13" s="26" t="n">
        <v>-0.0654</v>
      </c>
    </row>
    <row r="14">
      <c r="A14" s="21" t="n">
        <v>903</v>
      </c>
      <c r="B14" s="13" t="inlineStr">
        <is>
          <t>Toallas Blancas Pura Doble</t>
        </is>
      </c>
      <c r="C14" s="13" t="n"/>
      <c r="D14" s="237" t="n">
        <v>20810</v>
      </c>
      <c r="E14" s="23">
        <f>Round(D14*1.3*1.105,-2)</f>
        <v/>
      </c>
      <c r="F14" s="23">
        <f>round(E14*1.105,-2)</f>
        <v/>
      </c>
      <c r="G14" s="23">
        <f>F14*1.21</f>
        <v/>
      </c>
      <c r="H14" s="23">
        <f>round(G14,-2)</f>
        <v/>
      </c>
      <c r="I14" s="13" t="n"/>
      <c r="J14" s="24" t="inlineStr">
        <is>
          <t>$10.620,39</t>
        </is>
      </c>
      <c r="K14" s="13" t="n"/>
      <c r="L14" s="27" t="inlineStr">
        <is>
          <t>$9.925,60</t>
        </is>
      </c>
      <c r="M14" s="38" t="n"/>
      <c r="N14" s="26" t="n">
        <v>-0.0654</v>
      </c>
    </row>
    <row r="15">
      <c r="A15" s="21" t="n">
        <v>914</v>
      </c>
      <c r="B15" s="13" t="inlineStr">
        <is>
          <t>Toalla Blanca Unitas (17,5x25 cm)</t>
        </is>
      </c>
      <c r="D15" s="237" t="n">
        <v>11564</v>
      </c>
      <c r="E15" s="23">
        <f>Round(D15*1.3*1.105,-2)</f>
        <v/>
      </c>
      <c r="F15" s="23">
        <f>round(E15*1.105,-2)</f>
        <v/>
      </c>
      <c r="G15" s="23">
        <f>F15*1.21</f>
        <v/>
      </c>
      <c r="H15" s="23">
        <f>round(G15,-2)</f>
        <v/>
      </c>
      <c r="I15" s="13" t="n"/>
      <c r="J15" s="24" t="inlineStr">
        <is>
          <t>$5.901,82</t>
        </is>
      </c>
      <c r="K15" s="13" t="n"/>
      <c r="L15" s="27" t="inlineStr">
        <is>
          <t>$5.515,72</t>
        </is>
      </c>
      <c r="M15" s="38" t="n"/>
      <c r="N15" s="26" t="n">
        <v>-0.0654</v>
      </c>
    </row>
    <row r="16">
      <c r="A16" s="21" t="n">
        <v>916</v>
      </c>
      <c r="B16" s="13" t="inlineStr">
        <is>
          <t>Toalla Blanca Especial 21 x 25 ( tiza )</t>
        </is>
      </c>
      <c r="D16" s="237" t="n">
        <v>14156</v>
      </c>
      <c r="E16" s="23">
        <f>Round(D16*1.3*1.105,-2)</f>
        <v/>
      </c>
      <c r="F16" s="23">
        <f>round(E16*1.105,-2)</f>
        <v/>
      </c>
      <c r="G16" s="23">
        <f>F16*1.21</f>
        <v/>
      </c>
      <c r="H16" s="23">
        <f>round(G16,-2)</f>
        <v/>
      </c>
      <c r="I16" s="13" t="n"/>
      <c r="J16" s="24" t="inlineStr">
        <is>
          <t>$7.223,52</t>
        </is>
      </c>
      <c r="K16" s="13" t="n"/>
      <c r="L16" s="27" t="inlineStr">
        <is>
          <t>$6.750,96</t>
        </is>
      </c>
      <c r="M16" s="38" t="n"/>
      <c r="N16" s="26" t="n">
        <v>-0.0654</v>
      </c>
    </row>
    <row r="17">
      <c r="A17" s="21" t="n">
        <v>920</v>
      </c>
      <c r="B17" s="13" t="inlineStr">
        <is>
          <t>Toalla Blanca Especial 21 x 37 ( tiza )</t>
        </is>
      </c>
      <c r="D17" s="237" t="n">
        <v>19308</v>
      </c>
      <c r="E17" s="23">
        <f>Round(D17*1.3*1.105,-2)</f>
        <v/>
      </c>
      <c r="F17" s="23">
        <f>round(E17*1.105,-2)</f>
        <v/>
      </c>
      <c r="G17" s="23">
        <f>F17*1.21</f>
        <v/>
      </c>
      <c r="H17" s="23">
        <f>round(G17,-2)</f>
        <v/>
      </c>
      <c r="I17" s="13" t="n"/>
      <c r="J17" s="24" t="inlineStr">
        <is>
          <t>$9.853,97</t>
        </is>
      </c>
      <c r="K17" s="13" t="n"/>
      <c r="L17" s="27" t="inlineStr">
        <is>
          <t>$9.209,32</t>
        </is>
      </c>
      <c r="M17" s="38" t="n"/>
      <c r="N17" s="26" t="n">
        <v>-0.0654</v>
      </c>
    </row>
    <row r="18">
      <c r="A18" s="21" t="n">
        <v>927</v>
      </c>
      <c r="B18" s="13" t="inlineStr">
        <is>
          <t>Toalla Blanca Especial 17,5 x 25 ( tiza ) Unita</t>
        </is>
      </c>
      <c r="D18" s="237" t="n">
        <v>11094</v>
      </c>
      <c r="E18" s="23">
        <f>Round(D18*1.3*1.105,-2)</f>
        <v/>
      </c>
      <c r="F18" s="23">
        <f>round(E18*1.105,-2)</f>
        <v/>
      </c>
      <c r="G18" s="23">
        <f>F18*1.21</f>
        <v/>
      </c>
      <c r="H18" s="23">
        <f>round(G18,-2)</f>
        <v/>
      </c>
      <c r="I18" s="13" t="n"/>
      <c r="J18" s="24" t="inlineStr">
        <is>
          <t>$5.662,28</t>
        </is>
      </c>
      <c r="K18" s="13" t="n"/>
      <c r="L18" s="27" t="inlineStr">
        <is>
          <t>$5.291,86</t>
        </is>
      </c>
      <c r="M18" s="38" t="n"/>
      <c r="N18" s="26" t="n">
        <v>-0.0654</v>
      </c>
    </row>
    <row r="19">
      <c r="A19" s="21" t="n">
        <v>928</v>
      </c>
      <c r="B19" s="13" t="inlineStr">
        <is>
          <t>Cajas x 2500 Toallas Beige 21x37</t>
        </is>
      </c>
      <c r="D19" s="237" t="n">
        <v>16373</v>
      </c>
      <c r="E19" s="23">
        <f>Round(D19*1.3*1.105,-2)</f>
        <v/>
      </c>
      <c r="F19" s="23">
        <f>round(E19*1.105,-2)</f>
        <v/>
      </c>
      <c r="G19" s="23">
        <f>F19*1.21</f>
        <v/>
      </c>
      <c r="H19" s="23">
        <f>round(G19,-2)</f>
        <v/>
      </c>
      <c r="I19" s="13" t="n"/>
      <c r="J19" s="24" t="inlineStr">
        <is>
          <t>$8.356,10</t>
        </is>
      </c>
      <c r="K19" s="13" t="n"/>
      <c r="L19" s="27" t="inlineStr">
        <is>
          <t>$7.809,44</t>
        </is>
      </c>
      <c r="M19" s="38" t="n"/>
      <c r="N19" s="26" t="n">
        <v>-0.0654</v>
      </c>
    </row>
    <row r="20">
      <c r="A20" s="21" t="n">
        <v>930</v>
      </c>
      <c r="B20" s="13" t="inlineStr">
        <is>
          <t>Toalla Blanca Super 21x37 cm</t>
        </is>
      </c>
      <c r="C20" s="13" t="n"/>
      <c r="D20" s="237" t="n">
        <v>20870</v>
      </c>
      <c r="E20" s="23">
        <f>Round(D20*1.3*1.105,-2)</f>
        <v/>
      </c>
      <c r="F20" s="23">
        <f>round(E20*1.105,-2)</f>
        <v/>
      </c>
      <c r="G20" s="23">
        <f>F20*1.21</f>
        <v/>
      </c>
      <c r="H20" s="23">
        <f>round(G20,-2)</f>
        <v/>
      </c>
      <c r="I20" s="13" t="n"/>
      <c r="J20" s="24" t="inlineStr">
        <is>
          <t>$10.651,38</t>
        </is>
      </c>
      <c r="K20" s="13" t="n"/>
      <c r="L20" s="27" t="inlineStr">
        <is>
          <t>$9.954,56</t>
        </is>
      </c>
      <c r="M20" s="38" t="n"/>
      <c r="N20" s="26" t="n">
        <v>-0.0654</v>
      </c>
    </row>
    <row r="21">
      <c r="A21" s="21" t="n">
        <v>931</v>
      </c>
      <c r="B21" s="13" t="inlineStr">
        <is>
          <t>Caja x 2500 Toallas Beige Unitas 17,5 cm x 25 cm</t>
        </is>
      </c>
      <c r="D21" s="237" t="n">
        <v>10207</v>
      </c>
      <c r="E21" s="23">
        <f>Round(D21*1.3*1.105,-2)</f>
        <v/>
      </c>
      <c r="F21" s="23">
        <f>round(E21*1.105,-2)</f>
        <v/>
      </c>
      <c r="G21" s="23">
        <f>F21*1.21</f>
        <v/>
      </c>
      <c r="H21" s="23">
        <f>round(G21,-2)</f>
        <v/>
      </c>
      <c r="I21" s="24" t="n"/>
      <c r="J21" s="24" t="inlineStr">
        <is>
          <t>$5.209,35</t>
        </is>
      </c>
      <c r="K21" s="13" t="n"/>
      <c r="L21" s="27" t="inlineStr">
        <is>
          <t>$4.868,56</t>
        </is>
      </c>
      <c r="M21" s="38" t="n"/>
      <c r="N21" s="26" t="n">
        <v>-0.0654</v>
      </c>
    </row>
    <row r="22">
      <c r="A22" s="21" t="n">
        <v>932</v>
      </c>
      <c r="B22" s="13" t="inlineStr">
        <is>
          <t>Caja x 2500 Toallas Beige 21 cm x 25 cm simple hoja</t>
        </is>
      </c>
      <c r="D22" s="237" t="n">
        <v>11638</v>
      </c>
      <c r="E22" s="23">
        <f>Round(D22*1.3*1.105,-2)</f>
        <v/>
      </c>
      <c r="F22" s="23">
        <f>round(E22*1.105,-2)</f>
        <v/>
      </c>
      <c r="G22" s="23">
        <f>F22*1.21</f>
        <v/>
      </c>
      <c r="H22" s="23">
        <f>round(G22,-2)</f>
        <v/>
      </c>
      <c r="I22" s="13" t="n"/>
      <c r="J22" s="24" t="inlineStr">
        <is>
          <t>$5.939,57</t>
        </is>
      </c>
      <c r="K22" s="13" t="n"/>
      <c r="L22" s="27" t="inlineStr">
        <is>
          <t>$5.551,00</t>
        </is>
      </c>
      <c r="M22" s="38" t="n"/>
      <c r="N22" s="26" t="n">
        <v>-0.0654</v>
      </c>
    </row>
    <row r="23">
      <c r="A23" s="21" t="n"/>
      <c r="B23" s="13" t="n"/>
      <c r="C23" s="13" t="n"/>
      <c r="D23" s="2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38" t="n"/>
      <c r="N23" s="15" t="n"/>
    </row>
    <row r="24">
      <c r="A24" s="16" t="inlineStr">
        <is>
          <t>TOALLAS EN ROLLO</t>
        </is>
      </c>
      <c r="B24" s="271" t="n"/>
      <c r="C24" s="13" t="n"/>
      <c r="D24" s="2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>
      <c r="A25" s="28" t="n"/>
      <c r="B25" s="9" t="n"/>
      <c r="C25" s="13" t="n"/>
      <c r="D25" s="2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4" t="n"/>
      <c r="N25" s="40" t="n"/>
    </row>
    <row r="26">
      <c r="A26" s="64" t="n">
        <v>116</v>
      </c>
      <c r="B26" s="61" t="inlineStr">
        <is>
          <t>Pack x 6 Rollos de Toallas x 200 mts. Blanca</t>
        </is>
      </c>
      <c r="D26" s="237" t="n">
        <v>18240</v>
      </c>
      <c r="E26" s="23">
        <f>Round(D26*1.3*1.105,-2)</f>
        <v/>
      </c>
      <c r="F26" s="23">
        <f>round(E26*1.105,-2)</f>
        <v/>
      </c>
      <c r="G26" s="23">
        <f>F26*1.21</f>
        <v/>
      </c>
      <c r="H26" s="23">
        <f>round(G26,-2)</f>
        <v/>
      </c>
      <c r="I26" s="13" t="n"/>
      <c r="J26" s="24" t="inlineStr">
        <is>
          <t>$11.689,72</t>
        </is>
      </c>
      <c r="K26" s="13" t="n"/>
      <c r="L26" s="27" t="inlineStr">
        <is>
          <t>$11.014,34</t>
        </is>
      </c>
      <c r="M26" s="38" t="n"/>
      <c r="N26" s="26" t="n">
        <v>-0.0578</v>
      </c>
    </row>
    <row r="27">
      <c r="A27" s="21" t="n">
        <v>135</v>
      </c>
      <c r="B27" s="13" t="inlineStr">
        <is>
          <t>Recarga Original P/Dispenser Celmatic 2500 U. Dobles</t>
        </is>
      </c>
      <c r="D27" s="237" t="n">
        <v>29189</v>
      </c>
      <c r="E27" s="23">
        <f>Round(D27*1.3*1.105,-2)</f>
        <v/>
      </c>
      <c r="F27" s="23">
        <f>round(E27*1.105,-2)</f>
        <v/>
      </c>
      <c r="G27" s="23">
        <f>F27*1.21</f>
        <v/>
      </c>
      <c r="H27" s="23">
        <f>round(G27,-2)</f>
        <v/>
      </c>
      <c r="I27" s="13" t="n"/>
      <c r="J27" s="24" t="inlineStr">
        <is>
          <t>$14.896,81</t>
        </is>
      </c>
      <c r="K27" s="13" t="n"/>
      <c r="L27" s="27" t="inlineStr">
        <is>
          <t>$5.338,02</t>
        </is>
      </c>
      <c r="M27" s="38" t="n"/>
      <c r="N27" s="26" t="n">
        <v>-0.6417</v>
      </c>
    </row>
    <row r="28">
      <c r="A28" s="21" t="n">
        <v>136</v>
      </c>
      <c r="B28" s="13" t="inlineStr">
        <is>
          <t>Pack x 4 Recarga Celmatic Due 2400 U. Dobles</t>
        </is>
      </c>
      <c r="D28" s="237" t="n">
        <v>23092</v>
      </c>
      <c r="E28" s="23">
        <f>Round(D28*1.3*1.105,-2)</f>
        <v/>
      </c>
      <c r="F28" s="23">
        <f>round(E28*1.105,-2)</f>
        <v/>
      </c>
      <c r="G28" s="23">
        <f>F28*1.21</f>
        <v/>
      </c>
      <c r="H28" s="23">
        <f>round(G28,-2)</f>
        <v/>
      </c>
      <c r="I28" s="13" t="n"/>
      <c r="J28" s="24" t="inlineStr">
        <is>
          <t>$11.785,34</t>
        </is>
      </c>
      <c r="K28" s="13" t="n"/>
      <c r="L28" s="27" t="inlineStr">
        <is>
          <t>$4.254,18</t>
        </is>
      </c>
      <c r="M28" s="38" t="n"/>
      <c r="N28" s="26" t="n">
        <v>-0.639</v>
      </c>
    </row>
    <row r="29">
      <c r="A29" s="21" t="n">
        <v>204</v>
      </c>
      <c r="B29" s="13" t="inlineStr">
        <is>
          <t>Pack X 2 Rollos de toalla x 300 mts Blanca</t>
        </is>
      </c>
      <c r="D29" s="237" t="n">
        <v>9120</v>
      </c>
      <c r="E29" s="23">
        <f>Round(D29*1.3*1.105,-2)</f>
        <v/>
      </c>
      <c r="F29" s="23">
        <f>round(E29*1.105,-2)</f>
        <v/>
      </c>
      <c r="G29" s="23">
        <f>F29*1.21</f>
        <v/>
      </c>
      <c r="H29" s="23">
        <f>round(G29,-2)</f>
        <v/>
      </c>
      <c r="I29" s="13" t="n"/>
      <c r="J29" s="24" t="inlineStr">
        <is>
          <t>$5.711,68</t>
        </is>
      </c>
      <c r="K29" s="13" t="n"/>
      <c r="L29" s="27" t="inlineStr">
        <is>
          <t>$10.924,98</t>
        </is>
      </c>
      <c r="M29" s="38" t="n"/>
      <c r="N29" s="26" t="n">
        <v>0.9127</v>
      </c>
    </row>
    <row r="30">
      <c r="A30" s="21" t="n">
        <v>205</v>
      </c>
      <c r="B30" s="13" t="inlineStr">
        <is>
          <t>Pack X 2 Rollos de toalla x 240 mts Blanca</t>
        </is>
      </c>
      <c r="D30" s="237" t="n">
        <v>7296</v>
      </c>
      <c r="E30" s="23">
        <f>Round(D30*1.3*1.105,-2)</f>
        <v/>
      </c>
      <c r="F30" s="23">
        <f>round(E30*1.105,-2)</f>
        <v/>
      </c>
      <c r="G30" s="23">
        <f>F30*1.21</f>
        <v/>
      </c>
      <c r="H30" s="23">
        <f>round(G30,-2)</f>
        <v/>
      </c>
      <c r="I30" s="13" t="n"/>
      <c r="J30" s="24" t="inlineStr">
        <is>
          <t>$4.551,98</t>
        </is>
      </c>
      <c r="K30" s="13" t="n"/>
      <c r="L30" s="27" t="inlineStr">
        <is>
          <t>$13.922,26</t>
        </is>
      </c>
      <c r="M30" s="38" t="n"/>
      <c r="N30" s="26" t="n">
        <v>2.0585</v>
      </c>
    </row>
    <row r="31">
      <c r="A31" s="13" t="n"/>
      <c r="B31" s="13" t="n"/>
      <c r="C31" s="13" t="n"/>
      <c r="D31" s="10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</row>
    <row r="32">
      <c r="A32" s="13" t="n"/>
      <c r="B32" s="13" t="n"/>
      <c r="C32" s="13" t="n"/>
      <c r="D32" s="10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>
      <c r="A33" s="43" t="inlineStr">
        <is>
          <t>SERVILLETAS LAMINADAS</t>
        </is>
      </c>
      <c r="B33" s="272" t="n"/>
      <c r="C33" s="13" t="n"/>
      <c r="D33" s="2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38" t="n"/>
      <c r="N33" s="15" t="n"/>
    </row>
    <row r="34">
      <c r="A34" s="21" t="n"/>
      <c r="B34" s="13" t="n"/>
      <c r="C34" s="13" t="n"/>
      <c r="D34" s="2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38" t="n"/>
      <c r="N34" s="15" t="n"/>
    </row>
    <row r="35">
      <c r="A35" s="45" t="n">
        <v>550</v>
      </c>
      <c r="B35" s="47" t="inlineStr">
        <is>
          <t>CAJA POR 1600 SERV LAMINADAS DE 40 X40 CM</t>
        </is>
      </c>
      <c r="C35" s="47" t="n"/>
      <c r="D35" s="48" t="n">
        <v>87887.64</v>
      </c>
      <c r="E35" s="23">
        <f>Round(D35*1.3*1.105,-2)</f>
        <v/>
      </c>
      <c r="F35" s="23">
        <f>round(E35*1.105,-2)</f>
        <v/>
      </c>
      <c r="G35" s="23">
        <f>F35*1.21</f>
        <v/>
      </c>
      <c r="H35" s="23">
        <f>round(G35,-2)</f>
        <v/>
      </c>
      <c r="I35" s="13" t="n"/>
      <c r="J35" s="13" t="n"/>
      <c r="K35" s="13" t="n"/>
      <c r="L35" s="13" t="n"/>
      <c r="M35" s="38" t="n"/>
      <c r="N35" s="15" t="n"/>
    </row>
    <row r="36">
      <c r="A36" s="49" t="n">
        <v>551</v>
      </c>
      <c r="B36" s="51" t="inlineStr">
        <is>
          <t>CAJA POR 1600 SERV ECOLOGICAS LAM DE 40 X40</t>
        </is>
      </c>
      <c r="C36" s="51" t="n"/>
      <c r="D36" s="52" t="n">
        <v>87887.64</v>
      </c>
      <c r="E36" s="23">
        <f>Round(D36*1.3*1.105,-2)</f>
        <v/>
      </c>
      <c r="F36" s="23">
        <f>round(E36*1.105,-2)</f>
        <v/>
      </c>
      <c r="G36" s="23">
        <f>F36*1.21</f>
        <v/>
      </c>
      <c r="H36" s="23">
        <f>round(G36,-2)</f>
        <v/>
      </c>
      <c r="I36" s="13" t="n"/>
      <c r="J36" s="13" t="n"/>
      <c r="K36" s="13" t="n"/>
      <c r="L36" s="13" t="n"/>
      <c r="M36" s="38" t="n"/>
      <c r="N36" s="15" t="n"/>
    </row>
    <row r="37">
      <c r="A37" s="21" t="n"/>
      <c r="B37" s="13" t="n"/>
      <c r="C37" s="13" t="n"/>
      <c r="D37" s="2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38" t="n"/>
      <c r="N37" s="15" t="n"/>
    </row>
    <row r="38">
      <c r="A38" s="21" t="n"/>
      <c r="B38" s="13" t="n"/>
      <c r="C38" s="13" t="n"/>
      <c r="D38" s="2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38" t="n"/>
      <c r="N38" s="15" t="n"/>
    </row>
    <row r="39">
      <c r="A39" s="21" t="n"/>
      <c r="B39" s="13" t="n"/>
      <c r="C39" s="13" t="n"/>
      <c r="D39" s="2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38" t="n"/>
      <c r="N39" s="15" t="n"/>
    </row>
    <row r="40">
      <c r="A40" s="16" t="inlineStr">
        <is>
          <t>CELSOFT</t>
        </is>
      </c>
      <c r="B40" s="55" t="inlineStr">
        <is>
          <t>Precios en Dolares</t>
        </is>
      </c>
      <c r="C40" s="13" t="n"/>
      <c r="D40" s="54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4" t="n"/>
      <c r="N40" s="15" t="n"/>
    </row>
    <row r="41">
      <c r="A41" s="28" t="n"/>
      <c r="B41" s="55" t="n"/>
      <c r="C41" s="13" t="n"/>
      <c r="D41" s="56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4" t="n"/>
      <c r="N41" s="15" t="n"/>
    </row>
    <row r="42">
      <c r="A42" s="21" t="n">
        <v>501</v>
      </c>
      <c r="B42" s="57" t="inlineStr">
        <is>
          <t>Pack x 2 rollos Cel-Soft de 22,5 x 150 mts</t>
        </is>
      </c>
      <c r="D42" s="237" t="n">
        <v>44</v>
      </c>
      <c r="E42" s="23">
        <f>Round(D42*1.3*1.105,-1)</f>
        <v/>
      </c>
      <c r="F42" s="23">
        <f>E42/0.9</f>
        <v/>
      </c>
      <c r="G42" s="23">
        <f>F42*1.21</f>
        <v/>
      </c>
      <c r="H42" s="23">
        <f>round(G42,0)</f>
        <v/>
      </c>
      <c r="I42" s="13" t="n"/>
      <c r="J42" s="24" t="inlineStr">
        <is>
          <t>$61,27</t>
        </is>
      </c>
      <c r="K42" s="13" t="n"/>
      <c r="L42" s="25" t="inlineStr">
        <is>
          <t>$61,27</t>
        </is>
      </c>
      <c r="M42" s="38" t="n"/>
      <c r="N42" s="58" t="n">
        <v>0</v>
      </c>
    </row>
    <row r="43">
      <c r="A43" s="21" t="n">
        <v>505</v>
      </c>
      <c r="B43" s="13" t="inlineStr">
        <is>
          <t>Caja x 2000 U. Servilletas Cel-Soft 30 x 40 cm</t>
        </is>
      </c>
      <c r="D43" s="237" t="n">
        <v>144</v>
      </c>
      <c r="E43" s="23">
        <f>Round(D43*1.3*1.105,-1)</f>
        <v/>
      </c>
      <c r="F43" s="23">
        <f>E43/0.9</f>
        <v/>
      </c>
      <c r="G43" s="23">
        <f>F43*1.21</f>
        <v/>
      </c>
      <c r="H43" s="23">
        <f>round(G43,0)</f>
        <v/>
      </c>
      <c r="I43" s="13" t="n"/>
      <c r="J43" s="24" t="inlineStr">
        <is>
          <t>$294,28</t>
        </is>
      </c>
      <c r="K43" s="13" t="n"/>
      <c r="L43" s="27" t="inlineStr">
        <is>
          <t>$294,28</t>
        </is>
      </c>
      <c r="M43" s="38" t="n"/>
      <c r="N43" s="26" t="n">
        <v>0</v>
      </c>
    </row>
    <row r="44">
      <c r="A44" s="21" t="n">
        <v>506</v>
      </c>
      <c r="B44" s="13" t="inlineStr">
        <is>
          <t>Caja x 3500 Toallas Cel-Soft 21 x 25 cm Blancas</t>
        </is>
      </c>
      <c r="D44" s="237" t="n">
        <v>0</v>
      </c>
      <c r="E44" s="23">
        <f>Round(D44*1.3*1.105,-1)</f>
        <v/>
      </c>
      <c r="F44" s="23">
        <f>E44/0.9</f>
        <v/>
      </c>
      <c r="G44" s="23">
        <f>F44*1.21</f>
        <v/>
      </c>
      <c r="H44" s="23">
        <f>round(G44,0)</f>
        <v/>
      </c>
      <c r="I44" s="13" t="n"/>
      <c r="J44" s="24" t="inlineStr">
        <is>
          <t>$164,70</t>
        </is>
      </c>
      <c r="K44" s="13" t="n"/>
      <c r="L44" s="27" t="inlineStr">
        <is>
          <t>$164,70</t>
        </is>
      </c>
      <c r="M44" s="38" t="n"/>
      <c r="N44" s="26" t="n">
        <v>0</v>
      </c>
    </row>
    <row r="45">
      <c r="A45" s="21" t="n">
        <v>512</v>
      </c>
      <c r="B45" s="13" t="inlineStr">
        <is>
          <t>Caja x 2000 U. Servilletas Cel-Soft 30 x 25 cm</t>
        </is>
      </c>
      <c r="D45" s="237" t="n">
        <v>0</v>
      </c>
      <c r="E45" s="23">
        <f>Round(D45*1.3*1.105,-1)</f>
        <v/>
      </c>
      <c r="F45" s="23">
        <f>E45/0.9</f>
        <v/>
      </c>
      <c r="G45" s="23">
        <f>F45*1.21</f>
        <v/>
      </c>
      <c r="H45" s="23">
        <f>round(G45,0)</f>
        <v/>
      </c>
      <c r="I45" s="24" t="n"/>
      <c r="J45" s="24" t="inlineStr">
        <is>
          <t>$186,84</t>
        </is>
      </c>
      <c r="K45" s="13" t="n"/>
      <c r="L45" s="27" t="inlineStr">
        <is>
          <t>$186,84</t>
        </is>
      </c>
      <c r="M45" s="38" t="n"/>
      <c r="N45" s="26" t="n">
        <v>0</v>
      </c>
    </row>
    <row r="46">
      <c r="A46" s="21" t="n">
        <v>514</v>
      </c>
      <c r="B46" s="13" t="inlineStr">
        <is>
          <t>Caja por 600 servilletas Celsoft 40x40 Victoria Ambra</t>
        </is>
      </c>
      <c r="D46" s="237" t="n">
        <v>78</v>
      </c>
      <c r="E46" s="23">
        <f>Round(D46*1.3*1.105,-1)</f>
        <v/>
      </c>
      <c r="F46" s="23">
        <f>E46/0.9</f>
        <v/>
      </c>
      <c r="G46" s="23">
        <f>F46*1.21</f>
        <v/>
      </c>
      <c r="H46" s="23">
        <f>round(G46,0)</f>
        <v/>
      </c>
      <c r="I46" s="13" t="n"/>
      <c r="J46" s="24" t="inlineStr">
        <is>
          <t>$201,24</t>
        </is>
      </c>
      <c r="K46" s="13" t="n"/>
      <c r="L46" s="27" t="inlineStr">
        <is>
          <t>$201,24</t>
        </is>
      </c>
      <c r="M46" s="38" t="n"/>
      <c r="N46" s="26" t="n">
        <v>0</v>
      </c>
    </row>
    <row r="47">
      <c r="A47" s="21" t="n">
        <v>515</v>
      </c>
      <c r="B47" s="13" t="inlineStr">
        <is>
          <t>Caja por 600 servilletas Celsoft 40x40 Victoria Nero</t>
        </is>
      </c>
      <c r="D47" s="237" t="n">
        <v>78</v>
      </c>
      <c r="E47" s="23">
        <f>Round(D47*1.3*1.105,-1)</f>
        <v/>
      </c>
      <c r="F47" s="23">
        <f>E47/0.9</f>
        <v/>
      </c>
      <c r="G47" s="23">
        <f>F47*1.21</f>
        <v/>
      </c>
      <c r="H47" s="23">
        <f>round(G47,0)</f>
        <v/>
      </c>
      <c r="I47" s="13" t="n"/>
      <c r="J47" s="24" t="inlineStr">
        <is>
          <t>$201,24</t>
        </is>
      </c>
      <c r="K47" s="13" t="n"/>
      <c r="L47" s="27" t="inlineStr">
        <is>
          <t>$201,24</t>
        </is>
      </c>
      <c r="M47" s="38" t="n"/>
      <c r="N47" s="26" t="n">
        <v>0</v>
      </c>
    </row>
    <row r="48">
      <c r="A48" s="21" t="n">
        <v>516</v>
      </c>
      <c r="B48" s="13" t="inlineStr">
        <is>
          <t>Caja por 600 servilletas Celsoft 40x40 Tasca Bordeaux</t>
        </is>
      </c>
      <c r="D48" s="237" t="n">
        <v>0</v>
      </c>
      <c r="E48" s="23">
        <f>Round(D48*1.3*1.105,-1)</f>
        <v/>
      </c>
      <c r="F48" s="23">
        <f>E48/0.9</f>
        <v/>
      </c>
      <c r="G48" s="23">
        <f>F48*1.21</f>
        <v/>
      </c>
      <c r="H48" s="23">
        <f>round(G48,0)</f>
        <v/>
      </c>
      <c r="I48" s="13" t="n"/>
      <c r="J48" s="24" t="inlineStr">
        <is>
          <t>$237,29</t>
        </is>
      </c>
      <c r="K48" s="13" t="n"/>
      <c r="L48" s="27" t="inlineStr">
        <is>
          <t>$237,29</t>
        </is>
      </c>
      <c r="M48" s="38" t="n"/>
      <c r="N48" s="26" t="n">
        <v>0</v>
      </c>
    </row>
    <row r="49">
      <c r="A49" s="21" t="n">
        <v>517</v>
      </c>
      <c r="B49" s="13" t="inlineStr">
        <is>
          <t>Caja por 600 servilletas Celsoft 40x40 Tasca Nero</t>
        </is>
      </c>
      <c r="D49" s="237" t="n">
        <v>0</v>
      </c>
      <c r="E49" s="23">
        <f>Round(D49*1.3*1.105,-1)</f>
        <v/>
      </c>
      <c r="F49" s="23">
        <f>E49/0.9</f>
        <v/>
      </c>
      <c r="G49" s="23">
        <f>F49*1.21</f>
        <v/>
      </c>
      <c r="H49" s="23">
        <f>round(G49,0)</f>
        <v/>
      </c>
      <c r="I49" s="13" t="n"/>
      <c r="J49" s="24" t="inlineStr">
        <is>
          <t>$237,29</t>
        </is>
      </c>
      <c r="K49" s="13" t="n"/>
      <c r="L49" s="27" t="inlineStr">
        <is>
          <t>$237,29</t>
        </is>
      </c>
      <c r="M49" s="38" t="n"/>
      <c r="N49" s="26" t="n">
        <v>0</v>
      </c>
    </row>
    <row r="50">
      <c r="A50" s="21" t="n">
        <v>518</v>
      </c>
      <c r="B50" s="13" t="inlineStr">
        <is>
          <t>Caja por 600 servilletas Celsoft 40x40 Tasca Lino Avorio</t>
        </is>
      </c>
      <c r="D50" s="237" t="n">
        <v>78</v>
      </c>
      <c r="E50" s="23">
        <f>Round(D50*1.3*1.105,-1)</f>
        <v/>
      </c>
      <c r="F50" s="23">
        <f>E50/0.9</f>
        <v/>
      </c>
      <c r="G50" s="23">
        <f>F50*1.21</f>
        <v/>
      </c>
      <c r="H50" s="23">
        <f>round(G50,0)</f>
        <v/>
      </c>
      <c r="I50" s="13" t="n"/>
      <c r="J50" s="24" t="inlineStr">
        <is>
          <t>$201,24</t>
        </is>
      </c>
      <c r="K50" s="13" t="n"/>
      <c r="L50" s="27" t="inlineStr">
        <is>
          <t>$201,24</t>
        </is>
      </c>
      <c r="M50" s="38" t="n"/>
      <c r="N50" s="26" t="n">
        <v>0</v>
      </c>
    </row>
    <row r="51">
      <c r="A51" s="21" t="n">
        <v>519</v>
      </c>
      <c r="B51" s="13" t="inlineStr">
        <is>
          <t>Caja por 600 servilletas Celsoft 40x40 Taca Iuta Grigio</t>
        </is>
      </c>
      <c r="D51" s="237" t="n">
        <v>78</v>
      </c>
      <c r="E51" s="23">
        <f>Round(D51*1.3*1.105,-1)</f>
        <v/>
      </c>
      <c r="F51" s="23">
        <f>E51/0.9</f>
        <v/>
      </c>
      <c r="G51" s="23">
        <f>F51*1.21</f>
        <v/>
      </c>
      <c r="H51" s="23">
        <f>round(G51,0)</f>
        <v/>
      </c>
      <c r="I51" s="13" t="n"/>
      <c r="J51" s="24" t="inlineStr">
        <is>
          <t>$201,24</t>
        </is>
      </c>
      <c r="K51" s="13" t="n"/>
      <c r="L51" s="27" t="inlineStr">
        <is>
          <t>$201,24</t>
        </is>
      </c>
      <c r="M51" s="38" t="n"/>
      <c r="N51" s="26" t="n">
        <v>0</v>
      </c>
    </row>
    <row r="52">
      <c r="A52" s="21" t="n">
        <v>520</v>
      </c>
      <c r="B52" s="13" t="inlineStr">
        <is>
          <t>Caja de servilletas Celsoft 40 x 40 SAMPLER 300 Unid</t>
        </is>
      </c>
      <c r="D52" s="237" t="n">
        <v>78</v>
      </c>
      <c r="E52" s="23">
        <f>Round(D52*1.3*1.105,-1)</f>
        <v/>
      </c>
      <c r="F52" s="23">
        <f>E52/0.9</f>
        <v/>
      </c>
      <c r="G52" s="23">
        <f>F52*1.21</f>
        <v/>
      </c>
      <c r="H52" s="23">
        <f>round(G52,0)</f>
        <v/>
      </c>
      <c r="I52" s="13" t="n"/>
      <c r="J52" s="24" t="inlineStr">
        <is>
          <t>$106,52</t>
        </is>
      </c>
      <c r="K52" s="13" t="n"/>
      <c r="L52" s="27" t="inlineStr">
        <is>
          <t>$106,52</t>
        </is>
      </c>
      <c r="M52" s="38" t="n"/>
      <c r="N52" s="26" t="n">
        <v>0</v>
      </c>
    </row>
    <row r="53">
      <c r="A53" s="21" t="n"/>
      <c r="B53" s="13" t="n"/>
      <c r="C53" s="13" t="n"/>
      <c r="D53" s="2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38" t="n"/>
      <c r="N53" s="15" t="n"/>
    </row>
    <row r="54">
      <c r="A54" s="59" t="inlineStr">
        <is>
          <t>PAPEL HIGIENICO</t>
        </is>
      </c>
      <c r="B54" s="271" t="n"/>
      <c r="C54" s="13" t="n"/>
      <c r="D54" s="2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>
      <c r="A55" s="9" t="n"/>
      <c r="B55" s="13" t="n"/>
      <c r="C55" s="13" t="n"/>
      <c r="D55" s="2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40" t="n"/>
      <c r="N55" s="15" t="n"/>
    </row>
    <row r="56">
      <c r="A56" s="64" t="n">
        <v>211</v>
      </c>
      <c r="B56" s="61" t="inlineStr">
        <is>
          <t>Pack x18 Rollos Higienico Racional D/H x 60 mts</t>
        </is>
      </c>
      <c r="D56" s="237" t="n">
        <v>13123</v>
      </c>
      <c r="E56" s="60">
        <f>Round(D56*1.3*1.105,-2)</f>
        <v/>
      </c>
      <c r="F56" s="60">
        <f>round(E56*1.105,-2)</f>
        <v/>
      </c>
      <c r="G56" s="60">
        <f>F56*1.21</f>
        <v/>
      </c>
      <c r="H56" s="60">
        <f>round(G56,-2)</f>
        <v/>
      </c>
      <c r="I56" s="61" t="n"/>
      <c r="J56" s="62" t="inlineStr">
        <is>
          <t>$8.372,11</t>
        </is>
      </c>
      <c r="K56" s="61" t="n"/>
      <c r="L56" s="63" t="inlineStr">
        <is>
          <t>$7.824,41</t>
        </is>
      </c>
      <c r="M56" s="64" t="n"/>
      <c r="N56" s="65" t="n">
        <v>-0.0654</v>
      </c>
    </row>
    <row r="57">
      <c r="A57" s="21" t="n">
        <v>213</v>
      </c>
      <c r="B57" s="13" t="inlineStr">
        <is>
          <t>Pack x 4 Rollos Higienico Racional x 500 mts Buje 7,5</t>
        </is>
      </c>
      <c r="D57" s="237" t="n">
        <v>10170</v>
      </c>
      <c r="E57" s="23">
        <f>Round(D57*1.3*1.105,-2)</f>
        <v/>
      </c>
      <c r="F57" s="23">
        <f>round(E57*1.105,-2)</f>
        <v/>
      </c>
      <c r="G57" s="23">
        <f>F57*1.21</f>
        <v/>
      </c>
      <c r="H57" s="23">
        <f>round(G57,-2)</f>
        <v/>
      </c>
      <c r="I57" s="13" t="n"/>
      <c r="J57" s="24" t="inlineStr">
        <is>
          <t>$6.488,53</t>
        </is>
      </c>
      <c r="K57" s="13" t="n"/>
      <c r="L57" s="27" t="inlineStr">
        <is>
          <t>$6.064,05</t>
        </is>
      </c>
      <c r="M57" s="38" t="n"/>
      <c r="N57" s="26" t="n">
        <v>-0.0654</v>
      </c>
    </row>
    <row r="58">
      <c r="A58" s="64" t="n">
        <v>214</v>
      </c>
      <c r="B58" s="61" t="inlineStr">
        <is>
          <t>Pack x 18 rollos Papel Higienico Racional x 122 mts</t>
        </is>
      </c>
      <c r="D58" s="237" t="n">
        <v>12495</v>
      </c>
      <c r="E58" s="60">
        <f>Round(D58*1.3*1.105,-2)</f>
        <v/>
      </c>
      <c r="F58" s="60">
        <f>round(E58*1.105,-2)</f>
        <v/>
      </c>
      <c r="G58" s="60">
        <f>F58*1.21</f>
        <v/>
      </c>
      <c r="H58" s="60">
        <f>round(G58,-2)</f>
        <v/>
      </c>
      <c r="I58" s="61" t="n"/>
      <c r="J58" s="62" t="inlineStr">
        <is>
          <t>$7.971,55</t>
        </is>
      </c>
      <c r="K58" s="61" t="n"/>
      <c r="L58" s="66" t="inlineStr">
        <is>
          <t>$7.450,06</t>
        </is>
      </c>
      <c r="M58" s="64" t="n"/>
      <c r="N58" s="65" t="n">
        <v>-0.0654</v>
      </c>
    </row>
    <row r="59">
      <c r="A59" s="21" t="n">
        <v>218</v>
      </c>
      <c r="B59" s="13" t="inlineStr">
        <is>
          <t>Pack x 8 rollos Higienico Racional x 265 mts buje 7,5</t>
        </is>
      </c>
      <c r="D59" s="237" t="n">
        <v>11501</v>
      </c>
      <c r="E59" s="23">
        <f>Round(D59*1.3*1.105,-2)</f>
        <v/>
      </c>
      <c r="F59" s="23">
        <f>round(E59*1.105,-2)</f>
        <v/>
      </c>
      <c r="G59" s="23">
        <f>F59*1.21</f>
        <v/>
      </c>
      <c r="H59" s="23">
        <f>round(G59,-2)</f>
        <v/>
      </c>
      <c r="I59" s="13" t="n"/>
      <c r="J59" s="24" t="inlineStr">
        <is>
          <t>$7.336,87</t>
        </is>
      </c>
      <c r="K59" s="13" t="n"/>
      <c r="L59" s="27" t="inlineStr">
        <is>
          <t>$6.856,90</t>
        </is>
      </c>
      <c r="M59" s="38" t="n"/>
      <c r="N59" s="26" t="n">
        <v>-0.0654</v>
      </c>
    </row>
    <row r="60">
      <c r="A60" s="64" t="n">
        <v>220</v>
      </c>
      <c r="B60" s="61" t="inlineStr">
        <is>
          <t>Pack x 8 Rollos Papel Higienico Racional x 300 mts</t>
        </is>
      </c>
      <c r="D60" s="237" t="n">
        <v>13078</v>
      </c>
      <c r="E60" s="60">
        <f>Round(D60*1.3*1.105,-2)</f>
        <v/>
      </c>
      <c r="F60" s="60">
        <f>round(E60*1.105,-2)</f>
        <v/>
      </c>
      <c r="G60" s="60">
        <f>F60*1.21</f>
        <v/>
      </c>
      <c r="H60" s="60">
        <f>round(G60,-2)</f>
        <v/>
      </c>
      <c r="I60" s="61" t="n"/>
      <c r="J60" s="62" t="inlineStr">
        <is>
          <t>$8.360,60</t>
        </is>
      </c>
      <c r="K60" s="61" t="n"/>
      <c r="L60" s="66" t="inlineStr">
        <is>
          <t>$7.813,65</t>
        </is>
      </c>
      <c r="M60" s="64" t="n"/>
      <c r="N60" s="65" t="n">
        <v>-0.0654</v>
      </c>
    </row>
    <row r="61">
      <c r="A61" s="21" t="n">
        <v>222</v>
      </c>
      <c r="B61" s="13" t="inlineStr">
        <is>
          <t>Pack x 8 Rollos Papel Higienico x 260 mts Buje4,5</t>
        </is>
      </c>
      <c r="D61" s="237" t="n">
        <v>11126</v>
      </c>
      <c r="E61" s="23">
        <f>Round(D61*1.3*1.105,-2)</f>
        <v/>
      </c>
      <c r="F61" s="23">
        <f>round(E61*1.105,-2)</f>
        <v/>
      </c>
      <c r="G61" s="23">
        <f>F61*1.21</f>
        <v/>
      </c>
      <c r="H61" s="23">
        <f>round(G61,-2)</f>
        <v/>
      </c>
      <c r="I61" s="13" t="n"/>
      <c r="J61" s="24" t="inlineStr">
        <is>
          <t>$7.097,54</t>
        </is>
      </c>
      <c r="K61" s="13" t="n"/>
      <c r="L61" s="27" t="inlineStr">
        <is>
          <t>$6.633,22</t>
        </is>
      </c>
      <c r="M61" s="38" t="n"/>
      <c r="N61" s="26" t="n">
        <v>-0.0654</v>
      </c>
    </row>
    <row r="62">
      <c r="A62" s="21" t="n">
        <v>909</v>
      </c>
      <c r="B62" s="13" t="inlineStr">
        <is>
          <t>Papel Higiénico 20 x 14,5 8000 h. 4000 usos</t>
        </is>
      </c>
      <c r="D62" s="237" t="n">
        <v>21478</v>
      </c>
      <c r="E62" s="23">
        <f>Round(D62*1.3*1.105,-2)</f>
        <v/>
      </c>
      <c r="F62" s="23">
        <f>round(E62*1.105,-2)</f>
        <v/>
      </c>
      <c r="G62" s="23">
        <f>F62*1.21</f>
        <v/>
      </c>
      <c r="H62" s="23">
        <f>round(G62,-2)</f>
        <v/>
      </c>
      <c r="I62" s="13" t="n"/>
      <c r="J62" s="24" t="inlineStr">
        <is>
          <t>$10.961,55</t>
        </is>
      </c>
      <c r="K62" s="13" t="n"/>
      <c r="L62" s="27" t="inlineStr">
        <is>
          <t>$10.244,45</t>
        </is>
      </c>
      <c r="M62" s="38" t="n"/>
      <c r="N62" s="26" t="n">
        <v>-0.0654</v>
      </c>
    </row>
    <row r="63">
      <c r="A63" s="21" t="n">
        <v>912</v>
      </c>
      <c r="B63" s="13" t="inlineStr">
        <is>
          <t>Papel Higienico UNITAS(18x14,5cm) 8000 h/4000 usos</t>
        </is>
      </c>
      <c r="D63" s="237" t="n">
        <v>17257</v>
      </c>
      <c r="E63" s="23">
        <f>Round(D63*1.3*1.105,-2)</f>
        <v/>
      </c>
      <c r="F63" s="23">
        <f>round(E63*1.105,-2)</f>
        <v/>
      </c>
      <c r="G63" s="23">
        <f>F63*1.21</f>
        <v/>
      </c>
      <c r="H63" s="23">
        <f>round(G63,-2)</f>
        <v/>
      </c>
      <c r="I63" s="24" t="n"/>
      <c r="J63" s="24" t="inlineStr">
        <is>
          <t>$8.807,34</t>
        </is>
      </c>
      <c r="K63" s="13" t="n"/>
      <c r="L63" s="27" t="inlineStr">
        <is>
          <t>$8.231,16</t>
        </is>
      </c>
      <c r="M63" s="38" t="n"/>
      <c r="N63" s="26" t="n">
        <v>-0.0654</v>
      </c>
    </row>
    <row r="64">
      <c r="A64" s="21" t="n"/>
      <c r="B64" s="13" t="n"/>
      <c r="C64" s="13" t="n"/>
      <c r="D64" s="2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38" t="n"/>
      <c r="N64" s="15" t="n"/>
    </row>
    <row r="65">
      <c r="A65" s="21" t="n"/>
      <c r="B65" s="67" t="n">
        <v>44896</v>
      </c>
      <c r="C65" s="13" t="n"/>
      <c r="D65" s="2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38" t="n"/>
      <c r="N65" s="68" t="n"/>
    </row>
    <row r="66">
      <c r="A66" s="21" t="n"/>
      <c r="B66" s="13" t="n"/>
      <c r="C66" s="13" t="n"/>
      <c r="D66" s="2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38" t="n"/>
      <c r="N66" s="15" t="n"/>
    </row>
    <row r="67">
      <c r="A67" s="16" t="inlineStr">
        <is>
          <t>CAMILLEROS</t>
        </is>
      </c>
      <c r="B67" s="13" t="n"/>
      <c r="C67" s="13" t="n"/>
      <c r="D67" s="2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4" t="n"/>
      <c r="N67" s="15" t="n"/>
    </row>
    <row r="68">
      <c r="A68" s="28" t="n"/>
      <c r="B68" s="13" t="n"/>
      <c r="C68" s="13" t="n"/>
      <c r="D68" s="23" t="n">
        <v>8867.99</v>
      </c>
      <c r="E68" s="13" t="n"/>
      <c r="F68" s="13" t="n"/>
      <c r="G68" s="13" t="n"/>
      <c r="H68" s="13" t="n"/>
      <c r="I68" s="13" t="n"/>
      <c r="J68" s="24" t="inlineStr">
        <is>
          <t>$6.630,27</t>
        </is>
      </c>
      <c r="K68" s="13" t="n"/>
      <c r="L68" s="13" t="n"/>
      <c r="M68" s="14" t="n"/>
      <c r="N68" s="15" t="n"/>
    </row>
    <row r="69">
      <c r="A69" s="21" t="n">
        <v>301</v>
      </c>
      <c r="B69" s="13" t="inlineStr">
        <is>
          <t>Pack x 2 Rollos Camilleros bco s/h 54x100mts Prec</t>
        </is>
      </c>
      <c r="D69" s="23">
        <f>D68*1.65</f>
        <v/>
      </c>
      <c r="E69" s="23">
        <f>Round(D69*1.3*1.105,-2)</f>
        <v/>
      </c>
      <c r="F69" s="23">
        <f>E69/0.9</f>
        <v/>
      </c>
      <c r="G69" s="23">
        <f>F69*1.21</f>
        <v/>
      </c>
      <c r="H69" s="23">
        <f>round(G69,-2)</f>
        <v/>
      </c>
      <c r="I69" s="13" t="n"/>
      <c r="J69" s="24" t="inlineStr">
        <is>
          <t>$7.094,39</t>
        </is>
      </c>
      <c r="K69" s="13" t="n"/>
      <c r="L69" s="13" t="n"/>
      <c r="M69" s="38" t="n"/>
      <c r="N69" s="26" t="n">
        <v>0.1</v>
      </c>
    </row>
    <row r="70">
      <c r="A70" s="21" t="n"/>
      <c r="B70" s="155" t="n"/>
      <c r="C70" s="13" t="n"/>
      <c r="D70" s="2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38" t="n"/>
      <c r="N70" s="68" t="n"/>
    </row>
    <row r="71">
      <c r="A71" s="59" t="inlineStr">
        <is>
          <t>DISPENSERS</t>
        </is>
      </c>
      <c r="B71" s="13" t="n"/>
      <c r="C71" s="13" t="n"/>
      <c r="D71" s="23">
        <f>D69*8</f>
        <v/>
      </c>
      <c r="E71" s="13" t="n"/>
      <c r="F71" s="13" t="n"/>
      <c r="G71" s="13" t="n"/>
      <c r="H71" s="13" t="n"/>
      <c r="I71" s="13" t="n"/>
      <c r="J71" s="13" t="n"/>
      <c r="K71" s="13" t="n"/>
      <c r="L71" s="13" t="n"/>
      <c r="M71" s="40" t="n"/>
      <c r="N71" s="15" t="n"/>
    </row>
    <row r="72">
      <c r="A72" s="9" t="n"/>
      <c r="B72" s="13" t="n"/>
      <c r="C72" s="13" t="n"/>
      <c r="D72" s="2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40" t="n"/>
      <c r="N72" s="15" t="n"/>
    </row>
    <row r="73">
      <c r="A73" s="21" t="n">
        <v>403</v>
      </c>
      <c r="B73" s="13" t="inlineStr">
        <is>
          <t>Portabobina de Pared</t>
        </is>
      </c>
      <c r="C73" s="13" t="n"/>
      <c r="D73" s="70" t="n">
        <v>29618.49</v>
      </c>
      <c r="E73" s="23">
        <f>Round(D73*1.3*1.105,-2)</f>
        <v/>
      </c>
      <c r="F73" s="23">
        <f>round(E73*1.105,-2)</f>
        <v/>
      </c>
      <c r="G73" s="23">
        <f>F73*1.21</f>
        <v/>
      </c>
      <c r="H73" s="23">
        <f>round(G73,-2)</f>
        <v/>
      </c>
      <c r="I73" s="13" t="n"/>
      <c r="J73" s="24" t="inlineStr">
        <is>
          <t>$14.360,46</t>
        </is>
      </c>
      <c r="K73" s="13" t="n"/>
      <c r="L73" s="25" t="inlineStr">
        <is>
          <t>$13.421,00</t>
        </is>
      </c>
      <c r="M73" s="38" t="n"/>
      <c r="N73" s="26" t="n">
        <v>-0.0654</v>
      </c>
    </row>
    <row r="74">
      <c r="A74" s="21" t="n">
        <v>418</v>
      </c>
      <c r="B74" s="13" t="inlineStr">
        <is>
          <t>Portabobina de Piso</t>
        </is>
      </c>
      <c r="C74" s="13" t="n"/>
      <c r="D74" s="71" t="n">
        <v>32579.59</v>
      </c>
      <c r="E74" s="23">
        <f>Round(D74*1.3*1.105,-2)</f>
        <v/>
      </c>
      <c r="F74" s="23">
        <f>round(E74*1.105,-2)</f>
        <v/>
      </c>
      <c r="G74" s="23">
        <f>F74*1.21</f>
        <v/>
      </c>
      <c r="H74" s="23">
        <f>round(G74,-2)</f>
        <v/>
      </c>
      <c r="I74" s="13" t="n"/>
      <c r="J74" s="24" t="inlineStr">
        <is>
          <t>$15.796,17</t>
        </is>
      </c>
      <c r="K74" s="13" t="n"/>
      <c r="L74" s="27" t="inlineStr">
        <is>
          <t>$14.762,78</t>
        </is>
      </c>
      <c r="M74" s="38" t="n"/>
      <c r="N74" s="26" t="n">
        <v>-0.0654</v>
      </c>
    </row>
    <row r="75">
      <c r="A75" s="21" t="n">
        <v>422</v>
      </c>
      <c r="B75" s="13" t="inlineStr">
        <is>
          <t>Dispenser Celmatic Due</t>
        </is>
      </c>
      <c r="C75" s="13" t="n"/>
      <c r="D75" s="71" t="n">
        <v>41745.33</v>
      </c>
      <c r="E75" s="23">
        <f>Round(D75*1.3*1.105,-2)</f>
        <v/>
      </c>
      <c r="F75" s="23">
        <f>round(E75*1.105,-2)</f>
        <v/>
      </c>
      <c r="G75" s="23">
        <f>F75*1.21</f>
        <v/>
      </c>
      <c r="H75" s="23">
        <f>round(G75,-2)</f>
        <v/>
      </c>
      <c r="I75" s="13" t="n"/>
      <c r="J75" s="24" t="inlineStr">
        <is>
          <t>$20.240,16</t>
        </is>
      </c>
      <c r="K75" s="13" t="n"/>
      <c r="L75" s="27" t="inlineStr">
        <is>
          <t>$18.916,04</t>
        </is>
      </c>
      <c r="M75" s="38" t="n"/>
      <c r="N75" s="26" t="n">
        <v>-0.0654</v>
      </c>
    </row>
    <row r="76">
      <c r="A76" s="21" t="n">
        <v>425</v>
      </c>
      <c r="B76" s="13" t="inlineStr">
        <is>
          <t>Dosificador para Jabón Líquido Recargable</t>
        </is>
      </c>
      <c r="D76" s="71" t="n">
        <v>15659.75</v>
      </c>
      <c r="E76" s="23">
        <f>Round(D76*1.3*1.105,-2)</f>
        <v/>
      </c>
      <c r="F76" s="23">
        <f>round(E76*1.105,-2)</f>
        <v/>
      </c>
      <c r="G76" s="23">
        <f>F76*1.21</f>
        <v/>
      </c>
      <c r="H76" s="23">
        <f>round(G76,-2)</f>
        <v/>
      </c>
      <c r="I76" s="13" t="n"/>
      <c r="J76" s="24" t="inlineStr">
        <is>
          <t>$7.592,61</t>
        </is>
      </c>
      <c r="K76" s="13" t="n"/>
      <c r="L76" s="27" t="inlineStr">
        <is>
          <t>$7.095,90</t>
        </is>
      </c>
      <c r="M76" s="38" t="n"/>
      <c r="N76" s="26" t="n">
        <v>-0.0654</v>
      </c>
    </row>
    <row r="77">
      <c r="A77" s="21" t="n">
        <v>427</v>
      </c>
      <c r="B77" s="13" t="inlineStr">
        <is>
          <t>Dispenser Para Papel Higienico Racional 350</t>
        </is>
      </c>
      <c r="D77" s="71" t="n">
        <v>19128.65</v>
      </c>
      <c r="E77" s="23">
        <f>Round(D77*1.3*1.105,-2)</f>
        <v/>
      </c>
      <c r="F77" s="23">
        <f>round(E77*1.105,-2)</f>
        <v/>
      </c>
      <c r="G77" s="23">
        <f>F77*1.21</f>
        <v/>
      </c>
      <c r="H77" s="23">
        <f>round(G77,-2)</f>
        <v/>
      </c>
      <c r="I77" s="13" t="n"/>
      <c r="J77" s="24" t="inlineStr">
        <is>
          <t>$9.274,50</t>
        </is>
      </c>
      <c r="K77" s="13" t="n"/>
      <c r="L77" s="27" t="inlineStr">
        <is>
          <t>$8.667,76</t>
        </is>
      </c>
      <c r="M77" s="38" t="n"/>
      <c r="N77" s="26" t="n">
        <v>-0.0654</v>
      </c>
    </row>
    <row r="78">
      <c r="A78" s="21" t="n">
        <v>428</v>
      </c>
      <c r="B78" s="13" t="inlineStr">
        <is>
          <t>Dispenser para Papel Higiénico</t>
        </is>
      </c>
      <c r="C78" s="13" t="n"/>
      <c r="D78" s="71" t="n">
        <v>21874.26</v>
      </c>
      <c r="E78" s="23">
        <f>Round(D78*1.3*1.105,-2)</f>
        <v/>
      </c>
      <c r="F78" s="23">
        <f>round(E78*1.105,-2)</f>
        <v/>
      </c>
      <c r="G78" s="23">
        <f>F78*1.21</f>
        <v/>
      </c>
      <c r="H78" s="23">
        <f>round(G78,-2)</f>
        <v/>
      </c>
      <c r="I78" s="13" t="n"/>
      <c r="J78" s="24" t="inlineStr">
        <is>
          <t>$10.605,70</t>
        </is>
      </c>
      <c r="K78" s="13" t="n"/>
      <c r="L78" s="27" t="inlineStr">
        <is>
          <t>$9.911,88</t>
        </is>
      </c>
      <c r="M78" s="38" t="n"/>
      <c r="N78" s="26" t="n">
        <v>-0.0654</v>
      </c>
    </row>
    <row r="79">
      <c r="A79" s="21" t="n">
        <v>429</v>
      </c>
      <c r="B79" s="13" t="inlineStr">
        <is>
          <t>Dispenser para Toallas de Papel</t>
        </is>
      </c>
      <c r="C79" s="13" t="n"/>
      <c r="D79" s="71" t="n">
        <v>15693.2</v>
      </c>
      <c r="E79" s="23">
        <f>Round(D79*1.3*1.105,-2)</f>
        <v/>
      </c>
      <c r="F79" s="23">
        <f>round(E79*1.105,-2)</f>
        <v/>
      </c>
      <c r="G79" s="23">
        <f>F79*1.21</f>
        <v/>
      </c>
      <c r="H79" s="23">
        <f>round(G79,-2)</f>
        <v/>
      </c>
      <c r="I79" s="13" t="n"/>
      <c r="J79" s="24" t="inlineStr">
        <is>
          <t>$7.608,82</t>
        </is>
      </c>
      <c r="K79" s="13" t="n"/>
      <c r="L79" s="27" t="inlineStr">
        <is>
          <t>$7.111,06</t>
        </is>
      </c>
      <c r="M79" s="38" t="n"/>
      <c r="N79" s="26" t="n">
        <v>-0.0654</v>
      </c>
    </row>
    <row r="80">
      <c r="A80" s="21" t="n">
        <v>430</v>
      </c>
      <c r="B80" s="13" t="inlineStr">
        <is>
          <t>Dispenser Para Papel Higienico Racional 600</t>
        </is>
      </c>
      <c r="D80" s="71" t="n">
        <v>30791.35</v>
      </c>
      <c r="E80" s="23">
        <f>Round(D80*1.3*1.105,-2)</f>
        <v/>
      </c>
      <c r="F80" s="23">
        <f>round(E80*1.105,-2)</f>
        <v/>
      </c>
      <c r="G80" s="23">
        <f>F80*1.21</f>
        <v/>
      </c>
      <c r="H80" s="23">
        <f>round(G80,-2)</f>
        <v/>
      </c>
      <c r="I80" s="13" t="n"/>
      <c r="J80" s="24" t="inlineStr">
        <is>
          <t>$14.929,14</t>
        </is>
      </c>
      <c r="K80" s="13" t="n"/>
      <c r="L80" s="27" t="inlineStr">
        <is>
          <t>$13.952,46</t>
        </is>
      </c>
      <c r="M80" s="38" t="n"/>
      <c r="N80" s="26" t="n">
        <v>-0.0654</v>
      </c>
    </row>
    <row r="81">
      <c r="A81" s="21" t="n"/>
      <c r="B81" s="13" t="n"/>
      <c r="C81" s="13" t="n"/>
      <c r="D81" s="2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38" t="n"/>
      <c r="N81" s="15" t="n"/>
    </row>
    <row r="82">
      <c r="A82" s="21" t="n"/>
      <c r="B82" s="13" t="n"/>
      <c r="C82" s="13" t="n"/>
      <c r="D82" s="23" t="n"/>
      <c r="E82" s="13" t="n"/>
      <c r="F82" s="13">
        <f>417*0.98*0.93</f>
        <v/>
      </c>
      <c r="G82" s="13">
        <f>F82*1.21</f>
        <v/>
      </c>
      <c r="H82" s="13" t="n"/>
      <c r="I82" s="13" t="inlineStr">
        <is>
          <t>1900*1,420</t>
        </is>
      </c>
      <c r="J82" s="13" t="n"/>
      <c r="K82" s="13" t="n"/>
      <c r="L82" s="13" t="n"/>
      <c r="M82" s="38" t="n"/>
      <c r="N82" s="15" t="n"/>
    </row>
    <row r="83">
      <c r="A83" s="21" t="n"/>
      <c r="B83" s="13" t="n"/>
      <c r="C83" s="13" t="n"/>
      <c r="D83" s="2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38" t="n"/>
      <c r="N83" s="15" t="n"/>
    </row>
    <row r="84">
      <c r="A84" s="16" t="inlineStr">
        <is>
          <t>LIMPIEZA INDUSTRIAL</t>
        </is>
      </c>
      <c r="B84" s="271" t="n"/>
      <c r="C84" s="13" t="n"/>
      <c r="D84" s="2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>
      <c r="A85" s="28" t="n"/>
      <c r="B85" s="13" t="n"/>
      <c r="C85" s="13" t="n"/>
      <c r="D85" s="2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4" t="n"/>
      <c r="N85" s="15" t="n"/>
    </row>
    <row r="86">
      <c r="A86" s="64" t="n">
        <v>101</v>
      </c>
      <c r="B86" s="61" t="inlineStr">
        <is>
          <t>Pack x 6 bobinas 22,5 cm x 300 porciones</t>
        </is>
      </c>
      <c r="D86" s="237" t="n">
        <v>22365</v>
      </c>
      <c r="E86" s="60">
        <f>Round(D86*1.3*1.105,-2)</f>
        <v/>
      </c>
      <c r="F86" s="60">
        <f>round(E86*1.105,-2)</f>
        <v/>
      </c>
      <c r="G86" s="60">
        <f>F86*1.21</f>
        <v/>
      </c>
      <c r="H86" s="60">
        <f>round(G86,-2)</f>
        <v/>
      </c>
      <c r="I86" s="61" t="n"/>
      <c r="J86" s="62" t="inlineStr">
        <is>
          <t>$11.414,34</t>
        </is>
      </c>
      <c r="K86" s="61" t="n"/>
      <c r="L86" s="63" t="inlineStr">
        <is>
          <t>$10.667,62</t>
        </is>
      </c>
      <c r="M86" s="64" t="n"/>
      <c r="N86" s="65" t="n">
        <v>-0.0654</v>
      </c>
    </row>
    <row r="87">
      <c r="A87" s="21" t="n">
        <v>109</v>
      </c>
      <c r="B87" s="13" t="inlineStr">
        <is>
          <t>Pack x 2 bobinas papel original 22,5 cm x 270 mts</t>
        </is>
      </c>
      <c r="D87" s="237" t="n">
        <v>15360</v>
      </c>
      <c r="E87" s="23">
        <f>Round(D87*1.3*1.105,-2)</f>
        <v/>
      </c>
      <c r="F87" s="23">
        <f>round(E87*1.105,-2)</f>
        <v/>
      </c>
      <c r="G87" s="23">
        <f>F87*1.21</f>
        <v/>
      </c>
      <c r="H87" s="23">
        <f>round(G87,-2)</f>
        <v/>
      </c>
      <c r="I87" s="13" t="n"/>
      <c r="J87" s="24" t="inlineStr">
        <is>
          <t>$8.908,31</t>
        </is>
      </c>
      <c r="K87" s="13" t="n"/>
      <c r="L87" s="27" t="inlineStr">
        <is>
          <t>$8.325,53</t>
        </is>
      </c>
      <c r="M87" s="38" t="n"/>
      <c r="N87" s="26" t="n">
        <v>-0.0654</v>
      </c>
    </row>
    <row r="88">
      <c r="A88" s="64" t="n">
        <v>123</v>
      </c>
      <c r="B88" s="61" t="inlineStr">
        <is>
          <t>Pack x 2 bobinas Papel Original 900 hjs/360 mts.</t>
        </is>
      </c>
      <c r="D88" s="237" t="n">
        <v>22490</v>
      </c>
      <c r="E88" s="60">
        <f>Round(D88*1.3*1.105,-2)</f>
        <v/>
      </c>
      <c r="F88" s="60">
        <f>round(E88*1.105,-2)</f>
        <v/>
      </c>
      <c r="G88" s="60">
        <f>F88*1.21</f>
        <v/>
      </c>
      <c r="H88" s="60">
        <f>round(G88,-2)</f>
        <v/>
      </c>
      <c r="I88" s="61" t="n"/>
      <c r="J88" s="62" t="inlineStr">
        <is>
          <t>$13.043,26</t>
        </is>
      </c>
      <c r="K88" s="61" t="n"/>
      <c r="L88" s="66" t="inlineStr">
        <is>
          <t>$12.189,96</t>
        </is>
      </c>
      <c r="M88" s="64" t="n"/>
      <c r="N88" s="65" t="n">
        <v>-0.0654</v>
      </c>
    </row>
    <row r="89">
      <c r="A89" s="21" t="n">
        <v>809</v>
      </c>
      <c r="B89" s="13" t="inlineStr">
        <is>
          <t>Pack x 4 Rollos 600 porc 25x25 Rep Tambo</t>
        </is>
      </c>
      <c r="D89" s="237" t="n">
        <v>23438</v>
      </c>
      <c r="E89" s="23">
        <f>Round(D89*1.3*1.105,-2)</f>
        <v/>
      </c>
      <c r="F89" s="23">
        <f>round(E89*1.105,-2)</f>
        <v/>
      </c>
      <c r="G89" s="23">
        <f>F89*1.21</f>
        <v/>
      </c>
      <c r="H89" s="23">
        <f>round(G89,-2)</f>
        <v/>
      </c>
      <c r="I89" s="13" t="n"/>
      <c r="J89" s="24" t="inlineStr">
        <is>
          <t>$13.593,46</t>
        </is>
      </c>
      <c r="K89" s="13" t="n"/>
      <c r="L89" s="27" t="inlineStr">
        <is>
          <t>$12.704,18</t>
        </is>
      </c>
      <c r="M89" s="38" t="n"/>
      <c r="N89" s="26" t="n">
        <v>-0.0654</v>
      </c>
    </row>
    <row r="90">
      <c r="A90" s="21" t="n"/>
      <c r="B90" s="13" t="n"/>
      <c r="C90" s="13" t="n"/>
      <c r="D90" s="2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38" t="n"/>
      <c r="N90" s="15" t="n"/>
    </row>
    <row r="91">
      <c r="A91" s="21" t="n"/>
      <c r="B91" s="13" t="n"/>
      <c r="C91" s="13" t="n"/>
      <c r="D91" s="2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38" t="n"/>
      <c r="N91" s="15" t="n"/>
    </row>
    <row r="92">
      <c r="A92" s="16" t="inlineStr">
        <is>
          <t>PAÑOS DE LIMPIEZA DE ALTA PERFORMANCE</t>
        </is>
      </c>
      <c r="B92" s="13" t="n"/>
      <c r="C92" s="13" t="n"/>
      <c r="D92" s="2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4" t="n"/>
      <c r="N92" s="15" t="n"/>
    </row>
    <row r="93">
      <c r="A93" s="28" t="n"/>
      <c r="B93" s="13" t="n"/>
      <c r="C93" s="13" t="n"/>
      <c r="D93" s="2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4" t="n"/>
      <c r="N93" s="15" t="n"/>
    </row>
    <row r="94">
      <c r="A94" s="72" t="inlineStr">
        <is>
          <t>Linea Softclean</t>
        </is>
      </c>
      <c r="C94" s="55" t="n"/>
      <c r="D94" s="56" t="n"/>
      <c r="E94" s="13" t="n"/>
      <c r="F94" s="13" t="n"/>
      <c r="G94" s="13" t="n"/>
      <c r="H94" s="13" t="n"/>
      <c r="I94" s="13" t="n"/>
      <c r="J94" s="13" t="n"/>
      <c r="K94" s="13" t="n"/>
      <c r="L94" s="13" t="n"/>
    </row>
    <row r="95">
      <c r="A95" s="78" t="n">
        <v>601</v>
      </c>
      <c r="B95" s="13" t="inlineStr">
        <is>
          <t>Rollo Softclean Maxi Bco prec 30 x 38 x 500</t>
        </is>
      </c>
      <c r="D95" s="237" t="n">
        <v>57</v>
      </c>
      <c r="E95" s="23">
        <f>Round(D95*1.3*1.105,-1)</f>
        <v/>
      </c>
      <c r="F95" s="23">
        <f>E95/0.9</f>
        <v/>
      </c>
      <c r="G95" s="23">
        <f>F95*1.21</f>
        <v/>
      </c>
      <c r="H95" s="23">
        <f>round(G95,0)</f>
        <v/>
      </c>
      <c r="I95" s="13" t="n"/>
      <c r="J95" s="24" t="inlineStr">
        <is>
          <t>$223,78</t>
        </is>
      </c>
      <c r="K95" s="13" t="n"/>
      <c r="L95" s="73" t="inlineStr">
        <is>
          <t>$245,53</t>
        </is>
      </c>
      <c r="M95" s="74" t="n"/>
      <c r="N95" s="26" t="n">
        <v>0.09719999999999999</v>
      </c>
    </row>
    <row r="96">
      <c r="A96" s="78" t="n">
        <v>606</v>
      </c>
      <c r="B96" s="61" t="inlineStr">
        <is>
          <t>Caja x 300 Paños Ultratex de 45,7cm x 53,3cm</t>
        </is>
      </c>
      <c r="D96" s="237" t="n">
        <v>417</v>
      </c>
      <c r="E96" s="60">
        <f>Round(D96*1.3*1.105,-1)</f>
        <v/>
      </c>
      <c r="F96" s="60">
        <f>E96/0.9</f>
        <v/>
      </c>
      <c r="G96" s="60">
        <f>F96*1.21</f>
        <v/>
      </c>
      <c r="H96" s="60">
        <f>round(G96,0)</f>
        <v/>
      </c>
      <c r="I96" s="61" t="n"/>
      <c r="J96" s="62" t="inlineStr">
        <is>
          <t>$347,37</t>
        </is>
      </c>
      <c r="K96" s="61" t="n"/>
      <c r="L96" s="75" t="inlineStr">
        <is>
          <t>$347,37</t>
        </is>
      </c>
      <c r="M96" s="76" t="n"/>
      <c r="N96" s="65" t="n">
        <v>0</v>
      </c>
    </row>
    <row r="97">
      <c r="A97" s="78" t="n">
        <v>608</v>
      </c>
      <c r="B97" s="13" t="inlineStr">
        <is>
          <t>Repuesto x 2 rollos Softclean x 350 mts</t>
        </is>
      </c>
      <c r="D97" s="237" t="n">
        <v>52</v>
      </c>
      <c r="E97" s="23">
        <f>Round(D97*1.3*1.105,-1)</f>
        <v/>
      </c>
      <c r="F97" s="23">
        <f>E97/0.9</f>
        <v/>
      </c>
      <c r="G97" s="23">
        <f>F97*1.21</f>
        <v/>
      </c>
      <c r="H97" s="23">
        <f>round(G97,0)</f>
        <v/>
      </c>
      <c r="I97" s="13" t="n"/>
      <c r="J97" s="24" t="inlineStr">
        <is>
          <t>$71,74</t>
        </is>
      </c>
      <c r="K97" s="13" t="n"/>
      <c r="L97" s="77" t="inlineStr">
        <is>
          <t>$53,14</t>
        </is>
      </c>
      <c r="M97" s="74" t="n"/>
      <c r="N97" s="26" t="n">
        <v>-0.2593</v>
      </c>
    </row>
    <row r="98">
      <c r="A98" s="78" t="n">
        <v>614</v>
      </c>
      <c r="B98" s="13" t="inlineStr">
        <is>
          <t>Rollo SoftClean S 70x 875 Porciones de 30x 25</t>
        </is>
      </c>
      <c r="D98" s="237" t="n">
        <v>62</v>
      </c>
      <c r="E98" s="23">
        <f>Round(D98*1.3*1.105,-1)</f>
        <v/>
      </c>
      <c r="F98" s="23">
        <f>E98/0.9</f>
        <v/>
      </c>
      <c r="G98" s="23">
        <f>F98*1.21</f>
        <v/>
      </c>
      <c r="H98" s="23">
        <f>round(G98,0)</f>
        <v/>
      </c>
      <c r="I98" s="13" t="n"/>
      <c r="J98" s="24" t="inlineStr">
        <is>
          <t>$86,42</t>
        </is>
      </c>
      <c r="K98" s="13" t="n"/>
      <c r="L98" s="77" t="inlineStr">
        <is>
          <t>$64,02</t>
        </is>
      </c>
      <c r="M98" s="74" t="n"/>
      <c r="N98" s="26" t="n">
        <v>-0.2592</v>
      </c>
    </row>
    <row r="99">
      <c r="A99" s="78" t="n">
        <v>615</v>
      </c>
      <c r="B99" s="13" t="inlineStr">
        <is>
          <t>Contenedor Center Softclean x 350 22,5 x26,5</t>
        </is>
      </c>
      <c r="D99" s="237" t="n">
        <v>27</v>
      </c>
      <c r="E99" s="23">
        <f>Round(D99*1.3*1.105,-1)</f>
        <v/>
      </c>
      <c r="F99" s="23">
        <f>E99/0.9</f>
        <v/>
      </c>
      <c r="G99" s="23">
        <f>F99*1.21</f>
        <v/>
      </c>
      <c r="H99" s="23">
        <f>round(G99,0)</f>
        <v/>
      </c>
      <c r="I99" s="13" t="n"/>
      <c r="J99" s="24" t="inlineStr">
        <is>
          <t>$37,59</t>
        </is>
      </c>
      <c r="K99" s="13" t="n"/>
      <c r="L99" s="77" t="inlineStr">
        <is>
          <t>$27,84</t>
        </is>
      </c>
      <c r="M99" s="74" t="n"/>
      <c r="N99" s="26" t="n">
        <v>-0.2594</v>
      </c>
    </row>
    <row r="100">
      <c r="A100" s="78" t="n">
        <v>616</v>
      </c>
      <c r="B100" s="13" t="inlineStr">
        <is>
          <t>Rollo Mini Sofclean x 190 porciones de 22,5 x 26,5</t>
        </is>
      </c>
      <c r="D100" s="237" t="n">
        <v>14</v>
      </c>
      <c r="E100" s="23">
        <f>Round(D100*1.3*1.105,-1)</f>
        <v/>
      </c>
      <c r="F100" s="23">
        <f>E100/0.9</f>
        <v/>
      </c>
      <c r="G100" s="23">
        <f>F100*1.21</f>
        <v/>
      </c>
      <c r="H100" s="23">
        <f>round(G100,0)</f>
        <v/>
      </c>
      <c r="I100" s="13" t="n"/>
      <c r="J100" s="24" t="inlineStr">
        <is>
          <t>$18,80</t>
        </is>
      </c>
      <c r="K100" s="13" t="n"/>
      <c r="L100" s="77" t="inlineStr">
        <is>
          <t>$13,91</t>
        </is>
      </c>
      <c r="M100" s="74" t="n"/>
      <c r="N100" s="26" t="n">
        <v>-0.2601</v>
      </c>
    </row>
    <row r="101">
      <c r="A101" s="78" t="n">
        <v>617</v>
      </c>
      <c r="B101" s="61" t="inlineStr">
        <is>
          <t>Caja 1/4 Folded Softclean 500 30 x 30 cm Celeste</t>
        </is>
      </c>
      <c r="D101" s="237" t="n">
        <v>46</v>
      </c>
      <c r="E101" s="60">
        <f>Round(D101*1.3*1.105,-1)</f>
        <v/>
      </c>
      <c r="F101" s="60">
        <f>E101/0.9</f>
        <v/>
      </c>
      <c r="G101" s="60">
        <f>F101*1.21</f>
        <v/>
      </c>
      <c r="H101" s="60">
        <f>round(G101,0)</f>
        <v/>
      </c>
      <c r="I101" s="61" t="n"/>
      <c r="J101" s="62" t="inlineStr">
        <is>
          <t>$62,34</t>
        </is>
      </c>
      <c r="K101" s="61" t="n"/>
      <c r="L101" s="75" t="inlineStr">
        <is>
          <t>$46,18</t>
        </is>
      </c>
      <c r="M101" s="76" t="n"/>
      <c r="N101" s="65" t="n">
        <v>-0.2592</v>
      </c>
    </row>
    <row r="102">
      <c r="A102" s="78" t="n">
        <v>618</v>
      </c>
      <c r="B102" s="13" t="inlineStr">
        <is>
          <t>Rollo Precortado Softclean 600 porciones de 30x 26,5</t>
        </is>
      </c>
      <c r="D102" s="237" t="n">
        <v>46</v>
      </c>
      <c r="E102" s="23">
        <f>Round(D102*1.3*1.105,-1)</f>
        <v/>
      </c>
      <c r="F102" s="23">
        <f>E102/0.9</f>
        <v/>
      </c>
      <c r="G102" s="23">
        <f>F102*1.21</f>
        <v/>
      </c>
      <c r="H102" s="23">
        <f>round(G102,0)</f>
        <v/>
      </c>
      <c r="I102" s="13" t="n"/>
      <c r="J102" s="24" t="inlineStr">
        <is>
          <t>$62,34</t>
        </is>
      </c>
      <c r="K102" s="13" t="n"/>
      <c r="L102" s="77" t="inlineStr">
        <is>
          <t>$46,18</t>
        </is>
      </c>
      <c r="M102" s="74" t="n"/>
      <c r="N102" s="26" t="n">
        <v>-0.2592</v>
      </c>
    </row>
    <row r="103">
      <c r="A103" s="78" t="n"/>
      <c r="B103" s="13" t="n"/>
      <c r="C103" s="13" t="n"/>
      <c r="D103" s="96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74" t="n"/>
      <c r="N103" s="15" t="n"/>
    </row>
    <row r="104">
      <c r="A104" s="72" t="inlineStr">
        <is>
          <t>Linea Sontara</t>
        </is>
      </c>
      <c r="C104" s="55" t="n"/>
      <c r="D104" s="56" t="n"/>
      <c r="E104" s="13" t="n"/>
      <c r="F104" s="13" t="n"/>
      <c r="G104" s="13" t="n"/>
      <c r="H104" s="13" t="n"/>
      <c r="I104" s="13" t="n"/>
      <c r="J104" s="13" t="n"/>
      <c r="K104" s="13" t="n"/>
      <c r="L104" s="13" t="n"/>
    </row>
    <row r="105">
      <c r="A105" s="78" t="n">
        <v>604</v>
      </c>
      <c r="B105" s="13" t="inlineStr">
        <is>
          <t>Rollo precortado Maxi de 30 x38 blanco</t>
        </is>
      </c>
      <c r="D105" s="237" t="n">
        <v>116</v>
      </c>
      <c r="E105" s="23">
        <f>Round(D105*1.3*1.105,-1)</f>
        <v/>
      </c>
      <c r="F105" s="23">
        <f>E105/0.9</f>
        <v/>
      </c>
      <c r="G105" s="23">
        <f>F105*1.21</f>
        <v/>
      </c>
      <c r="H105" s="23">
        <f>round(G105,0)</f>
        <v/>
      </c>
      <c r="I105" s="13" t="n"/>
      <c r="J105" s="24" t="inlineStr">
        <is>
          <t>$121,94</t>
        </is>
      </c>
      <c r="K105" s="13" t="n"/>
      <c r="L105" s="73" t="inlineStr">
        <is>
          <t>$121,94</t>
        </is>
      </c>
      <c r="M105" s="74" t="n"/>
      <c r="N105" s="26" t="n">
        <v>0</v>
      </c>
    </row>
    <row r="106">
      <c r="A106" s="78" t="n">
        <v>619</v>
      </c>
      <c r="B106" s="13" t="inlineStr">
        <is>
          <t>Centerfeed Sontara Celeste 350 porc22,5 x 26,5</t>
        </is>
      </c>
      <c r="D106" s="237" t="n">
        <v>58</v>
      </c>
      <c r="E106" s="23">
        <f>Round(D106*1.3*1.105,-1)</f>
        <v/>
      </c>
      <c r="F106" s="23">
        <f>E106/0.9</f>
        <v/>
      </c>
      <c r="G106" s="23">
        <f>F106*1.21</f>
        <v/>
      </c>
      <c r="H106" s="23">
        <f>round(G106,0)</f>
        <v/>
      </c>
      <c r="I106" s="13" t="n"/>
      <c r="J106" s="24" t="inlineStr">
        <is>
          <t>$61,85</t>
        </is>
      </c>
      <c r="K106" s="13" t="n"/>
      <c r="L106" s="77" t="inlineStr">
        <is>
          <t>$61,85</t>
        </is>
      </c>
      <c r="M106" s="74" t="n"/>
      <c r="N106" s="26" t="n">
        <v>0</v>
      </c>
    </row>
    <row r="107">
      <c r="A107" s="78" t="n">
        <v>620</v>
      </c>
      <c r="B107" s="13" t="inlineStr">
        <is>
          <t>Rollo prec Sontara por 600 porc 30 x26,5 celeste</t>
        </is>
      </c>
      <c r="D107" s="237" t="n">
        <v>110</v>
      </c>
      <c r="E107" s="23">
        <f>Round(D107*1.3*1.105,-1)</f>
        <v/>
      </c>
      <c r="F107" s="23">
        <f>E107/0.9</f>
        <v/>
      </c>
      <c r="G107" s="23">
        <f>F107*1.21</f>
        <v/>
      </c>
      <c r="H107" s="23">
        <f>round(G107,0)</f>
        <v/>
      </c>
      <c r="I107" s="13" t="n"/>
      <c r="J107" s="24" t="inlineStr">
        <is>
          <t>$116,54</t>
        </is>
      </c>
      <c r="K107" s="13" t="n"/>
      <c r="L107" s="77" t="inlineStr">
        <is>
          <t>$116,54</t>
        </is>
      </c>
      <c r="M107" s="74" t="n"/>
      <c r="N107" s="26" t="n">
        <v>0</v>
      </c>
    </row>
    <row r="108">
      <c r="A108" s="78" t="n">
        <v>621</v>
      </c>
      <c r="B108" s="13" t="inlineStr">
        <is>
          <t>Rollo Sontara Mini x 190 porc 22,5 x26,5 celeste</t>
        </is>
      </c>
      <c r="D108" s="237" t="n">
        <v>26</v>
      </c>
      <c r="E108" s="23">
        <f>Round(D108*1.3*1.105,-1)</f>
        <v/>
      </c>
      <c r="F108" s="23">
        <f>E108/0.9</f>
        <v/>
      </c>
      <c r="G108" s="23">
        <f>F108*1.21</f>
        <v/>
      </c>
      <c r="H108" s="23">
        <f>round(G108,0)</f>
        <v/>
      </c>
      <c r="I108" s="13" t="n"/>
      <c r="J108" s="24" t="inlineStr">
        <is>
          <t>$28,10</t>
        </is>
      </c>
      <c r="K108" s="13" t="n"/>
      <c r="L108" s="77" t="inlineStr">
        <is>
          <t>$28,10</t>
        </is>
      </c>
      <c r="M108" s="74" t="n"/>
      <c r="N108" s="26" t="n">
        <v>0</v>
      </c>
    </row>
    <row r="109">
      <c r="A109" s="78" t="n">
        <v>627</v>
      </c>
      <c r="B109" s="13" t="inlineStr">
        <is>
          <t>SMP 300 Paños de 22,5 cm x 22,5 cm</t>
        </is>
      </c>
      <c r="D109" s="237" t="n">
        <v>70</v>
      </c>
      <c r="E109" s="23">
        <f>Round(D109*1.3*1.105,-1)</f>
        <v/>
      </c>
      <c r="F109" s="23">
        <f>E109/0.9</f>
        <v/>
      </c>
      <c r="G109" s="23">
        <f>F109*1.21</f>
        <v/>
      </c>
      <c r="H109" s="23">
        <f>round(G109,0)</f>
        <v/>
      </c>
      <c r="I109" s="13" t="n"/>
      <c r="J109" s="24" t="inlineStr">
        <is>
          <t>$74,22</t>
        </is>
      </c>
      <c r="K109" s="13" t="n"/>
      <c r="L109" s="77" t="inlineStr">
        <is>
          <t>$74,22</t>
        </is>
      </c>
      <c r="M109" s="74" t="n"/>
      <c r="N109" s="26" t="n">
        <v>0</v>
      </c>
    </row>
    <row r="110">
      <c r="A110" s="80" t="n">
        <v>645</v>
      </c>
      <c r="B110" s="84" t="inlineStr">
        <is>
          <t>Caja por 500Paños Sontara de 30 x 30 cm celeste</t>
        </is>
      </c>
      <c r="D110" s="237" t="n">
        <v>118</v>
      </c>
      <c r="E110" s="23">
        <f>Round(D110*1.3*1.105,-1)</f>
        <v/>
      </c>
      <c r="F110" s="23">
        <f>E110/0.9</f>
        <v/>
      </c>
      <c r="G110" s="23">
        <f>F110*1.21</f>
        <v/>
      </c>
      <c r="H110" s="23">
        <f>round(G110,0)</f>
        <v/>
      </c>
      <c r="I110" s="13" t="n"/>
      <c r="J110" s="24" t="inlineStr">
        <is>
          <t>$124,98</t>
        </is>
      </c>
      <c r="K110" s="13" t="n"/>
      <c r="L110" s="77" t="inlineStr">
        <is>
          <t>$81,63</t>
        </is>
      </c>
      <c r="M110" s="82" t="n"/>
      <c r="N110" s="83" t="n">
        <v>-0.3469</v>
      </c>
    </row>
    <row r="111">
      <c r="A111" s="78" t="n">
        <v>656</v>
      </c>
      <c r="B111" s="84" t="inlineStr">
        <is>
          <t>Caja por 400 Paños Sontara de 30 x 30 cm Blancos</t>
        </is>
      </c>
      <c r="D111" s="237" t="n">
        <v>75</v>
      </c>
      <c r="E111" s="23">
        <f>Round(D111*1.3*1.105,-1)</f>
        <v/>
      </c>
      <c r="F111" s="23">
        <f>E111/0.9</f>
        <v/>
      </c>
      <c r="G111" s="23">
        <f>F111*1.21</f>
        <v/>
      </c>
      <c r="H111" s="23">
        <f>round(G111,0)</f>
        <v/>
      </c>
      <c r="I111" s="13" t="n"/>
      <c r="J111" s="24" t="inlineStr">
        <is>
          <t>$79,00</t>
        </is>
      </c>
      <c r="K111" s="13" t="n"/>
      <c r="L111" s="77" t="inlineStr">
        <is>
          <t>$79,00</t>
        </is>
      </c>
      <c r="M111" s="74" t="n"/>
      <c r="N111" s="83" t="n">
        <v>0</v>
      </c>
    </row>
    <row r="112">
      <c r="A112" s="13" t="n"/>
      <c r="B112" s="84" t="n"/>
      <c r="C112" s="84" t="n"/>
      <c r="D112" s="10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5" t="n"/>
      <c r="N112" s="85" t="n"/>
    </row>
    <row r="113">
      <c r="A113" s="13" t="n"/>
      <c r="B113" s="84" t="n"/>
      <c r="C113" s="13" t="n"/>
      <c r="D113" s="10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5" t="n"/>
      <c r="N113" s="85" t="n"/>
    </row>
    <row r="114">
      <c r="D114" s="87" t="n"/>
    </row>
    <row r="115">
      <c r="D115" s="87" t="n"/>
    </row>
    <row r="116">
      <c r="A116" s="16" t="inlineStr">
        <is>
          <t>TOALLAS</t>
        </is>
      </c>
      <c r="D116" s="87" t="n"/>
    </row>
    <row r="117">
      <c r="B117" s="13" t="inlineStr">
        <is>
          <t>Toallas Blancas Super 21x25</t>
        </is>
      </c>
      <c r="C117" s="13" t="n"/>
      <c r="D117" s="87" t="n">
        <v>22900</v>
      </c>
    </row>
    <row r="118">
      <c r="B118" s="13" t="inlineStr">
        <is>
          <t>Toallas Blancas Pura Simple</t>
        </is>
      </c>
      <c r="C118" s="13" t="n"/>
      <c r="D118" s="87" t="n">
        <v>25400</v>
      </c>
    </row>
    <row r="119">
      <c r="B119" s="13" t="inlineStr">
        <is>
          <t>Toallas Blancas Pura Doble</t>
        </is>
      </c>
      <c r="C119" s="13" t="n"/>
      <c r="D119" s="87" t="n">
        <v>31500</v>
      </c>
    </row>
    <row r="120">
      <c r="B120" s="13" t="inlineStr">
        <is>
          <t>Toalla Blanca Unitas (17,5x25 cm)</t>
        </is>
      </c>
      <c r="D120" s="87" t="n">
        <v>17500</v>
      </c>
    </row>
    <row r="121">
      <c r="B121" s="13" t="inlineStr">
        <is>
          <t>Toalla Blanca Especial 21 x 25 ( tiza )</t>
        </is>
      </c>
      <c r="D121" s="87" t="n">
        <v>21400</v>
      </c>
    </row>
    <row r="122">
      <c r="B122" s="13" t="inlineStr">
        <is>
          <t>Toalla Blanca Especial 21 x 37 ( tiza )</t>
        </is>
      </c>
      <c r="D122" s="87" t="n">
        <v>29200</v>
      </c>
    </row>
    <row r="123">
      <c r="B123" s="13" t="inlineStr">
        <is>
          <t>Toalla Blanca Especial 17,5 x 25 ( tiza ) Unita</t>
        </is>
      </c>
      <c r="D123" s="87" t="n">
        <v>16800</v>
      </c>
    </row>
    <row r="124">
      <c r="B124" s="13" t="inlineStr">
        <is>
          <t>Cajas x 2500 Toallas Beige 21x37</t>
        </is>
      </c>
      <c r="D124" s="87" t="n">
        <v>24800</v>
      </c>
    </row>
    <row r="125">
      <c r="B125" s="13" t="inlineStr">
        <is>
          <t>Toalla Blanca Super 21x37 cm</t>
        </is>
      </c>
      <c r="C125" s="13" t="n"/>
      <c r="D125" s="87" t="n">
        <v>31600</v>
      </c>
    </row>
    <row r="126">
      <c r="B126" s="13" t="inlineStr">
        <is>
          <t>Caja x 2500 Toallas Beige Unitas 17,5 cm x 25 cm</t>
        </is>
      </c>
      <c r="D126" s="87" t="n">
        <v>15400</v>
      </c>
    </row>
    <row r="127">
      <c r="B127" s="13" t="inlineStr">
        <is>
          <t>Caja x 2500 Toallas Beige 21 cm x 25 cm simple hoja</t>
        </is>
      </c>
      <c r="D127" s="87" t="n">
        <v>17600</v>
      </c>
    </row>
    <row r="128">
      <c r="D128" s="87" t="n"/>
    </row>
    <row r="129">
      <c r="A129" s="16" t="inlineStr">
        <is>
          <t>TOALLAS EN ROLLO</t>
        </is>
      </c>
      <c r="B129" s="271" t="n"/>
      <c r="D129" s="87" t="n"/>
    </row>
    <row r="130">
      <c r="D130" s="87" t="n"/>
    </row>
    <row r="131">
      <c r="B131" s="15" t="inlineStr">
        <is>
          <t>Pack x 6 Rollos de Toallas x 200 mts. Blanca</t>
        </is>
      </c>
      <c r="D131" s="87" t="n">
        <v>34600</v>
      </c>
    </row>
    <row r="132">
      <c r="B132" s="13" t="inlineStr">
        <is>
          <t>Recarga Original P/Dispenser Celmatic 2500 U. Dobles</t>
        </is>
      </c>
      <c r="D132" s="87" t="n">
        <v>44100</v>
      </c>
    </row>
    <row r="133">
      <c r="B133" s="13" t="inlineStr">
        <is>
          <t>Pack x 4 Recarga Celmatic Due 2400 U. Dobles</t>
        </is>
      </c>
      <c r="D133" s="87" t="n">
        <v>34900</v>
      </c>
    </row>
    <row r="134">
      <c r="B134" s="13" t="inlineStr">
        <is>
          <t>Pack X 2 Rollos de toalla x 300 mts Blanca</t>
        </is>
      </c>
      <c r="D134" s="87" t="n">
        <v>16900</v>
      </c>
    </row>
    <row r="135">
      <c r="B135" s="13" t="inlineStr">
        <is>
          <t>Pack X 2 Rollos de toalla x 240 mts Blanca</t>
        </is>
      </c>
      <c r="D135" s="87" t="n">
        <v>13500</v>
      </c>
    </row>
    <row r="136">
      <c r="D136" s="87" t="n"/>
    </row>
    <row r="137">
      <c r="A137" s="59" t="inlineStr">
        <is>
          <t>PAPEL HIGIENICO</t>
        </is>
      </c>
      <c r="B137" s="271" t="n"/>
      <c r="C137" s="13" t="n"/>
      <c r="D137" s="87" t="n"/>
    </row>
    <row r="138">
      <c r="A138" s="9" t="n"/>
      <c r="B138" s="13" t="n"/>
      <c r="C138" s="13" t="n"/>
      <c r="D138" s="87" t="n"/>
    </row>
    <row r="139">
      <c r="A139" s="38" t="n"/>
      <c r="B139" s="15" t="inlineStr">
        <is>
          <t>Pack x18 Rollos Higienico Racional D/H x 60 mts</t>
        </is>
      </c>
      <c r="D139" s="87" t="n">
        <v>24800</v>
      </c>
    </row>
    <row r="140">
      <c r="A140" s="38" t="n"/>
      <c r="B140" s="15" t="inlineStr">
        <is>
          <t>Pack x 4 Rollos Higienico Racional x 500 mts Buje 7,5</t>
        </is>
      </c>
      <c r="D140" s="87" t="n">
        <v>19200</v>
      </c>
    </row>
    <row r="141">
      <c r="A141" s="88" t="n"/>
      <c r="B141" s="15" t="inlineStr">
        <is>
          <t>Pack x 18 rollos Papel Higienico Racional x 122 mts</t>
        </is>
      </c>
      <c r="D141" s="87" t="n">
        <v>23600</v>
      </c>
    </row>
    <row r="142">
      <c r="A142" s="38" t="n"/>
      <c r="B142" s="15" t="inlineStr">
        <is>
          <t>Pack x 8 rollos Higienico Racional x 265 mts buje 7,5</t>
        </is>
      </c>
      <c r="D142" s="87" t="n">
        <v>21700</v>
      </c>
    </row>
    <row r="143">
      <c r="A143" s="38" t="n"/>
      <c r="B143" s="15" t="inlineStr">
        <is>
          <t>Pack x 8 Rollos Papel Higienico Racional x 300 mts</t>
        </is>
      </c>
      <c r="D143" s="87" t="n">
        <v>24700</v>
      </c>
    </row>
    <row r="144">
      <c r="A144" s="21" t="n"/>
      <c r="B144" s="13" t="inlineStr">
        <is>
          <t>Pack x 8 Rollos Papel Higienico x 260 mts Buje4,5</t>
        </is>
      </c>
      <c r="D144" s="87" t="n">
        <v>21000</v>
      </c>
    </row>
    <row r="145">
      <c r="A145" s="21" t="n"/>
      <c r="B145" s="13" t="inlineStr">
        <is>
          <t>Papel Higiénico 20 x 14,5 8000 h. 4000 usos</t>
        </is>
      </c>
      <c r="D145" s="87" t="n">
        <v>32500</v>
      </c>
    </row>
    <row r="146">
      <c r="A146" s="21" t="n"/>
      <c r="B146" s="13" t="inlineStr">
        <is>
          <t>Papel Higienico UNITAS(18x14,5cm) 8000 h/4000 usos</t>
        </is>
      </c>
      <c r="D146" s="87" t="n">
        <v>26100</v>
      </c>
    </row>
    <row r="147">
      <c r="D147" s="87" t="n"/>
    </row>
    <row r="148">
      <c r="A148" s="43" t="inlineStr">
        <is>
          <t>SERVILLETAS LAMINADAS</t>
        </is>
      </c>
      <c r="B148" s="272" t="n"/>
      <c r="C148" s="13" t="n"/>
      <c r="D148" s="23" t="n"/>
      <c r="E148" s="13" t="n"/>
    </row>
    <row r="149">
      <c r="A149" s="21" t="n"/>
      <c r="B149" s="13" t="n"/>
      <c r="C149" s="13" t="n"/>
      <c r="D149" s="23" t="n"/>
      <c r="E149" s="13" t="n"/>
    </row>
    <row r="150">
      <c r="A150" s="45" t="n"/>
      <c r="B150" s="47" t="inlineStr">
        <is>
          <t>CAJA POR 1600 SERV LAMINADAS DE 40 X40 CM</t>
        </is>
      </c>
      <c r="C150" s="47" t="n"/>
      <c r="D150" s="87" t="n">
        <v>126300</v>
      </c>
      <c r="E150" s="24" t="n"/>
    </row>
    <row r="151">
      <c r="A151" s="49" t="n"/>
      <c r="B151" s="51" t="inlineStr">
        <is>
          <t>CAJA POR 1600 SERV ECOLOGICAS LAM DE 40 X40</t>
        </is>
      </c>
      <c r="C151" s="51" t="n"/>
      <c r="D151" s="87" t="n">
        <v>126300</v>
      </c>
      <c r="E151" s="24" t="n"/>
    </row>
    <row r="152">
      <c r="D152" s="87" t="n"/>
    </row>
    <row r="153">
      <c r="A153" s="16" t="inlineStr">
        <is>
          <t>LIMPIEZA INDUSTRIAL</t>
        </is>
      </c>
      <c r="B153" s="271" t="n"/>
      <c r="C153" s="13" t="n"/>
      <c r="D153" s="23" t="n"/>
      <c r="E153" s="13" t="n"/>
    </row>
    <row r="154">
      <c r="A154" s="28" t="n"/>
      <c r="B154" s="13" t="n"/>
      <c r="C154" s="13" t="n"/>
      <c r="D154" s="23" t="n"/>
      <c r="E154" s="13" t="n"/>
    </row>
    <row r="155">
      <c r="A155" s="38" t="n"/>
      <c r="B155" s="15" t="inlineStr">
        <is>
          <t>Pack x 6 bobinas 22,5 cm x 300 porciones</t>
        </is>
      </c>
      <c r="D155" s="87" t="n">
        <v>33800</v>
      </c>
      <c r="E155" s="89" t="n"/>
    </row>
    <row r="156">
      <c r="A156" s="38" t="n"/>
      <c r="B156" s="15" t="inlineStr">
        <is>
          <t>Pack x 2 bobinas papel original 22,5 cm x 270 mts</t>
        </is>
      </c>
      <c r="D156" s="87" t="n">
        <v>26400</v>
      </c>
      <c r="E156" s="89" t="n"/>
    </row>
    <row r="157">
      <c r="A157" s="38" t="n"/>
      <c r="B157" s="15" t="inlineStr">
        <is>
          <t>Pack x 2 bobinas Papel Original 900 hjs/360 mts.</t>
        </is>
      </c>
      <c r="D157" s="87" t="n">
        <v>38600</v>
      </c>
      <c r="E157" s="89" t="n"/>
    </row>
    <row r="158">
      <c r="A158" s="38" t="n"/>
      <c r="B158" s="15" t="inlineStr">
        <is>
          <t>Pack x 4 Rollos 600 porc 25x25 Rep Tambo</t>
        </is>
      </c>
      <c r="D158" s="87" t="n">
        <v>40300</v>
      </c>
      <c r="E158" s="89" t="n"/>
    </row>
    <row r="159">
      <c r="D159" s="87" t="n"/>
    </row>
    <row r="160">
      <c r="D160" s="87" t="n"/>
    </row>
    <row r="161">
      <c r="D161" s="87" t="n"/>
    </row>
    <row r="162">
      <c r="D162" s="87" t="n"/>
    </row>
    <row r="163">
      <c r="D163" s="87" t="n"/>
    </row>
    <row r="164">
      <c r="D164" s="87" t="n"/>
    </row>
    <row r="165">
      <c r="A165" s="91" t="inlineStr">
        <is>
          <t>Código</t>
        </is>
      </c>
      <c r="B165" s="91" t="inlineStr">
        <is>
          <t>Artículo</t>
        </is>
      </c>
      <c r="C165" s="91" t="n"/>
      <c r="D165" s="92" t="n"/>
      <c r="E165" s="91" t="inlineStr">
        <is>
          <t>Precio Mayor</t>
        </is>
      </c>
    </row>
    <row r="166">
      <c r="A166" s="21" t="n">
        <v>901</v>
      </c>
      <c r="B166" s="13" t="inlineStr">
        <is>
          <t>Toallas Blancas Super 21x25</t>
        </is>
      </c>
      <c r="C166" s="13" t="n"/>
      <c r="D166" s="87" t="n"/>
      <c r="E166" s="23" t="n">
        <v>22900</v>
      </c>
    </row>
    <row r="167">
      <c r="A167" s="21" t="n">
        <v>902</v>
      </c>
      <c r="B167" s="13" t="inlineStr">
        <is>
          <t>Toallas Blancas Pura Simple</t>
        </is>
      </c>
      <c r="C167" s="13" t="n"/>
      <c r="D167" s="87" t="n"/>
      <c r="E167" s="23" t="n">
        <v>25400</v>
      </c>
    </row>
    <row r="168">
      <c r="A168" s="21" t="n">
        <v>903</v>
      </c>
      <c r="B168" s="13" t="inlineStr">
        <is>
          <t>Toallas Blancas Pura Doble</t>
        </is>
      </c>
      <c r="C168" s="13" t="n"/>
      <c r="D168" s="87" t="n"/>
      <c r="E168" s="23" t="n">
        <v>31500</v>
      </c>
    </row>
    <row r="169">
      <c r="A169" s="21" t="n">
        <v>914</v>
      </c>
      <c r="B169" s="13" t="inlineStr">
        <is>
          <t>Toalla Blanca Unitas (17,5x25 cm)</t>
        </is>
      </c>
      <c r="D169" s="87" t="n"/>
      <c r="E169" s="23" t="n">
        <v>17500</v>
      </c>
    </row>
    <row r="170">
      <c r="A170" s="21" t="n">
        <v>916</v>
      </c>
      <c r="B170" s="13" t="inlineStr">
        <is>
          <t>Toalla Blanca Especial 21 x 25 ( tiza )</t>
        </is>
      </c>
      <c r="D170" s="87" t="n"/>
      <c r="E170" s="23" t="n">
        <v>21400</v>
      </c>
    </row>
    <row r="171">
      <c r="A171" s="21" t="n">
        <v>920</v>
      </c>
      <c r="B171" s="13" t="inlineStr">
        <is>
          <t>Toalla Blanca Especial 21 x 37 ( tiza )</t>
        </is>
      </c>
      <c r="D171" s="87" t="n"/>
      <c r="E171" s="23" t="n">
        <v>29200</v>
      </c>
    </row>
    <row r="172">
      <c r="A172" s="21" t="n">
        <v>927</v>
      </c>
      <c r="B172" s="13" t="inlineStr">
        <is>
          <t>Toalla Blanca Especial 17,5 x 25 ( tiza ) Unita</t>
        </is>
      </c>
      <c r="D172" s="87" t="n"/>
      <c r="E172" s="23" t="n">
        <v>16800</v>
      </c>
    </row>
    <row r="173">
      <c r="A173" s="21" t="n">
        <v>928</v>
      </c>
      <c r="B173" s="13" t="inlineStr">
        <is>
          <t>Cajas x 2500 Toallas Beige 21x37</t>
        </is>
      </c>
      <c r="D173" s="87" t="n"/>
      <c r="E173" s="23" t="n">
        <v>24800</v>
      </c>
    </row>
    <row r="174">
      <c r="A174" s="21" t="n">
        <v>930</v>
      </c>
      <c r="B174" s="13" t="inlineStr">
        <is>
          <t>Toalla Blanca Super 21x37 cm</t>
        </is>
      </c>
      <c r="C174" s="13" t="n"/>
      <c r="D174" s="87" t="n"/>
      <c r="E174" s="23" t="n">
        <v>31600</v>
      </c>
    </row>
    <row r="175">
      <c r="A175" s="21" t="n">
        <v>931</v>
      </c>
      <c r="B175" s="13" t="inlineStr">
        <is>
          <t>Caja x 2500 Toallas Beige Unitas 17,5 cm x 25 cm</t>
        </is>
      </c>
      <c r="D175" s="87" t="n"/>
      <c r="E175" s="23" t="n">
        <v>15400</v>
      </c>
    </row>
    <row r="176">
      <c r="A176" s="21" t="n">
        <v>932</v>
      </c>
      <c r="B176" s="13" t="inlineStr">
        <is>
          <t>Caja x 2500 Toallas Beige 21 cm x 25 cm simple hoja</t>
        </is>
      </c>
      <c r="D176" s="87" t="n"/>
      <c r="E176" s="23" t="n">
        <v>17600</v>
      </c>
    </row>
    <row r="177">
      <c r="D177" s="87" t="n"/>
    </row>
    <row r="178">
      <c r="A178" s="100" t="inlineStr">
        <is>
          <t xml:space="preserve">Los valores son más IVA. </t>
        </is>
      </c>
      <c r="D178" s="87" t="n"/>
    </row>
    <row r="179">
      <c r="A179" s="100" t="inlineStr">
        <is>
          <t>Entrega en CABA</t>
        </is>
      </c>
      <c r="D179" s="87" t="n"/>
    </row>
    <row r="180">
      <c r="D180" s="87" t="n"/>
    </row>
    <row r="181">
      <c r="D181" s="87" t="n"/>
    </row>
    <row r="182">
      <c r="D182" s="87" t="n"/>
    </row>
    <row r="183">
      <c r="D183" s="87" t="n"/>
    </row>
    <row r="184">
      <c r="D184" s="87" t="n"/>
    </row>
    <row r="185">
      <c r="D185" s="87" t="n"/>
    </row>
    <row r="186">
      <c r="D186" s="87" t="n"/>
    </row>
    <row r="187">
      <c r="D187" s="87" t="n"/>
    </row>
    <row r="188">
      <c r="D188" s="87" t="n"/>
    </row>
    <row r="189">
      <c r="D189" s="87" t="n"/>
    </row>
    <row r="190">
      <c r="D190" s="87" t="n"/>
    </row>
    <row r="191">
      <c r="D191" s="87" t="n"/>
    </row>
    <row r="192">
      <c r="D192" s="87" t="n"/>
    </row>
    <row r="193">
      <c r="D193" s="87" t="n"/>
    </row>
    <row r="194">
      <c r="D194" s="87" t="n"/>
    </row>
    <row r="195">
      <c r="D195" s="87" t="n"/>
    </row>
    <row r="196">
      <c r="D196" s="87" t="n"/>
    </row>
    <row r="197">
      <c r="D197" s="87" t="n"/>
    </row>
    <row r="198">
      <c r="D198" s="87" t="n"/>
    </row>
    <row r="199">
      <c r="D199" s="87" t="n"/>
    </row>
    <row r="200">
      <c r="D200" s="87" t="n"/>
    </row>
    <row r="201">
      <c r="D201" s="87" t="n"/>
    </row>
    <row r="202">
      <c r="D202" s="87" t="n"/>
    </row>
    <row r="203">
      <c r="D203" s="87" t="n"/>
    </row>
    <row r="204">
      <c r="D204" s="87" t="n"/>
    </row>
    <row r="205">
      <c r="D205" s="87" t="n"/>
    </row>
    <row r="206">
      <c r="D206" s="87" t="n"/>
    </row>
    <row r="207">
      <c r="D207" s="87" t="n"/>
    </row>
    <row r="208">
      <c r="D208" s="87" t="n"/>
    </row>
    <row r="209">
      <c r="D209" s="87" t="n"/>
    </row>
    <row r="210">
      <c r="D210" s="87" t="n"/>
    </row>
    <row r="211">
      <c r="D211" s="87" t="n"/>
    </row>
    <row r="212">
      <c r="D212" s="87" t="n"/>
    </row>
    <row r="213">
      <c r="D213" s="87" t="n"/>
    </row>
    <row r="214">
      <c r="D214" s="87" t="n"/>
    </row>
    <row r="215">
      <c r="D215" s="87" t="n"/>
    </row>
    <row r="216">
      <c r="D216" s="87" t="n"/>
    </row>
    <row r="217">
      <c r="D217" s="87" t="n"/>
    </row>
    <row r="218">
      <c r="D218" s="87" t="n"/>
    </row>
    <row r="219">
      <c r="D219" s="87" t="n"/>
    </row>
    <row r="220">
      <c r="D220" s="87" t="n"/>
    </row>
    <row r="221">
      <c r="D221" s="87" t="n"/>
    </row>
    <row r="222">
      <c r="D222" s="87" t="n"/>
    </row>
    <row r="223">
      <c r="D223" s="87" t="n"/>
    </row>
    <row r="224">
      <c r="D224" s="87" t="n"/>
    </row>
    <row r="225">
      <c r="D225" s="87" t="n"/>
    </row>
    <row r="226">
      <c r="D226" s="87" t="n"/>
    </row>
    <row r="227">
      <c r="D227" s="87" t="n"/>
    </row>
    <row r="228">
      <c r="D228" s="87" t="n"/>
    </row>
    <row r="229">
      <c r="D229" s="87" t="n"/>
    </row>
    <row r="230">
      <c r="D230" s="87" t="n"/>
    </row>
    <row r="231">
      <c r="D231" s="87" t="n"/>
    </row>
    <row r="232">
      <c r="D232" s="87" t="n"/>
    </row>
    <row r="233">
      <c r="D233" s="87" t="n"/>
    </row>
    <row r="234">
      <c r="D234" s="87" t="n"/>
    </row>
    <row r="235">
      <c r="D235" s="87" t="n"/>
    </row>
    <row r="236">
      <c r="D236" s="87" t="n"/>
    </row>
    <row r="237">
      <c r="D237" s="87" t="n"/>
    </row>
    <row r="238">
      <c r="D238" s="87" t="n"/>
    </row>
    <row r="239">
      <c r="D239" s="87" t="n"/>
    </row>
    <row r="240">
      <c r="D240" s="87" t="n"/>
    </row>
    <row r="241">
      <c r="D241" s="87" t="n"/>
    </row>
    <row r="242">
      <c r="D242" s="87" t="n"/>
    </row>
    <row r="243">
      <c r="D243" s="87" t="n"/>
    </row>
    <row r="244">
      <c r="D244" s="87" t="n"/>
    </row>
    <row r="245">
      <c r="D245" s="87" t="n"/>
    </row>
    <row r="246">
      <c r="D246" s="87" t="n"/>
    </row>
    <row r="247">
      <c r="D247" s="87" t="n"/>
    </row>
    <row r="248">
      <c r="D248" s="87" t="n"/>
    </row>
    <row r="249">
      <c r="D249" s="87" t="n"/>
    </row>
    <row r="250">
      <c r="D250" s="87" t="n"/>
    </row>
    <row r="251">
      <c r="D251" s="87" t="n"/>
    </row>
    <row r="252">
      <c r="D252" s="87" t="n"/>
    </row>
    <row r="253">
      <c r="D253" s="87" t="n"/>
    </row>
    <row r="254">
      <c r="D254" s="87" t="n"/>
    </row>
    <row r="255">
      <c r="D255" s="87" t="n"/>
    </row>
    <row r="256">
      <c r="D256" s="87" t="n"/>
    </row>
    <row r="257">
      <c r="D257" s="87" t="n"/>
    </row>
    <row r="258">
      <c r="D258" s="87" t="n"/>
    </row>
    <row r="259">
      <c r="D259" s="87" t="n"/>
    </row>
    <row r="260">
      <c r="D260" s="87" t="n"/>
    </row>
    <row r="261">
      <c r="D261" s="87" t="n"/>
    </row>
    <row r="262">
      <c r="D262" s="87" t="n"/>
    </row>
    <row r="263">
      <c r="D263" s="87" t="n"/>
    </row>
    <row r="264">
      <c r="D264" s="87" t="n"/>
    </row>
    <row r="265">
      <c r="D265" s="87" t="n"/>
    </row>
    <row r="266">
      <c r="D266" s="87" t="n"/>
    </row>
    <row r="267">
      <c r="D267" s="87" t="n"/>
    </row>
    <row r="268">
      <c r="D268" s="87" t="n"/>
    </row>
    <row r="269">
      <c r="D269" s="87" t="n"/>
    </row>
    <row r="270">
      <c r="D270" s="87" t="n"/>
    </row>
    <row r="271">
      <c r="D271" s="87" t="n"/>
    </row>
    <row r="272">
      <c r="D272" s="87" t="n"/>
    </row>
    <row r="273">
      <c r="D273" s="87" t="n"/>
    </row>
    <row r="274">
      <c r="D274" s="87" t="n"/>
    </row>
    <row r="275">
      <c r="D275" s="87" t="n"/>
    </row>
    <row r="276">
      <c r="D276" s="87" t="n"/>
    </row>
    <row r="277">
      <c r="D277" s="87" t="n"/>
    </row>
    <row r="278">
      <c r="D278" s="87" t="n"/>
    </row>
    <row r="279">
      <c r="D279" s="87" t="n"/>
    </row>
    <row r="280">
      <c r="D280" s="87" t="n"/>
    </row>
    <row r="281">
      <c r="D281" s="87" t="n"/>
    </row>
    <row r="282">
      <c r="D282" s="87" t="n"/>
    </row>
    <row r="283">
      <c r="D283" s="87" t="n"/>
    </row>
    <row r="284">
      <c r="D284" s="87" t="n"/>
    </row>
    <row r="285">
      <c r="D285" s="87" t="n"/>
    </row>
    <row r="286">
      <c r="D286" s="87" t="n"/>
    </row>
    <row r="287">
      <c r="D287" s="87" t="n"/>
    </row>
    <row r="288">
      <c r="D288" s="87" t="n"/>
    </row>
    <row r="289">
      <c r="D289" s="87" t="n"/>
    </row>
    <row r="290">
      <c r="D290" s="87" t="n"/>
    </row>
    <row r="291">
      <c r="D291" s="87" t="n"/>
    </row>
    <row r="292">
      <c r="D292" s="87" t="n"/>
    </row>
    <row r="293">
      <c r="D293" s="87" t="n"/>
    </row>
    <row r="294">
      <c r="D294" s="87" t="n"/>
    </row>
    <row r="295">
      <c r="D295" s="87" t="n"/>
    </row>
    <row r="296">
      <c r="D296" s="87" t="n"/>
    </row>
    <row r="297">
      <c r="D297" s="87" t="n"/>
    </row>
    <row r="298">
      <c r="D298" s="87" t="n"/>
    </row>
    <row r="299">
      <c r="D299" s="87" t="n"/>
    </row>
    <row r="300">
      <c r="D300" s="87" t="n"/>
    </row>
    <row r="301">
      <c r="D301" s="87" t="n"/>
    </row>
    <row r="302">
      <c r="D302" s="87" t="n"/>
    </row>
    <row r="303">
      <c r="D303" s="87" t="n"/>
    </row>
    <row r="304">
      <c r="D304" s="87" t="n"/>
    </row>
    <row r="305">
      <c r="D305" s="87" t="n"/>
    </row>
    <row r="306">
      <c r="D306" s="87" t="n"/>
    </row>
    <row r="307">
      <c r="D307" s="87" t="n"/>
    </row>
    <row r="308">
      <c r="D308" s="87" t="n"/>
    </row>
    <row r="309">
      <c r="D309" s="87" t="n"/>
    </row>
    <row r="310">
      <c r="D310" s="87" t="n"/>
    </row>
    <row r="311">
      <c r="D311" s="87" t="n"/>
    </row>
    <row r="312">
      <c r="D312" s="87" t="n"/>
    </row>
    <row r="313">
      <c r="D313" s="87" t="n"/>
    </row>
    <row r="314">
      <c r="D314" s="87" t="n"/>
    </row>
    <row r="315">
      <c r="D315" s="87" t="n"/>
    </row>
    <row r="316">
      <c r="D316" s="87" t="n"/>
    </row>
    <row r="317">
      <c r="D317" s="87" t="n"/>
    </row>
    <row r="318">
      <c r="D318" s="87" t="n"/>
    </row>
    <row r="319">
      <c r="D319" s="87" t="n"/>
    </row>
    <row r="320">
      <c r="D320" s="87" t="n"/>
    </row>
    <row r="321">
      <c r="D321" s="87" t="n"/>
    </row>
    <row r="322">
      <c r="D322" s="87" t="n"/>
    </row>
    <row r="323">
      <c r="D323" s="87" t="n"/>
    </row>
    <row r="324">
      <c r="D324" s="87" t="n"/>
    </row>
    <row r="325">
      <c r="D325" s="87" t="n"/>
    </row>
    <row r="326">
      <c r="D326" s="87" t="n"/>
    </row>
    <row r="327">
      <c r="D327" s="87" t="n"/>
    </row>
    <row r="328">
      <c r="D328" s="87" t="n"/>
    </row>
    <row r="329">
      <c r="D329" s="87" t="n"/>
    </row>
    <row r="330">
      <c r="D330" s="87" t="n"/>
    </row>
    <row r="331">
      <c r="D331" s="87" t="n"/>
    </row>
    <row r="332">
      <c r="D332" s="87" t="n"/>
    </row>
    <row r="333">
      <c r="D333" s="87" t="n"/>
    </row>
    <row r="334">
      <c r="D334" s="87" t="n"/>
    </row>
    <row r="335">
      <c r="D335" s="87" t="n"/>
    </row>
    <row r="336">
      <c r="D336" s="87" t="n"/>
    </row>
    <row r="337">
      <c r="D337" s="87" t="n"/>
    </row>
    <row r="338">
      <c r="D338" s="87" t="n"/>
    </row>
    <row r="339">
      <c r="D339" s="87" t="n"/>
    </row>
    <row r="340">
      <c r="D340" s="87" t="n"/>
    </row>
    <row r="341">
      <c r="D341" s="87" t="n"/>
    </row>
    <row r="342">
      <c r="D342" s="87" t="n"/>
    </row>
    <row r="343">
      <c r="D343" s="87" t="n"/>
    </row>
    <row r="344">
      <c r="D344" s="87" t="n"/>
    </row>
    <row r="345">
      <c r="D345" s="87" t="n"/>
    </row>
    <row r="346">
      <c r="D346" s="87" t="n"/>
    </row>
    <row r="347">
      <c r="D347" s="87" t="n"/>
    </row>
    <row r="348">
      <c r="D348" s="87" t="n"/>
    </row>
    <row r="349">
      <c r="D349" s="87" t="n"/>
    </row>
    <row r="350">
      <c r="D350" s="87" t="n"/>
    </row>
    <row r="351">
      <c r="D351" s="87" t="n"/>
    </row>
    <row r="352">
      <c r="D352" s="87" t="n"/>
    </row>
    <row r="353">
      <c r="D353" s="87" t="n"/>
    </row>
    <row r="354">
      <c r="D354" s="87" t="n"/>
    </row>
    <row r="355">
      <c r="D355" s="87" t="n"/>
    </row>
    <row r="356">
      <c r="D356" s="87" t="n"/>
    </row>
    <row r="357">
      <c r="D357" s="87" t="n"/>
    </row>
    <row r="358">
      <c r="D358" s="87" t="n"/>
    </row>
    <row r="359">
      <c r="D359" s="87" t="n"/>
    </row>
    <row r="360">
      <c r="D360" s="87" t="n"/>
    </row>
    <row r="361">
      <c r="D361" s="87" t="n"/>
    </row>
    <row r="362">
      <c r="D362" s="87" t="n"/>
    </row>
    <row r="363">
      <c r="D363" s="87" t="n"/>
    </row>
    <row r="364">
      <c r="D364" s="87" t="n"/>
    </row>
    <row r="365">
      <c r="D365" s="87" t="n"/>
    </row>
    <row r="366">
      <c r="D366" s="87" t="n"/>
    </row>
    <row r="367">
      <c r="D367" s="87" t="n"/>
    </row>
    <row r="368">
      <c r="D368" s="87" t="n"/>
    </row>
    <row r="369">
      <c r="D369" s="87" t="n"/>
    </row>
    <row r="370">
      <c r="D370" s="87" t="n"/>
    </row>
    <row r="371">
      <c r="D371" s="87" t="n"/>
    </row>
    <row r="372">
      <c r="D372" s="87" t="n"/>
    </row>
    <row r="373">
      <c r="D373" s="87" t="n"/>
    </row>
    <row r="374">
      <c r="D374" s="87" t="n"/>
    </row>
    <row r="375">
      <c r="D375" s="87" t="n"/>
    </row>
    <row r="376">
      <c r="D376" s="87" t="n"/>
    </row>
    <row r="377">
      <c r="D377" s="87" t="n"/>
    </row>
    <row r="378">
      <c r="D378" s="87" t="n"/>
    </row>
    <row r="379">
      <c r="D379" s="87" t="n"/>
    </row>
    <row r="380">
      <c r="D380" s="87" t="n"/>
    </row>
    <row r="381">
      <c r="D381" s="87" t="n"/>
    </row>
    <row r="382">
      <c r="D382" s="87" t="n"/>
    </row>
    <row r="383">
      <c r="D383" s="87" t="n"/>
    </row>
    <row r="384">
      <c r="D384" s="87" t="n"/>
    </row>
    <row r="385">
      <c r="D385" s="87" t="n"/>
    </row>
    <row r="386">
      <c r="D386" s="87" t="n"/>
    </row>
    <row r="387">
      <c r="D387" s="87" t="n"/>
    </row>
    <row r="388">
      <c r="D388" s="87" t="n"/>
    </row>
    <row r="389">
      <c r="D389" s="87" t="n"/>
    </row>
    <row r="390">
      <c r="D390" s="87" t="n"/>
    </row>
    <row r="391">
      <c r="D391" s="87" t="n"/>
    </row>
    <row r="392">
      <c r="D392" s="87" t="n"/>
    </row>
    <row r="393">
      <c r="D393" s="87" t="n"/>
    </row>
    <row r="394">
      <c r="D394" s="87" t="n"/>
    </row>
    <row r="395">
      <c r="D395" s="87" t="n"/>
    </row>
    <row r="396">
      <c r="D396" s="87" t="n"/>
    </row>
    <row r="397">
      <c r="D397" s="87" t="n"/>
    </row>
    <row r="398">
      <c r="D398" s="87" t="n"/>
    </row>
    <row r="399">
      <c r="D399" s="87" t="n"/>
    </row>
    <row r="400">
      <c r="D400" s="87" t="n"/>
    </row>
    <row r="401">
      <c r="D401" s="87" t="n"/>
    </row>
    <row r="402">
      <c r="D402" s="87" t="n"/>
    </row>
    <row r="403">
      <c r="D403" s="87" t="n"/>
    </row>
    <row r="404">
      <c r="D404" s="87" t="n"/>
    </row>
    <row r="405">
      <c r="D405" s="87" t="n"/>
    </row>
    <row r="406">
      <c r="D406" s="87" t="n"/>
    </row>
    <row r="407">
      <c r="D407" s="87" t="n"/>
    </row>
    <row r="408">
      <c r="D408" s="87" t="n"/>
    </row>
    <row r="409">
      <c r="D409" s="87" t="n"/>
    </row>
    <row r="410">
      <c r="D410" s="87" t="n"/>
    </row>
    <row r="411">
      <c r="D411" s="87" t="n"/>
    </row>
    <row r="412">
      <c r="D412" s="87" t="n"/>
    </row>
    <row r="413">
      <c r="D413" s="87" t="n"/>
    </row>
    <row r="414">
      <c r="D414" s="87" t="n"/>
    </row>
    <row r="415">
      <c r="D415" s="87" t="n"/>
    </row>
    <row r="416">
      <c r="D416" s="87" t="n"/>
    </row>
    <row r="417">
      <c r="D417" s="87" t="n"/>
    </row>
    <row r="418">
      <c r="D418" s="87" t="n"/>
    </row>
    <row r="419">
      <c r="D419" s="87" t="n"/>
    </row>
    <row r="420">
      <c r="D420" s="87" t="n"/>
    </row>
    <row r="421">
      <c r="D421" s="87" t="n"/>
    </row>
    <row r="422">
      <c r="D422" s="87" t="n"/>
    </row>
    <row r="423">
      <c r="D423" s="87" t="n"/>
    </row>
    <row r="424">
      <c r="D424" s="87" t="n"/>
    </row>
    <row r="425">
      <c r="D425" s="87" t="n"/>
    </row>
    <row r="426">
      <c r="D426" s="87" t="n"/>
    </row>
    <row r="427">
      <c r="D427" s="87" t="n"/>
    </row>
    <row r="428">
      <c r="D428" s="87" t="n"/>
    </row>
    <row r="429">
      <c r="D429" s="87" t="n"/>
    </row>
    <row r="430">
      <c r="D430" s="87" t="n"/>
    </row>
    <row r="431">
      <c r="D431" s="87" t="n"/>
    </row>
    <row r="432">
      <c r="D432" s="87" t="n"/>
    </row>
    <row r="433">
      <c r="D433" s="87" t="n"/>
    </row>
    <row r="434">
      <c r="D434" s="87" t="n"/>
    </row>
    <row r="435">
      <c r="D435" s="87" t="n"/>
    </row>
    <row r="436">
      <c r="D436" s="87" t="n"/>
    </row>
    <row r="437">
      <c r="D437" s="87" t="n"/>
    </row>
    <row r="438">
      <c r="D438" s="87" t="n"/>
    </row>
    <row r="439">
      <c r="D439" s="87" t="n"/>
    </row>
    <row r="440">
      <c r="D440" s="87" t="n"/>
    </row>
    <row r="441">
      <c r="D441" s="87" t="n"/>
    </row>
    <row r="442">
      <c r="D442" s="87" t="n"/>
    </row>
    <row r="443">
      <c r="D443" s="87" t="n"/>
    </row>
    <row r="444">
      <c r="D444" s="87" t="n"/>
    </row>
    <row r="445">
      <c r="D445" s="87" t="n"/>
    </row>
    <row r="446">
      <c r="D446" s="87" t="n"/>
    </row>
    <row r="447">
      <c r="D447" s="87" t="n"/>
    </row>
    <row r="448">
      <c r="D448" s="87" t="n"/>
    </row>
    <row r="449">
      <c r="D449" s="87" t="n"/>
    </row>
    <row r="450">
      <c r="D450" s="87" t="n"/>
    </row>
    <row r="451">
      <c r="D451" s="87" t="n"/>
    </row>
    <row r="452">
      <c r="D452" s="87" t="n"/>
    </row>
    <row r="453">
      <c r="D453" s="87" t="n"/>
    </row>
    <row r="454">
      <c r="D454" s="87" t="n"/>
    </row>
    <row r="455">
      <c r="D455" s="87" t="n"/>
    </row>
    <row r="456">
      <c r="D456" s="87" t="n"/>
    </row>
    <row r="457">
      <c r="D457" s="87" t="n"/>
    </row>
    <row r="458">
      <c r="D458" s="87" t="n"/>
    </row>
    <row r="459">
      <c r="D459" s="87" t="n"/>
    </row>
    <row r="460">
      <c r="D460" s="87" t="n"/>
    </row>
    <row r="461">
      <c r="D461" s="87" t="n"/>
    </row>
    <row r="462">
      <c r="D462" s="87" t="n"/>
    </row>
    <row r="463">
      <c r="D463" s="87" t="n"/>
    </row>
    <row r="464">
      <c r="D464" s="87" t="n"/>
    </row>
    <row r="465">
      <c r="D465" s="87" t="n"/>
    </row>
    <row r="466">
      <c r="D466" s="87" t="n"/>
    </row>
    <row r="467">
      <c r="D467" s="87" t="n"/>
    </row>
    <row r="468">
      <c r="D468" s="87" t="n"/>
    </row>
    <row r="469">
      <c r="D469" s="87" t="n"/>
    </row>
    <row r="470">
      <c r="D470" s="87" t="n"/>
    </row>
    <row r="471">
      <c r="D471" s="87" t="n"/>
    </row>
    <row r="472">
      <c r="D472" s="87" t="n"/>
    </row>
    <row r="473">
      <c r="D473" s="87" t="n"/>
    </row>
    <row r="474">
      <c r="D474" s="87" t="n"/>
    </row>
    <row r="475">
      <c r="D475" s="87" t="n"/>
    </row>
    <row r="476">
      <c r="D476" s="87" t="n"/>
    </row>
    <row r="477">
      <c r="D477" s="87" t="n"/>
    </row>
    <row r="478">
      <c r="D478" s="87" t="n"/>
    </row>
    <row r="479">
      <c r="D479" s="87" t="n"/>
    </row>
    <row r="480">
      <c r="D480" s="87" t="n"/>
    </row>
    <row r="481">
      <c r="D481" s="87" t="n"/>
    </row>
    <row r="482">
      <c r="D482" s="87" t="n"/>
    </row>
    <row r="483">
      <c r="D483" s="87" t="n"/>
    </row>
    <row r="484">
      <c r="D484" s="87" t="n"/>
    </row>
    <row r="485">
      <c r="D485" s="87" t="n"/>
    </row>
    <row r="486">
      <c r="D486" s="87" t="n"/>
    </row>
    <row r="487">
      <c r="D487" s="87" t="n"/>
    </row>
    <row r="488">
      <c r="D488" s="87" t="n"/>
    </row>
    <row r="489">
      <c r="D489" s="87" t="n"/>
    </row>
    <row r="490">
      <c r="D490" s="87" t="n"/>
    </row>
    <row r="491">
      <c r="D491" s="87" t="n"/>
    </row>
    <row r="492">
      <c r="D492" s="87" t="n"/>
    </row>
    <row r="493">
      <c r="D493" s="87" t="n"/>
    </row>
    <row r="494">
      <c r="D494" s="87" t="n"/>
    </row>
    <row r="495">
      <c r="D495" s="87" t="n"/>
    </row>
    <row r="496">
      <c r="D496" s="87" t="n"/>
    </row>
    <row r="497">
      <c r="D497" s="87" t="n"/>
    </row>
    <row r="498">
      <c r="D498" s="87" t="n"/>
    </row>
    <row r="499">
      <c r="D499" s="87" t="n"/>
    </row>
    <row r="500">
      <c r="D500" s="87" t="n"/>
    </row>
    <row r="501">
      <c r="D501" s="87" t="n"/>
    </row>
    <row r="502">
      <c r="D502" s="87" t="n"/>
    </row>
    <row r="503">
      <c r="D503" s="87" t="n"/>
    </row>
    <row r="504">
      <c r="D504" s="87" t="n"/>
    </row>
    <row r="505">
      <c r="D505" s="87" t="n"/>
    </row>
    <row r="506">
      <c r="D506" s="87" t="n"/>
    </row>
    <row r="507">
      <c r="D507" s="87" t="n"/>
    </row>
    <row r="508">
      <c r="D508" s="87" t="n"/>
    </row>
    <row r="509">
      <c r="D509" s="87" t="n"/>
    </row>
    <row r="510">
      <c r="D510" s="87" t="n"/>
    </row>
    <row r="511">
      <c r="D511" s="87" t="n"/>
    </row>
    <row r="512">
      <c r="D512" s="87" t="n"/>
    </row>
    <row r="513">
      <c r="D513" s="87" t="n"/>
    </row>
    <row r="514">
      <c r="D514" s="87" t="n"/>
    </row>
    <row r="515">
      <c r="D515" s="87" t="n"/>
    </row>
    <row r="516">
      <c r="D516" s="87" t="n"/>
    </row>
    <row r="517">
      <c r="D517" s="87" t="n"/>
    </row>
    <row r="518">
      <c r="D518" s="87" t="n"/>
    </row>
    <row r="519">
      <c r="D519" s="87" t="n"/>
    </row>
    <row r="520">
      <c r="D520" s="87" t="n"/>
    </row>
    <row r="521">
      <c r="D521" s="87" t="n"/>
    </row>
    <row r="522">
      <c r="D522" s="87" t="n"/>
    </row>
    <row r="523">
      <c r="D523" s="87" t="n"/>
    </row>
    <row r="524">
      <c r="D524" s="87" t="n"/>
    </row>
    <row r="525">
      <c r="D525" s="87" t="n"/>
    </row>
    <row r="526">
      <c r="D526" s="87" t="n"/>
    </row>
    <row r="527">
      <c r="D527" s="87" t="n"/>
    </row>
    <row r="528">
      <c r="D528" s="87" t="n"/>
    </row>
    <row r="529">
      <c r="D529" s="87" t="n"/>
    </row>
    <row r="530">
      <c r="D530" s="87" t="n"/>
    </row>
    <row r="531">
      <c r="D531" s="87" t="n"/>
    </row>
    <row r="532">
      <c r="D532" s="87" t="n"/>
    </row>
    <row r="533">
      <c r="D533" s="87" t="n"/>
    </row>
    <row r="534">
      <c r="D534" s="87" t="n"/>
    </row>
    <row r="535">
      <c r="D535" s="87" t="n"/>
    </row>
    <row r="536">
      <c r="D536" s="87" t="n"/>
    </row>
    <row r="537">
      <c r="D537" s="87" t="n"/>
    </row>
    <row r="538">
      <c r="D538" s="87" t="n"/>
    </row>
    <row r="539">
      <c r="D539" s="87" t="n"/>
    </row>
    <row r="540">
      <c r="D540" s="87" t="n"/>
    </row>
    <row r="541">
      <c r="D541" s="87" t="n"/>
    </row>
    <row r="542">
      <c r="D542" s="87" t="n"/>
    </row>
    <row r="543">
      <c r="D543" s="87" t="n"/>
    </row>
    <row r="544">
      <c r="D544" s="87" t="n"/>
    </row>
    <row r="545">
      <c r="D545" s="87" t="n"/>
    </row>
    <row r="546">
      <c r="D546" s="87" t="n"/>
    </row>
    <row r="547">
      <c r="D547" s="87" t="n"/>
    </row>
    <row r="548">
      <c r="D548" s="87" t="n"/>
    </row>
    <row r="549">
      <c r="D549" s="87" t="n"/>
    </row>
    <row r="550">
      <c r="D550" s="87" t="n"/>
    </row>
    <row r="551">
      <c r="D551" s="87" t="n"/>
    </row>
    <row r="552">
      <c r="D552" s="87" t="n"/>
    </row>
    <row r="553">
      <c r="D553" s="87" t="n"/>
    </row>
    <row r="554">
      <c r="D554" s="87" t="n"/>
    </row>
    <row r="555">
      <c r="D555" s="87" t="n"/>
    </row>
    <row r="556">
      <c r="D556" s="87" t="n"/>
    </row>
    <row r="557">
      <c r="D557" s="87" t="n"/>
    </row>
    <row r="558">
      <c r="D558" s="87" t="n"/>
    </row>
    <row r="559">
      <c r="D559" s="87" t="n"/>
    </row>
    <row r="560">
      <c r="D560" s="87" t="n"/>
    </row>
    <row r="561">
      <c r="D561" s="87" t="n"/>
    </row>
    <row r="562">
      <c r="D562" s="87" t="n"/>
    </row>
    <row r="563">
      <c r="D563" s="87" t="n"/>
    </row>
    <row r="564">
      <c r="D564" s="87" t="n"/>
    </row>
    <row r="565">
      <c r="D565" s="87" t="n"/>
    </row>
    <row r="566">
      <c r="D566" s="87" t="n"/>
    </row>
    <row r="567">
      <c r="D567" s="87" t="n"/>
    </row>
    <row r="568">
      <c r="D568" s="87" t="n"/>
    </row>
    <row r="569">
      <c r="D569" s="87" t="n"/>
    </row>
    <row r="570">
      <c r="D570" s="87" t="n"/>
    </row>
    <row r="571">
      <c r="D571" s="87" t="n"/>
    </row>
    <row r="572">
      <c r="D572" s="87" t="n"/>
    </row>
    <row r="573">
      <c r="D573" s="87" t="n"/>
    </row>
    <row r="574">
      <c r="D574" s="87" t="n"/>
    </row>
    <row r="575">
      <c r="D575" s="87" t="n"/>
    </row>
    <row r="576">
      <c r="D576" s="87" t="n"/>
    </row>
    <row r="577">
      <c r="D577" s="87" t="n"/>
    </row>
    <row r="578">
      <c r="D578" s="87" t="n"/>
    </row>
    <row r="579">
      <c r="D579" s="87" t="n"/>
    </row>
    <row r="580">
      <c r="D580" s="87" t="n"/>
    </row>
    <row r="581">
      <c r="D581" s="87" t="n"/>
    </row>
    <row r="582">
      <c r="D582" s="87" t="n"/>
    </row>
    <row r="583">
      <c r="D583" s="87" t="n"/>
    </row>
    <row r="584">
      <c r="D584" s="87" t="n"/>
    </row>
    <row r="585">
      <c r="D585" s="87" t="n"/>
    </row>
    <row r="586">
      <c r="D586" s="87" t="n"/>
    </row>
    <row r="587">
      <c r="D587" s="87" t="n"/>
    </row>
    <row r="588">
      <c r="D588" s="87" t="n"/>
    </row>
    <row r="589">
      <c r="D589" s="87" t="n"/>
    </row>
    <row r="590">
      <c r="D590" s="87" t="n"/>
    </row>
    <row r="591">
      <c r="D591" s="87" t="n"/>
    </row>
    <row r="592">
      <c r="D592" s="87" t="n"/>
    </row>
    <row r="593">
      <c r="D593" s="87" t="n"/>
    </row>
    <row r="594">
      <c r="D594" s="87" t="n"/>
    </row>
    <row r="595">
      <c r="D595" s="87" t="n"/>
    </row>
    <row r="596">
      <c r="D596" s="87" t="n"/>
    </row>
    <row r="597">
      <c r="D597" s="87" t="n"/>
    </row>
    <row r="598">
      <c r="D598" s="87" t="n"/>
    </row>
    <row r="599">
      <c r="D599" s="87" t="n"/>
    </row>
    <row r="600">
      <c r="D600" s="87" t="n"/>
    </row>
    <row r="601">
      <c r="D601" s="87" t="n"/>
    </row>
    <row r="602">
      <c r="D602" s="87" t="n"/>
    </row>
    <row r="603">
      <c r="D603" s="87" t="n"/>
    </row>
    <row r="604">
      <c r="D604" s="87" t="n"/>
    </row>
    <row r="605">
      <c r="D605" s="87" t="n"/>
    </row>
    <row r="606">
      <c r="D606" s="87" t="n"/>
    </row>
    <row r="607">
      <c r="D607" s="87" t="n"/>
    </row>
    <row r="608">
      <c r="D608" s="87" t="n"/>
    </row>
    <row r="609">
      <c r="D609" s="87" t="n"/>
    </row>
    <row r="610">
      <c r="D610" s="87" t="n"/>
    </row>
    <row r="611">
      <c r="D611" s="87" t="n"/>
    </row>
    <row r="612">
      <c r="D612" s="87" t="n"/>
    </row>
    <row r="613">
      <c r="D613" s="87" t="n"/>
    </row>
    <row r="614">
      <c r="D614" s="87" t="n"/>
    </row>
    <row r="615">
      <c r="D615" s="87" t="n"/>
    </row>
    <row r="616">
      <c r="D616" s="87" t="n"/>
    </row>
    <row r="617">
      <c r="D617" s="87" t="n"/>
    </row>
    <row r="618">
      <c r="D618" s="87" t="n"/>
    </row>
    <row r="619">
      <c r="D619" s="87" t="n"/>
    </row>
    <row r="620">
      <c r="D620" s="87" t="n"/>
    </row>
    <row r="621">
      <c r="D621" s="87" t="n"/>
    </row>
    <row r="622">
      <c r="D622" s="87" t="n"/>
    </row>
    <row r="623">
      <c r="D623" s="87" t="n"/>
    </row>
    <row r="624">
      <c r="D624" s="87" t="n"/>
    </row>
    <row r="625">
      <c r="D625" s="87" t="n"/>
    </row>
    <row r="626">
      <c r="D626" s="87" t="n"/>
    </row>
    <row r="627">
      <c r="D627" s="87" t="n"/>
    </row>
    <row r="628">
      <c r="D628" s="87" t="n"/>
    </row>
    <row r="629">
      <c r="D629" s="87" t="n"/>
    </row>
    <row r="630">
      <c r="D630" s="87" t="n"/>
    </row>
    <row r="631">
      <c r="D631" s="87" t="n"/>
    </row>
    <row r="632">
      <c r="D632" s="87" t="n"/>
    </row>
    <row r="633">
      <c r="D633" s="87" t="n"/>
    </row>
    <row r="634">
      <c r="D634" s="87" t="n"/>
    </row>
    <row r="635">
      <c r="D635" s="87" t="n"/>
    </row>
    <row r="636">
      <c r="D636" s="87" t="n"/>
    </row>
    <row r="637">
      <c r="D637" s="87" t="n"/>
    </row>
    <row r="638">
      <c r="D638" s="87" t="n"/>
    </row>
    <row r="639">
      <c r="D639" s="87" t="n"/>
    </row>
    <row r="640">
      <c r="D640" s="87" t="n"/>
    </row>
    <row r="641">
      <c r="D641" s="87" t="n"/>
    </row>
    <row r="642">
      <c r="D642" s="87" t="n"/>
    </row>
    <row r="643">
      <c r="D643" s="87" t="n"/>
    </row>
    <row r="644">
      <c r="D644" s="87" t="n"/>
    </row>
    <row r="645">
      <c r="D645" s="87" t="n"/>
    </row>
    <row r="646">
      <c r="D646" s="87" t="n"/>
    </row>
    <row r="647">
      <c r="D647" s="87" t="n"/>
    </row>
    <row r="648">
      <c r="D648" s="87" t="n"/>
    </row>
    <row r="649">
      <c r="D649" s="87" t="n"/>
    </row>
    <row r="650">
      <c r="D650" s="87" t="n"/>
    </row>
    <row r="651">
      <c r="D651" s="87" t="n"/>
    </row>
    <row r="652">
      <c r="D652" s="87" t="n"/>
    </row>
    <row r="653">
      <c r="D653" s="87" t="n"/>
    </row>
    <row r="654">
      <c r="D654" s="87" t="n"/>
    </row>
    <row r="655">
      <c r="D655" s="87" t="n"/>
    </row>
    <row r="656">
      <c r="D656" s="87" t="n"/>
    </row>
    <row r="657">
      <c r="D657" s="87" t="n"/>
    </row>
    <row r="658">
      <c r="D658" s="87" t="n"/>
    </row>
    <row r="659">
      <c r="D659" s="87" t="n"/>
    </row>
    <row r="660">
      <c r="D660" s="87" t="n"/>
    </row>
    <row r="661">
      <c r="D661" s="87" t="n"/>
    </row>
    <row r="662">
      <c r="D662" s="87" t="n"/>
    </row>
    <row r="663">
      <c r="D663" s="87" t="n"/>
    </row>
    <row r="664">
      <c r="D664" s="87" t="n"/>
    </row>
    <row r="665">
      <c r="D665" s="87" t="n"/>
    </row>
    <row r="666">
      <c r="D666" s="87" t="n"/>
    </row>
    <row r="667">
      <c r="D667" s="87" t="n"/>
    </row>
    <row r="668">
      <c r="D668" s="87" t="n"/>
    </row>
    <row r="669">
      <c r="D669" s="87" t="n"/>
    </row>
    <row r="670">
      <c r="D670" s="87" t="n"/>
    </row>
    <row r="671">
      <c r="D671" s="87" t="n"/>
    </row>
    <row r="672">
      <c r="D672" s="87" t="n"/>
    </row>
    <row r="673">
      <c r="D673" s="87" t="n"/>
    </row>
    <row r="674">
      <c r="D674" s="87" t="n"/>
    </row>
    <row r="675">
      <c r="D675" s="87" t="n"/>
    </row>
    <row r="676">
      <c r="D676" s="87" t="n"/>
    </row>
    <row r="677">
      <c r="D677" s="87" t="n"/>
    </row>
    <row r="678">
      <c r="D678" s="87" t="n"/>
    </row>
    <row r="679">
      <c r="D679" s="87" t="n"/>
    </row>
    <row r="680">
      <c r="D680" s="87" t="n"/>
    </row>
    <row r="681">
      <c r="D681" s="87" t="n"/>
    </row>
    <row r="682">
      <c r="D682" s="87" t="n"/>
    </row>
    <row r="683">
      <c r="D683" s="87" t="n"/>
    </row>
    <row r="684">
      <c r="D684" s="87" t="n"/>
    </row>
    <row r="685">
      <c r="D685" s="87" t="n"/>
    </row>
    <row r="686">
      <c r="D686" s="87" t="n"/>
    </row>
    <row r="687">
      <c r="D687" s="87" t="n"/>
    </row>
    <row r="688">
      <c r="D688" s="87" t="n"/>
    </row>
    <row r="689">
      <c r="D689" s="87" t="n"/>
    </row>
    <row r="690">
      <c r="D690" s="87" t="n"/>
    </row>
    <row r="691">
      <c r="D691" s="87" t="n"/>
    </row>
    <row r="692">
      <c r="D692" s="87" t="n"/>
    </row>
    <row r="693">
      <c r="D693" s="87" t="n"/>
    </row>
    <row r="694">
      <c r="D694" s="87" t="n"/>
    </row>
    <row r="695">
      <c r="D695" s="87" t="n"/>
    </row>
    <row r="696">
      <c r="D696" s="87" t="n"/>
    </row>
    <row r="697">
      <c r="D697" s="87" t="n"/>
    </row>
    <row r="698">
      <c r="D698" s="87" t="n"/>
    </row>
    <row r="699">
      <c r="D699" s="87" t="n"/>
    </row>
    <row r="700">
      <c r="D700" s="87" t="n"/>
    </row>
    <row r="701">
      <c r="D701" s="87" t="n"/>
    </row>
    <row r="702">
      <c r="D702" s="87" t="n"/>
    </row>
    <row r="703">
      <c r="D703" s="87" t="n"/>
    </row>
    <row r="704">
      <c r="D704" s="87" t="n"/>
    </row>
    <row r="705">
      <c r="D705" s="87" t="n"/>
    </row>
    <row r="706">
      <c r="D706" s="87" t="n"/>
    </row>
    <row r="707">
      <c r="D707" s="87" t="n"/>
    </row>
    <row r="708">
      <c r="D708" s="87" t="n"/>
    </row>
    <row r="709">
      <c r="D709" s="87" t="n"/>
    </row>
    <row r="710">
      <c r="D710" s="87" t="n"/>
    </row>
    <row r="711">
      <c r="D711" s="87" t="n"/>
    </row>
    <row r="712">
      <c r="D712" s="87" t="n"/>
    </row>
    <row r="713">
      <c r="D713" s="87" t="n"/>
    </row>
    <row r="714">
      <c r="D714" s="87" t="n"/>
    </row>
    <row r="715">
      <c r="D715" s="87" t="n"/>
    </row>
    <row r="716">
      <c r="D716" s="87" t="n"/>
    </row>
    <row r="717">
      <c r="D717" s="87" t="n"/>
    </row>
    <row r="718">
      <c r="D718" s="87" t="n"/>
    </row>
    <row r="719">
      <c r="D719" s="87" t="n"/>
    </row>
    <row r="720">
      <c r="D720" s="87" t="n"/>
    </row>
    <row r="721">
      <c r="D721" s="87" t="n"/>
    </row>
    <row r="722">
      <c r="D722" s="87" t="n"/>
    </row>
    <row r="723">
      <c r="D723" s="87" t="n"/>
    </row>
    <row r="724">
      <c r="D724" s="87" t="n"/>
    </row>
    <row r="725">
      <c r="D725" s="87" t="n"/>
    </row>
    <row r="726">
      <c r="D726" s="87" t="n"/>
    </row>
    <row r="727">
      <c r="D727" s="87" t="n"/>
    </row>
    <row r="728">
      <c r="D728" s="87" t="n"/>
    </row>
    <row r="729">
      <c r="D729" s="87" t="n"/>
    </row>
    <row r="730">
      <c r="D730" s="87" t="n"/>
    </row>
    <row r="731">
      <c r="D731" s="87" t="n"/>
    </row>
    <row r="732">
      <c r="D732" s="87" t="n"/>
    </row>
    <row r="733">
      <c r="D733" s="87" t="n"/>
    </row>
    <row r="734">
      <c r="D734" s="87" t="n"/>
    </row>
    <row r="735">
      <c r="D735" s="87" t="n"/>
    </row>
    <row r="736">
      <c r="D736" s="87" t="n"/>
    </row>
    <row r="737">
      <c r="D737" s="87" t="n"/>
    </row>
    <row r="738">
      <c r="D738" s="87" t="n"/>
    </row>
    <row r="739">
      <c r="D739" s="87" t="n"/>
    </row>
    <row r="740">
      <c r="D740" s="87" t="n"/>
    </row>
    <row r="741">
      <c r="D741" s="87" t="n"/>
    </row>
    <row r="742">
      <c r="D742" s="87" t="n"/>
    </row>
    <row r="743">
      <c r="D743" s="87" t="n"/>
    </row>
    <row r="744">
      <c r="D744" s="87" t="n"/>
    </row>
    <row r="745">
      <c r="D745" s="87" t="n"/>
    </row>
    <row r="746">
      <c r="D746" s="87" t="n"/>
    </row>
    <row r="747">
      <c r="D747" s="87" t="n"/>
    </row>
    <row r="748">
      <c r="D748" s="87" t="n"/>
    </row>
    <row r="749">
      <c r="D749" s="87" t="n"/>
    </row>
    <row r="750">
      <c r="D750" s="87" t="n"/>
    </row>
    <row r="751">
      <c r="D751" s="87" t="n"/>
    </row>
    <row r="752">
      <c r="D752" s="87" t="n"/>
    </row>
    <row r="753">
      <c r="D753" s="87" t="n"/>
    </row>
    <row r="754">
      <c r="D754" s="87" t="n"/>
    </row>
    <row r="755">
      <c r="D755" s="87" t="n"/>
    </row>
    <row r="756">
      <c r="D756" s="87" t="n"/>
    </row>
    <row r="757">
      <c r="D757" s="87" t="n"/>
    </row>
    <row r="758">
      <c r="D758" s="87" t="n"/>
    </row>
    <row r="759">
      <c r="D759" s="87" t="n"/>
    </row>
    <row r="760">
      <c r="D760" s="87" t="n"/>
    </row>
    <row r="761">
      <c r="D761" s="87" t="n"/>
    </row>
    <row r="762">
      <c r="D762" s="87" t="n"/>
    </row>
    <row r="763">
      <c r="D763" s="87" t="n"/>
    </row>
    <row r="764">
      <c r="D764" s="87" t="n"/>
    </row>
    <row r="765">
      <c r="D765" s="87" t="n"/>
    </row>
    <row r="766">
      <c r="D766" s="87" t="n"/>
    </row>
    <row r="767">
      <c r="D767" s="87" t="n"/>
    </row>
    <row r="768">
      <c r="D768" s="87" t="n"/>
    </row>
    <row r="769">
      <c r="D769" s="87" t="n"/>
    </row>
    <row r="770">
      <c r="D770" s="87" t="n"/>
    </row>
    <row r="771">
      <c r="D771" s="87" t="n"/>
    </row>
    <row r="772">
      <c r="D772" s="87" t="n"/>
    </row>
    <row r="773">
      <c r="D773" s="87" t="n"/>
    </row>
    <row r="774">
      <c r="D774" s="87" t="n"/>
    </row>
    <row r="775">
      <c r="D775" s="87" t="n"/>
    </row>
    <row r="776">
      <c r="D776" s="87" t="n"/>
    </row>
    <row r="777">
      <c r="D777" s="87" t="n"/>
    </row>
    <row r="778">
      <c r="D778" s="87" t="n"/>
    </row>
    <row r="779">
      <c r="D779" s="87" t="n"/>
    </row>
    <row r="780">
      <c r="D780" s="87" t="n"/>
    </row>
    <row r="781">
      <c r="D781" s="87" t="n"/>
    </row>
    <row r="782">
      <c r="D782" s="87" t="n"/>
    </row>
    <row r="783">
      <c r="D783" s="87" t="n"/>
    </row>
    <row r="784">
      <c r="D784" s="87" t="n"/>
    </row>
    <row r="785">
      <c r="D785" s="87" t="n"/>
    </row>
    <row r="786">
      <c r="D786" s="87" t="n"/>
    </row>
    <row r="787">
      <c r="D787" s="87" t="n"/>
    </row>
    <row r="788">
      <c r="D788" s="87" t="n"/>
    </row>
    <row r="789">
      <c r="D789" s="87" t="n"/>
    </row>
    <row r="790">
      <c r="D790" s="87" t="n"/>
    </row>
    <row r="791">
      <c r="D791" s="87" t="n"/>
    </row>
    <row r="792">
      <c r="D792" s="87" t="n"/>
    </row>
    <row r="793">
      <c r="D793" s="87" t="n"/>
    </row>
    <row r="794">
      <c r="D794" s="87" t="n"/>
    </row>
    <row r="795">
      <c r="D795" s="87" t="n"/>
    </row>
    <row r="796">
      <c r="D796" s="87" t="n"/>
    </row>
    <row r="797">
      <c r="D797" s="87" t="n"/>
    </row>
    <row r="798">
      <c r="D798" s="87" t="n"/>
    </row>
    <row r="799">
      <c r="D799" s="87" t="n"/>
    </row>
    <row r="800">
      <c r="D800" s="87" t="n"/>
    </row>
    <row r="801">
      <c r="D801" s="87" t="n"/>
    </row>
    <row r="802">
      <c r="D802" s="87" t="n"/>
    </row>
    <row r="803">
      <c r="D803" s="87" t="n"/>
    </row>
    <row r="804">
      <c r="D804" s="87" t="n"/>
    </row>
    <row r="805">
      <c r="D805" s="87" t="n"/>
    </row>
    <row r="806">
      <c r="D806" s="87" t="n"/>
    </row>
    <row r="807">
      <c r="D807" s="87" t="n"/>
    </row>
    <row r="808">
      <c r="D808" s="87" t="n"/>
    </row>
    <row r="809">
      <c r="D809" s="87" t="n"/>
    </row>
    <row r="810">
      <c r="D810" s="87" t="n"/>
    </row>
    <row r="811">
      <c r="D811" s="87" t="n"/>
    </row>
    <row r="812">
      <c r="D812" s="87" t="n"/>
    </row>
    <row r="813">
      <c r="D813" s="87" t="n"/>
    </row>
    <row r="814">
      <c r="D814" s="87" t="n"/>
    </row>
    <row r="815">
      <c r="D815" s="87" t="n"/>
    </row>
    <row r="816">
      <c r="D816" s="87" t="n"/>
    </row>
    <row r="817">
      <c r="D817" s="87" t="n"/>
    </row>
    <row r="818">
      <c r="D818" s="87" t="n"/>
    </row>
    <row r="819">
      <c r="D819" s="87" t="n"/>
    </row>
    <row r="820">
      <c r="D820" s="87" t="n"/>
    </row>
    <row r="821">
      <c r="D821" s="87" t="n"/>
    </row>
    <row r="822">
      <c r="D822" s="87" t="n"/>
    </row>
    <row r="823">
      <c r="D823" s="87" t="n"/>
    </row>
    <row r="824">
      <c r="D824" s="87" t="n"/>
    </row>
    <row r="825">
      <c r="D825" s="87" t="n"/>
    </row>
    <row r="826">
      <c r="D826" s="87" t="n"/>
    </row>
    <row r="827">
      <c r="D827" s="87" t="n"/>
    </row>
    <row r="828">
      <c r="D828" s="87" t="n"/>
    </row>
    <row r="829">
      <c r="D829" s="87" t="n"/>
    </row>
    <row r="830">
      <c r="D830" s="87" t="n"/>
    </row>
    <row r="831">
      <c r="D831" s="87" t="n"/>
    </row>
    <row r="832">
      <c r="D832" s="87" t="n"/>
    </row>
    <row r="833">
      <c r="D833" s="87" t="n"/>
    </row>
    <row r="834">
      <c r="D834" s="87" t="n"/>
    </row>
    <row r="835">
      <c r="D835" s="87" t="n"/>
    </row>
    <row r="836">
      <c r="D836" s="87" t="n"/>
    </row>
    <row r="837">
      <c r="D837" s="87" t="n"/>
    </row>
    <row r="838">
      <c r="D838" s="87" t="n"/>
    </row>
    <row r="839">
      <c r="D839" s="87" t="n"/>
    </row>
    <row r="840">
      <c r="D840" s="87" t="n"/>
    </row>
    <row r="841">
      <c r="D841" s="87" t="n"/>
    </row>
    <row r="842">
      <c r="D842" s="87" t="n"/>
    </row>
    <row r="843">
      <c r="D843" s="87" t="n"/>
    </row>
    <row r="844">
      <c r="D844" s="87" t="n"/>
    </row>
    <row r="845">
      <c r="D845" s="87" t="n"/>
    </row>
    <row r="846">
      <c r="D846" s="87" t="n"/>
    </row>
    <row r="847">
      <c r="D847" s="87" t="n"/>
    </row>
    <row r="848">
      <c r="D848" s="87" t="n"/>
    </row>
    <row r="849">
      <c r="D849" s="87" t="n"/>
    </row>
    <row r="850">
      <c r="D850" s="87" t="n"/>
    </row>
    <row r="851">
      <c r="D851" s="87" t="n"/>
    </row>
    <row r="852">
      <c r="D852" s="87" t="n"/>
    </row>
    <row r="853">
      <c r="D853" s="87" t="n"/>
    </row>
    <row r="854">
      <c r="D854" s="87" t="n"/>
    </row>
    <row r="855">
      <c r="D855" s="87" t="n"/>
    </row>
    <row r="856">
      <c r="D856" s="87" t="n"/>
    </row>
    <row r="857">
      <c r="D857" s="87" t="n"/>
    </row>
    <row r="858">
      <c r="D858" s="87" t="n"/>
    </row>
    <row r="859">
      <c r="D859" s="87" t="n"/>
    </row>
    <row r="860">
      <c r="D860" s="87" t="n"/>
    </row>
    <row r="861">
      <c r="D861" s="87" t="n"/>
    </row>
    <row r="862">
      <c r="D862" s="87" t="n"/>
    </row>
    <row r="863">
      <c r="D863" s="87" t="n"/>
    </row>
    <row r="864">
      <c r="D864" s="87" t="n"/>
    </row>
    <row r="865">
      <c r="D865" s="87" t="n"/>
    </row>
    <row r="866">
      <c r="D866" s="87" t="n"/>
    </row>
    <row r="867">
      <c r="D867" s="87" t="n"/>
    </row>
    <row r="868">
      <c r="D868" s="87" t="n"/>
    </row>
    <row r="869">
      <c r="D869" s="87" t="n"/>
    </row>
    <row r="870">
      <c r="D870" s="87" t="n"/>
    </row>
    <row r="871">
      <c r="D871" s="87" t="n"/>
    </row>
    <row r="872">
      <c r="D872" s="87" t="n"/>
    </row>
    <row r="873">
      <c r="D873" s="87" t="n"/>
    </row>
    <row r="874">
      <c r="D874" s="87" t="n"/>
    </row>
    <row r="875">
      <c r="D875" s="87" t="n"/>
    </row>
    <row r="876">
      <c r="D876" s="87" t="n"/>
    </row>
    <row r="877">
      <c r="D877" s="87" t="n"/>
    </row>
    <row r="878">
      <c r="D878" s="87" t="n"/>
    </row>
    <row r="879">
      <c r="D879" s="87" t="n"/>
    </row>
    <row r="880">
      <c r="D880" s="87" t="n"/>
    </row>
    <row r="881">
      <c r="D881" s="87" t="n"/>
    </row>
    <row r="882">
      <c r="D882" s="87" t="n"/>
    </row>
    <row r="883">
      <c r="D883" s="87" t="n"/>
    </row>
    <row r="884">
      <c r="D884" s="87" t="n"/>
    </row>
    <row r="885">
      <c r="D885" s="87" t="n"/>
    </row>
    <row r="886">
      <c r="D886" s="87" t="n"/>
    </row>
    <row r="887">
      <c r="D887" s="87" t="n"/>
    </row>
    <row r="888">
      <c r="D888" s="87" t="n"/>
    </row>
    <row r="889">
      <c r="D889" s="87" t="n"/>
    </row>
    <row r="890">
      <c r="D890" s="87" t="n"/>
    </row>
    <row r="891">
      <c r="D891" s="87" t="n"/>
    </row>
    <row r="892">
      <c r="D892" s="87" t="n"/>
    </row>
    <row r="893">
      <c r="D893" s="87" t="n"/>
    </row>
    <row r="894">
      <c r="D894" s="87" t="n"/>
    </row>
    <row r="895">
      <c r="D895" s="87" t="n"/>
    </row>
    <row r="896">
      <c r="D896" s="87" t="n"/>
    </row>
    <row r="897">
      <c r="D897" s="87" t="n"/>
    </row>
    <row r="898">
      <c r="D898" s="87" t="n"/>
    </row>
    <row r="899">
      <c r="D899" s="87" t="n"/>
    </row>
    <row r="900">
      <c r="D900" s="87" t="n"/>
    </row>
    <row r="901">
      <c r="D901" s="87" t="n"/>
    </row>
    <row r="902">
      <c r="D902" s="87" t="n"/>
    </row>
    <row r="903">
      <c r="D903" s="87" t="n"/>
    </row>
    <row r="904">
      <c r="D904" s="87" t="n"/>
    </row>
    <row r="905">
      <c r="D905" s="87" t="n"/>
    </row>
    <row r="906">
      <c r="D906" s="87" t="n"/>
    </row>
    <row r="907">
      <c r="D907" s="87" t="n"/>
    </row>
    <row r="908">
      <c r="D908" s="87" t="n"/>
    </row>
    <row r="909">
      <c r="D909" s="87" t="n"/>
    </row>
    <row r="910">
      <c r="D910" s="87" t="n"/>
    </row>
    <row r="911">
      <c r="D911" s="87" t="n"/>
    </row>
    <row r="912">
      <c r="D912" s="87" t="n"/>
    </row>
    <row r="913">
      <c r="D913" s="87" t="n"/>
    </row>
    <row r="914">
      <c r="D914" s="87" t="n"/>
    </row>
    <row r="915">
      <c r="D915" s="87" t="n"/>
    </row>
    <row r="916">
      <c r="D916" s="87" t="n"/>
    </row>
    <row r="917">
      <c r="D917" s="87" t="n"/>
    </row>
    <row r="918">
      <c r="D918" s="87" t="n"/>
    </row>
    <row r="919">
      <c r="D919" s="87" t="n"/>
    </row>
    <row r="920">
      <c r="D920" s="87" t="n"/>
    </row>
    <row r="921">
      <c r="D921" s="87" t="n"/>
    </row>
    <row r="922">
      <c r="D922" s="87" t="n"/>
    </row>
    <row r="923">
      <c r="D923" s="87" t="n"/>
    </row>
    <row r="924">
      <c r="D924" s="87" t="n"/>
    </row>
    <row r="925">
      <c r="D925" s="87" t="n"/>
    </row>
    <row r="926">
      <c r="D926" s="87" t="n"/>
    </row>
    <row r="927">
      <c r="D927" s="87" t="n"/>
    </row>
    <row r="928">
      <c r="D928" s="87" t="n"/>
    </row>
    <row r="929">
      <c r="D929" s="87" t="n"/>
    </row>
    <row r="930">
      <c r="D930" s="87" t="n"/>
    </row>
    <row r="931">
      <c r="D931" s="87" t="n"/>
    </row>
    <row r="932">
      <c r="D932" s="87" t="n"/>
    </row>
    <row r="933">
      <c r="D933" s="87" t="n"/>
    </row>
    <row r="934">
      <c r="D934" s="87" t="n"/>
    </row>
    <row r="935">
      <c r="D935" s="87" t="n"/>
    </row>
    <row r="936">
      <c r="D936" s="87" t="n"/>
    </row>
    <row r="937">
      <c r="D937" s="87" t="n"/>
    </row>
    <row r="938">
      <c r="D938" s="87" t="n"/>
    </row>
    <row r="939">
      <c r="D939" s="87" t="n"/>
    </row>
    <row r="940">
      <c r="D940" s="87" t="n"/>
    </row>
    <row r="941">
      <c r="D941" s="87" t="n"/>
    </row>
    <row r="942">
      <c r="D942" s="87" t="n"/>
    </row>
    <row r="943">
      <c r="D943" s="87" t="n"/>
    </row>
    <row r="944">
      <c r="D944" s="87" t="n"/>
    </row>
    <row r="945">
      <c r="D945" s="87" t="n"/>
    </row>
    <row r="946">
      <c r="D946" s="87" t="n"/>
    </row>
    <row r="947">
      <c r="D947" s="87" t="n"/>
    </row>
    <row r="948">
      <c r="D948" s="87" t="n"/>
    </row>
    <row r="949">
      <c r="D949" s="87" t="n"/>
    </row>
    <row r="950">
      <c r="D950" s="87" t="n"/>
    </row>
    <row r="951">
      <c r="D951" s="87" t="n"/>
    </row>
    <row r="952">
      <c r="D952" s="87" t="n"/>
    </row>
    <row r="953">
      <c r="D953" s="87" t="n"/>
    </row>
    <row r="954">
      <c r="D954" s="87" t="n"/>
    </row>
    <row r="955">
      <c r="D955" s="87" t="n"/>
    </row>
    <row r="956">
      <c r="D956" s="87" t="n"/>
    </row>
    <row r="957">
      <c r="D957" s="87" t="n"/>
    </row>
    <row r="958">
      <c r="D958" s="87" t="n"/>
    </row>
    <row r="959">
      <c r="D959" s="87" t="n"/>
    </row>
    <row r="960">
      <c r="D960" s="87" t="n"/>
    </row>
    <row r="961">
      <c r="D961" s="87" t="n"/>
    </row>
    <row r="962">
      <c r="D962" s="87" t="n"/>
    </row>
    <row r="963">
      <c r="D963" s="87" t="n"/>
    </row>
    <row r="964">
      <c r="D964" s="87" t="n"/>
    </row>
    <row r="965">
      <c r="D965" s="87" t="n"/>
    </row>
    <row r="966">
      <c r="D966" s="87" t="n"/>
    </row>
    <row r="967">
      <c r="D967" s="87" t="n"/>
    </row>
    <row r="968">
      <c r="D968" s="87" t="n"/>
    </row>
    <row r="969">
      <c r="D969" s="87" t="n"/>
    </row>
    <row r="970">
      <c r="D970" s="87" t="n"/>
    </row>
    <row r="971">
      <c r="D971" s="87" t="n"/>
    </row>
    <row r="972">
      <c r="D972" s="87" t="n"/>
    </row>
    <row r="973">
      <c r="D973" s="87" t="n"/>
    </row>
    <row r="974">
      <c r="D974" s="87" t="n"/>
    </row>
    <row r="975">
      <c r="D975" s="87" t="n"/>
    </row>
    <row r="976">
      <c r="D976" s="87" t="n"/>
    </row>
    <row r="977">
      <c r="D977" s="87" t="n"/>
    </row>
    <row r="978">
      <c r="D978" s="87" t="n"/>
    </row>
    <row r="979">
      <c r="D979" s="87" t="n"/>
    </row>
    <row r="980">
      <c r="D980" s="87" t="n"/>
    </row>
    <row r="981">
      <c r="D981" s="87" t="n"/>
    </row>
    <row r="982">
      <c r="D982" s="87" t="n"/>
    </row>
    <row r="983">
      <c r="D983" s="87" t="n"/>
    </row>
    <row r="984">
      <c r="D984" s="87" t="n"/>
    </row>
    <row r="985">
      <c r="D985" s="87" t="n"/>
    </row>
    <row r="986">
      <c r="D986" s="87" t="n"/>
    </row>
    <row r="987">
      <c r="D987" s="87" t="n"/>
    </row>
    <row r="988">
      <c r="D988" s="87" t="n"/>
    </row>
    <row r="989">
      <c r="D989" s="87" t="n"/>
    </row>
    <row r="990">
      <c r="D990" s="87" t="n"/>
    </row>
    <row r="991">
      <c r="D991" s="87" t="n"/>
    </row>
    <row r="992">
      <c r="D992" s="87" t="n"/>
    </row>
    <row r="993">
      <c r="D993" s="87" t="n"/>
    </row>
    <row r="994">
      <c r="D994" s="87" t="n"/>
    </row>
    <row r="995">
      <c r="D995" s="87" t="n"/>
    </row>
    <row r="996">
      <c r="D996" s="87" t="n"/>
    </row>
    <row r="997">
      <c r="D997" s="87" t="n"/>
    </row>
    <row r="998">
      <c r="D998" s="87" t="n"/>
    </row>
    <row r="999">
      <c r="D999" s="87" t="n"/>
    </row>
    <row r="1000">
      <c r="D1000" s="87" t="n"/>
    </row>
  </sheetData>
  <mergeCells count="104">
    <mergeCell ref="B100:C100"/>
    <mergeCell ref="B141:C141"/>
    <mergeCell ref="B155:C155"/>
    <mergeCell ref="B22:C22"/>
    <mergeCell ref="B102:C102"/>
    <mergeCell ref="B77:C77"/>
    <mergeCell ref="B21:C21"/>
    <mergeCell ref="B86:C86"/>
    <mergeCell ref="A54:B54"/>
    <mergeCell ref="M54:N54"/>
    <mergeCell ref="B61:C61"/>
    <mergeCell ref="B101:C101"/>
    <mergeCell ref="B69:C69"/>
    <mergeCell ref="J4:K4"/>
    <mergeCell ref="A33:B33"/>
    <mergeCell ref="B127:C127"/>
    <mergeCell ref="B49:C49"/>
    <mergeCell ref="B51:C51"/>
    <mergeCell ref="B63:C63"/>
    <mergeCell ref="B26:C26"/>
    <mergeCell ref="B106:C106"/>
    <mergeCell ref="B16:C16"/>
    <mergeCell ref="B156:C156"/>
    <mergeCell ref="B131:C131"/>
    <mergeCell ref="B140:C140"/>
    <mergeCell ref="B18:C18"/>
    <mergeCell ref="B27:C27"/>
    <mergeCell ref="A153:B153"/>
    <mergeCell ref="A137:B137"/>
    <mergeCell ref="B157:C157"/>
    <mergeCell ref="B132:C132"/>
    <mergeCell ref="B29:C29"/>
    <mergeCell ref="A129:B129"/>
    <mergeCell ref="B158:C158"/>
    <mergeCell ref="M24:N24"/>
    <mergeCell ref="B15:C15"/>
    <mergeCell ref="B142:C142"/>
    <mergeCell ref="B80:C80"/>
    <mergeCell ref="B95:C95"/>
    <mergeCell ref="B89:C89"/>
    <mergeCell ref="B169:C169"/>
    <mergeCell ref="B144:C144"/>
    <mergeCell ref="B97:C97"/>
    <mergeCell ref="B7:C7"/>
    <mergeCell ref="B134:C134"/>
    <mergeCell ref="B121:C121"/>
    <mergeCell ref="A94:B94"/>
    <mergeCell ref="B122:C122"/>
    <mergeCell ref="B96:C96"/>
    <mergeCell ref="B56:C56"/>
    <mergeCell ref="B105:C105"/>
    <mergeCell ref="B176:C176"/>
    <mergeCell ref="B43:C43"/>
    <mergeCell ref="B58:C58"/>
    <mergeCell ref="B52:C52"/>
    <mergeCell ref="B120:C120"/>
    <mergeCell ref="B98:C98"/>
    <mergeCell ref="B42:C42"/>
    <mergeCell ref="B107:C107"/>
    <mergeCell ref="B60:C60"/>
    <mergeCell ref="B17:C17"/>
    <mergeCell ref="B88:C88"/>
    <mergeCell ref="B170:C170"/>
    <mergeCell ref="B57:C57"/>
    <mergeCell ref="B171:C171"/>
    <mergeCell ref="B44:C44"/>
    <mergeCell ref="A104:B104"/>
    <mergeCell ref="B19:C19"/>
    <mergeCell ref="B172:C172"/>
    <mergeCell ref="B146:C146"/>
    <mergeCell ref="B28:C28"/>
    <mergeCell ref="M104:N104"/>
    <mergeCell ref="B99:C99"/>
    <mergeCell ref="B108:C108"/>
    <mergeCell ref="B143:C143"/>
    <mergeCell ref="B30:C30"/>
    <mergeCell ref="B124:C124"/>
    <mergeCell ref="B133:C133"/>
    <mergeCell ref="B76:C76"/>
    <mergeCell ref="B45:C45"/>
    <mergeCell ref="B173:C173"/>
    <mergeCell ref="B126:C126"/>
    <mergeCell ref="B135:C135"/>
    <mergeCell ref="B109:C109"/>
    <mergeCell ref="A24:B24"/>
    <mergeCell ref="B47:C47"/>
    <mergeCell ref="B62:C62"/>
    <mergeCell ref="A148:B148"/>
    <mergeCell ref="B59:C59"/>
    <mergeCell ref="B46:C46"/>
    <mergeCell ref="B48:C48"/>
    <mergeCell ref="B111:C111"/>
    <mergeCell ref="B145:C145"/>
    <mergeCell ref="A84:B84"/>
    <mergeCell ref="M94:N94"/>
    <mergeCell ref="M84:N84"/>
    <mergeCell ref="B8:C8"/>
    <mergeCell ref="B175:C175"/>
    <mergeCell ref="B87:C87"/>
    <mergeCell ref="B139:C139"/>
    <mergeCell ref="A1:C1"/>
    <mergeCell ref="B123:C123"/>
    <mergeCell ref="B50:C50"/>
    <mergeCell ref="B110:C1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12.63" customWidth="1" style="270" min="1" max="1"/>
    <col width="30.38" customWidth="1" style="270" min="2" max="2"/>
    <col width="42" customWidth="1" style="270" min="4" max="4"/>
  </cols>
  <sheetData>
    <row r="1">
      <c r="A1" s="9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13" t="n"/>
      <c r="J1" s="13" t="n"/>
      <c r="K1" s="13" t="n"/>
      <c r="L1" s="13" t="n"/>
      <c r="M1" s="15" t="n"/>
      <c r="N1" s="15" t="n"/>
    </row>
    <row r="2">
      <c r="A2" s="78" t="inlineStr">
        <is>
          <t>VIGENCIA:</t>
        </is>
      </c>
      <c r="B2" s="210" t="n">
        <v>45293</v>
      </c>
      <c r="C2" s="13" t="n"/>
      <c r="D2" s="8" t="n"/>
      <c r="E2" s="9" t="n"/>
      <c r="F2" s="9" t="n"/>
      <c r="G2" s="9" t="n"/>
      <c r="H2" s="9" t="n"/>
      <c r="I2" s="13" t="n"/>
      <c r="J2" s="13" t="n"/>
      <c r="K2" s="13" t="n"/>
      <c r="L2" s="13" t="n"/>
      <c r="M2" s="15" t="n"/>
      <c r="N2" s="15" t="n"/>
    </row>
    <row r="3">
      <c r="A3" s="13" t="n"/>
      <c r="B3" s="13" t="n"/>
      <c r="C3" s="13" t="n"/>
      <c r="D3" s="10" t="n"/>
      <c r="E3" s="13" t="n"/>
      <c r="F3" s="13" t="n"/>
      <c r="G3" s="13" t="n"/>
      <c r="H3" s="13" t="n"/>
      <c r="I3" s="13" t="n"/>
      <c r="J3" s="13" t="n"/>
      <c r="K3" s="13" t="n"/>
      <c r="L3" s="13" t="n"/>
      <c r="M3" s="15" t="n"/>
      <c r="N3" s="15" t="n"/>
    </row>
    <row r="4">
      <c r="A4" s="13" t="n"/>
      <c r="B4" s="13" t="n"/>
      <c r="C4" s="13" t="n"/>
      <c r="D4" s="17" t="inlineStr">
        <is>
          <t>Lista 20 con -7 y -2</t>
        </is>
      </c>
      <c r="E4" s="12" t="inlineStr">
        <is>
          <t>Mayorista</t>
        </is>
      </c>
      <c r="F4" s="12" t="inlineStr">
        <is>
          <t>Minorista</t>
        </is>
      </c>
      <c r="G4" s="12" t="inlineStr">
        <is>
          <t>Minorista con IVA</t>
        </is>
      </c>
      <c r="H4" s="12" t="inlineStr">
        <is>
          <t>Redondeado</t>
        </is>
      </c>
      <c r="I4" s="13" t="n"/>
      <c r="J4" s="13" t="inlineStr">
        <is>
          <t>Antes del 7 + 2% ANTERIOR</t>
        </is>
      </c>
      <c r="L4" s="13" t="inlineStr">
        <is>
          <t>Antes del 7 + 2% ACTUAL</t>
        </is>
      </c>
      <c r="M4" s="14" t="n"/>
      <c r="N4" s="15" t="inlineStr">
        <is>
          <t>% Aumento</t>
        </is>
      </c>
    </row>
    <row r="5">
      <c r="A5" s="16" t="inlineStr">
        <is>
          <t>JABONES</t>
        </is>
      </c>
      <c r="B5" s="13" t="n"/>
      <c r="C5" s="13" t="n"/>
      <c r="D5" s="17" t="n"/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  <c r="N5" s="15" t="n"/>
    </row>
    <row r="6">
      <c r="A6" s="21" t="n"/>
      <c r="B6" s="13" t="n"/>
      <c r="C6" s="13" t="n"/>
      <c r="D6" s="23" t="n"/>
      <c r="E6" s="13" t="n"/>
      <c r="F6" s="13" t="n"/>
      <c r="G6" s="13" t="n"/>
      <c r="H6" s="13" t="n"/>
      <c r="I6" s="13" t="n"/>
      <c r="J6" s="13" t="n"/>
      <c r="K6" s="13" t="n"/>
      <c r="L6" s="13" t="n"/>
      <c r="M6" s="38" t="n"/>
      <c r="N6" s="15" t="n"/>
    </row>
    <row r="7">
      <c r="A7" s="21" t="n">
        <v>701</v>
      </c>
      <c r="B7" s="13" t="inlineStr">
        <is>
          <t>Botella 1 lt. Servicio Dilución DMQ</t>
        </is>
      </c>
      <c r="D7" s="70" t="n">
        <v>4292.38</v>
      </c>
      <c r="E7" s="23">
        <f>Round(D7*1.3/1.105,-2)</f>
        <v/>
      </c>
      <c r="F7" s="23">
        <f>E7/0.9</f>
        <v/>
      </c>
      <c r="G7" s="23">
        <f>F7*1.21</f>
        <v/>
      </c>
      <c r="H7" s="23">
        <f>round(G7,-2)</f>
        <v/>
      </c>
      <c r="I7" s="13" t="n"/>
      <c r="J7" s="24" t="inlineStr">
        <is>
          <t>$2.081,14</t>
        </is>
      </c>
      <c r="K7" s="13" t="n"/>
      <c r="L7" s="25" t="inlineStr">
        <is>
          <t>$1.945,00</t>
        </is>
      </c>
      <c r="M7" s="38" t="n"/>
      <c r="N7" s="26" t="n">
        <v>-0.0654</v>
      </c>
    </row>
    <row r="8">
      <c r="A8" s="21" t="n">
        <v>720</v>
      </c>
      <c r="B8" s="13" t="inlineStr">
        <is>
          <t>Bidon x 5 lts. Jabón Líquido Tocador</t>
        </is>
      </c>
      <c r="D8" s="71" t="n">
        <v>13461.46</v>
      </c>
      <c r="E8" s="23">
        <f>Round(D8*1.3/1.105,-2)</f>
        <v/>
      </c>
      <c r="F8" s="23">
        <f>E8/0.9</f>
        <v/>
      </c>
      <c r="G8" s="23">
        <f>F8*1.21</f>
        <v/>
      </c>
      <c r="H8" s="23">
        <f>round(G8,-2)</f>
        <v/>
      </c>
      <c r="I8" s="13" t="n"/>
      <c r="J8" s="24" t="inlineStr">
        <is>
          <t>$6.526,77</t>
        </is>
      </c>
      <c r="K8" s="13" t="n"/>
      <c r="L8" s="27" t="inlineStr">
        <is>
          <t>$6.099,78</t>
        </is>
      </c>
      <c r="M8" s="38" t="n"/>
      <c r="N8" s="26" t="n">
        <v>-0.0654</v>
      </c>
    </row>
    <row r="9">
      <c r="A9" s="21" t="n"/>
      <c r="B9" s="13" t="n"/>
      <c r="C9" s="13" t="n"/>
      <c r="D9" s="23" t="n"/>
      <c r="E9" s="13" t="n"/>
      <c r="F9" s="13" t="n"/>
      <c r="G9" s="13" t="n"/>
      <c r="H9" s="13" t="n"/>
      <c r="I9" s="13" t="n"/>
      <c r="J9" s="13" t="n"/>
      <c r="K9" s="13" t="n"/>
      <c r="L9" s="13" t="n"/>
      <c r="M9" s="38" t="n"/>
      <c r="N9" s="15" t="n"/>
    </row>
    <row r="10">
      <c r="A10" s="16" t="inlineStr">
        <is>
          <t>TOALLAS</t>
        </is>
      </c>
      <c r="B10" s="13" t="n"/>
      <c r="C10" s="13" t="n"/>
      <c r="D10" s="23" t="n">
        <v>1.650139448</v>
      </c>
      <c r="E10" s="10">
        <f>D14*1.3/1.105</f>
        <v/>
      </c>
      <c r="F10" s="13" t="n"/>
      <c r="G10" s="13" t="n"/>
      <c r="H10" s="13" t="n"/>
      <c r="I10" s="13" t="n"/>
      <c r="J10" s="13" t="n"/>
      <c r="K10" s="13" t="n"/>
      <c r="L10" s="13" t="n"/>
      <c r="M10" s="14" t="n"/>
      <c r="N10" s="15" t="n"/>
    </row>
    <row r="11">
      <c r="A11" s="28" t="n"/>
      <c r="B11" s="13" t="n"/>
      <c r="C11" s="13" t="n"/>
      <c r="D11" s="2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  <c r="N11" s="15" t="n"/>
    </row>
    <row r="12">
      <c r="A12" s="35" t="n">
        <v>901</v>
      </c>
      <c r="B12" s="31" t="inlineStr">
        <is>
          <t>Toallas Blancas Super 21x25</t>
        </is>
      </c>
      <c r="C12" s="31" t="n"/>
      <c r="D12" s="32" t="n">
        <v>15975.05</v>
      </c>
      <c r="E12" s="32">
        <f>Round(D12*1.3*1.105,-2)</f>
        <v/>
      </c>
      <c r="F12" s="32">
        <f>E12/0.9</f>
        <v/>
      </c>
      <c r="G12" s="32">
        <f>F12*1.21</f>
        <v/>
      </c>
      <c r="H12" s="32">
        <f>round(G12,-2)</f>
        <v/>
      </c>
      <c r="I12" s="31" t="n"/>
      <c r="J12" s="33" t="inlineStr">
        <is>
          <t>$7.745,48</t>
        </is>
      </c>
      <c r="K12" s="31" t="n"/>
      <c r="L12" s="34" t="inlineStr">
        <is>
          <t>$7.238,77</t>
        </is>
      </c>
      <c r="M12" s="35" t="n"/>
      <c r="N12" s="36" t="n">
        <v>-0.0654</v>
      </c>
      <c r="O12" s="193" t="n"/>
      <c r="P12" s="193" t="n"/>
      <c r="Q12" s="193" t="n"/>
      <c r="R12" s="193" t="n"/>
      <c r="S12" s="193" t="n"/>
      <c r="T12" s="193" t="n"/>
      <c r="U12" s="193" t="n"/>
      <c r="V12" s="193" t="n"/>
      <c r="W12" s="193" t="n"/>
      <c r="X12" s="193" t="n"/>
      <c r="Y12" s="193" t="n"/>
      <c r="Z12" s="193" t="n"/>
    </row>
    <row r="13">
      <c r="A13" s="21" t="n">
        <v>902</v>
      </c>
      <c r="B13" s="13" t="inlineStr">
        <is>
          <t>Toallas Blancas Pura Simple</t>
        </is>
      </c>
      <c r="C13" s="13" t="n"/>
      <c r="D13" s="23" t="n">
        <v>17714.79</v>
      </c>
      <c r="E13" s="23">
        <f>Round(D13*1.3*1.105,-2)</f>
        <v/>
      </c>
      <c r="F13" s="23">
        <f>E13/0.9</f>
        <v/>
      </c>
      <c r="G13" s="23">
        <f>F13*1.21</f>
        <v/>
      </c>
      <c r="H13" s="23">
        <f>round(G13,-2)</f>
        <v/>
      </c>
      <c r="I13" s="13" t="n"/>
      <c r="J13" s="24" t="inlineStr">
        <is>
          <t>$8.588,99</t>
        </is>
      </c>
      <c r="K13" s="13" t="n"/>
      <c r="L13" s="27" t="inlineStr">
        <is>
          <t>$8.027,10</t>
        </is>
      </c>
      <c r="M13" s="38" t="n"/>
      <c r="N13" s="26" t="n">
        <v>-0.0654</v>
      </c>
    </row>
    <row r="14">
      <c r="A14" s="21" t="n">
        <v>903</v>
      </c>
      <c r="B14" s="13" t="inlineStr">
        <is>
          <t>Toallas Blancas Pura Doble</t>
        </is>
      </c>
      <c r="C14" s="13" t="n"/>
      <c r="D14" s="23" t="n">
        <v>21904.55</v>
      </c>
      <c r="E14" s="23">
        <f>Round(D14*1.3*1.105,-2)</f>
        <v/>
      </c>
      <c r="F14" s="23">
        <f>E14/0.9</f>
        <v/>
      </c>
      <c r="G14" s="23">
        <f>F14*1.21</f>
        <v/>
      </c>
      <c r="H14" s="23">
        <f>round(G14,-2)</f>
        <v/>
      </c>
      <c r="I14" s="13" t="n"/>
      <c r="J14" s="24" t="inlineStr">
        <is>
          <t>$10.620,39</t>
        </is>
      </c>
      <c r="K14" s="13" t="n"/>
      <c r="L14" s="27" t="inlineStr">
        <is>
          <t>$9.925,60</t>
        </is>
      </c>
      <c r="M14" s="38" t="n"/>
      <c r="N14" s="26" t="n">
        <v>-0.0654</v>
      </c>
    </row>
    <row r="15">
      <c r="A15" s="21" t="n">
        <v>914</v>
      </c>
      <c r="B15" s="13" t="inlineStr">
        <is>
          <t>Toalla Blanca Unitas (17,5x25 cm)</t>
        </is>
      </c>
      <c r="D15" s="23" t="n">
        <v>12172.51</v>
      </c>
      <c r="E15" s="23">
        <f>Round(D15*1.3*1.105,-2)</f>
        <v/>
      </c>
      <c r="F15" s="23">
        <f>E15/0.9</f>
        <v/>
      </c>
      <c r="G15" s="23">
        <f>F15*1.21</f>
        <v/>
      </c>
      <c r="H15" s="23">
        <f>round(G15,-2)</f>
        <v/>
      </c>
      <c r="I15" s="13" t="n"/>
      <c r="J15" s="24" t="inlineStr">
        <is>
          <t>$5.901,82</t>
        </is>
      </c>
      <c r="K15" s="13" t="n"/>
      <c r="L15" s="27" t="inlineStr">
        <is>
          <t>$5.515,72</t>
        </is>
      </c>
      <c r="M15" s="38" t="n"/>
      <c r="N15" s="26" t="n">
        <v>-0.0654</v>
      </c>
    </row>
    <row r="16">
      <c r="A16" s="21" t="n">
        <v>916</v>
      </c>
      <c r="B16" s="13" t="inlineStr">
        <is>
          <t>Toalla Blanca Especial 21 x 25 ( tiza )</t>
        </is>
      </c>
      <c r="D16" s="23" t="n">
        <v>14901.14</v>
      </c>
      <c r="E16" s="23">
        <f>Round(D16*1.3*1.105,-2)</f>
        <v/>
      </c>
      <c r="F16" s="23">
        <f>E16/0.9</f>
        <v/>
      </c>
      <c r="G16" s="23">
        <f>F16*1.21</f>
        <v/>
      </c>
      <c r="H16" s="23">
        <f>round(G16,-2)</f>
        <v/>
      </c>
      <c r="I16" s="13" t="n"/>
      <c r="J16" s="24" t="inlineStr">
        <is>
          <t>$7.223,52</t>
        </is>
      </c>
      <c r="K16" s="13" t="n"/>
      <c r="L16" s="27" t="inlineStr">
        <is>
          <t>$6.750,96</t>
        </is>
      </c>
      <c r="M16" s="38" t="n"/>
      <c r="N16" s="26" t="n">
        <v>-0.0654</v>
      </c>
    </row>
    <row r="17">
      <c r="A17" s="21" t="n">
        <v>920</v>
      </c>
      <c r="B17" s="13" t="inlineStr">
        <is>
          <t>Toalla Blanca Especial 21 x 37 ( tiza )</t>
        </is>
      </c>
      <c r="D17" s="23" t="n">
        <v>20323.81</v>
      </c>
      <c r="E17" s="23">
        <f>Round(D17*1.3*1.105,-2)</f>
        <v/>
      </c>
      <c r="F17" s="23">
        <f>E17/0.9</f>
        <v/>
      </c>
      <c r="G17" s="23">
        <f>F17*1.21</f>
        <v/>
      </c>
      <c r="H17" s="23">
        <f>round(G17,-2)</f>
        <v/>
      </c>
      <c r="I17" s="13" t="n"/>
      <c r="J17" s="24" t="inlineStr">
        <is>
          <t>$9.853,97</t>
        </is>
      </c>
      <c r="K17" s="13" t="n"/>
      <c r="L17" s="27" t="inlineStr">
        <is>
          <t>$9.209,32</t>
        </is>
      </c>
      <c r="M17" s="38" t="n"/>
      <c r="N17" s="26" t="n">
        <v>-0.0654</v>
      </c>
    </row>
    <row r="18">
      <c r="A18" s="21" t="n">
        <v>927</v>
      </c>
      <c r="B18" s="13" t="inlineStr">
        <is>
          <t>Toalla Blanca Especial 17,5 x 25 ( tiza ) Unita</t>
        </is>
      </c>
      <c r="D18" s="23" t="n">
        <v>11678.45</v>
      </c>
      <c r="E18" s="23">
        <f>Round(D18*1.3*1.105,-2)</f>
        <v/>
      </c>
      <c r="F18" s="23">
        <f>E18/0.9</f>
        <v/>
      </c>
      <c r="G18" s="23">
        <f>F18*1.21</f>
        <v/>
      </c>
      <c r="H18" s="23">
        <f>round(G18,-2)</f>
        <v/>
      </c>
      <c r="I18" s="13" t="n"/>
      <c r="J18" s="24" t="inlineStr">
        <is>
          <t>$5.662,28</t>
        </is>
      </c>
      <c r="K18" s="13" t="n"/>
      <c r="L18" s="27" t="inlineStr">
        <is>
          <t>$5.291,86</t>
        </is>
      </c>
      <c r="M18" s="38" t="n"/>
      <c r="N18" s="26" t="n">
        <v>-0.0654</v>
      </c>
    </row>
    <row r="19">
      <c r="A19" s="21" t="n">
        <v>928</v>
      </c>
      <c r="B19" s="13" t="inlineStr">
        <is>
          <t>Cajas x 2500 Toallas Beige 21x37</t>
        </is>
      </c>
      <c r="D19" s="23" t="n">
        <v>17234.45</v>
      </c>
      <c r="E19" s="23">
        <f>Round(D19*1.3*1.105,-2)</f>
        <v/>
      </c>
      <c r="F19" s="23">
        <f>E19/0.9</f>
        <v/>
      </c>
      <c r="G19" s="23">
        <f>F19*1.21</f>
        <v/>
      </c>
      <c r="H19" s="23">
        <f>round(G19,-2)</f>
        <v/>
      </c>
      <c r="I19" s="13" t="n"/>
      <c r="J19" s="24" t="inlineStr">
        <is>
          <t>$8.356,10</t>
        </is>
      </c>
      <c r="K19" s="13" t="n"/>
      <c r="L19" s="27" t="inlineStr">
        <is>
          <t>$7.809,44</t>
        </is>
      </c>
      <c r="M19" s="38" t="n"/>
      <c r="N19" s="26" t="n">
        <v>-0.0654</v>
      </c>
    </row>
    <row r="20">
      <c r="A20" s="21" t="n">
        <v>930</v>
      </c>
      <c r="B20" s="13" t="inlineStr">
        <is>
          <t>Toalla Blanca Super 21x37 cm</t>
        </is>
      </c>
      <c r="C20" s="13" t="n"/>
      <c r="D20" s="23" t="n">
        <v>21968.44</v>
      </c>
      <c r="E20" s="23">
        <f>Round(D20*1.3*1.105,-2)</f>
        <v/>
      </c>
      <c r="F20" s="23">
        <f>E20/0.9</f>
        <v/>
      </c>
      <c r="G20" s="23">
        <f>F20*1.21</f>
        <v/>
      </c>
      <c r="H20" s="23">
        <f>round(G20,-2)</f>
        <v/>
      </c>
      <c r="I20" s="13" t="n"/>
      <c r="J20" s="24" t="inlineStr">
        <is>
          <t>$10.651,38</t>
        </is>
      </c>
      <c r="K20" s="13" t="n"/>
      <c r="L20" s="27" t="inlineStr">
        <is>
          <t>$9.954,56</t>
        </is>
      </c>
      <c r="M20" s="38" t="n"/>
      <c r="N20" s="26" t="n">
        <v>-0.0654</v>
      </c>
    </row>
    <row r="21">
      <c r="A21" s="21" t="n">
        <v>931</v>
      </c>
      <c r="B21" s="13" t="inlineStr">
        <is>
          <t>Caja x 2500 Toallas Beige Unitas 17,5 cm x 25 cm</t>
        </is>
      </c>
      <c r="D21" s="23" t="n">
        <v>10744.28</v>
      </c>
      <c r="E21" s="23">
        <f>Round(D21*1.3*1.105,-2)</f>
        <v/>
      </c>
      <c r="F21" s="23">
        <f>E21/0.9</f>
        <v/>
      </c>
      <c r="G21" s="23">
        <f>F21*1.21</f>
        <v/>
      </c>
      <c r="H21" s="23">
        <f>round(G21,-2)</f>
        <v/>
      </c>
      <c r="I21" s="24" t="n"/>
      <c r="J21" s="24" t="inlineStr">
        <is>
          <t>$5.209,35</t>
        </is>
      </c>
      <c r="K21" s="13" t="n"/>
      <c r="L21" s="27" t="inlineStr">
        <is>
          <t>$4.868,56</t>
        </is>
      </c>
      <c r="M21" s="38" t="n"/>
      <c r="N21" s="26" t="n">
        <v>-0.0654</v>
      </c>
    </row>
    <row r="22">
      <c r="A22" s="21" t="n">
        <v>932</v>
      </c>
      <c r="B22" s="13" t="inlineStr">
        <is>
          <t>Caja x 2500 Toallas Beige 21 cm x 25 cm simple hoja</t>
        </is>
      </c>
      <c r="D22" s="23" t="n">
        <v>12250.36</v>
      </c>
      <c r="E22" s="23">
        <f>Round(D22*1.3*1.105,-2)</f>
        <v/>
      </c>
      <c r="F22" s="23">
        <f>E22/0.9</f>
        <v/>
      </c>
      <c r="G22" s="23">
        <f>F22*1.21</f>
        <v/>
      </c>
      <c r="H22" s="23">
        <f>round(G22,-2)</f>
        <v/>
      </c>
      <c r="I22" s="13" t="n"/>
      <c r="J22" s="24" t="inlineStr">
        <is>
          <t>$5.939,57</t>
        </is>
      </c>
      <c r="K22" s="13" t="n"/>
      <c r="L22" s="27" t="inlineStr">
        <is>
          <t>$5.551,00</t>
        </is>
      </c>
      <c r="M22" s="38" t="n"/>
      <c r="N22" s="26" t="n">
        <v>-0.0654</v>
      </c>
    </row>
    <row r="23">
      <c r="A23" s="21" t="n"/>
      <c r="B23" s="13" t="n"/>
      <c r="C23" s="13" t="n"/>
      <c r="D23" s="2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38" t="n"/>
      <c r="N23" s="15" t="n"/>
    </row>
    <row r="24">
      <c r="A24" s="16" t="inlineStr">
        <is>
          <t>TOALLAS EN ROLLO</t>
        </is>
      </c>
      <c r="B24" s="271" t="n"/>
      <c r="C24" s="13" t="n"/>
      <c r="D24" s="2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>
      <c r="A25" s="28" t="n"/>
      <c r="B25" s="9" t="n"/>
      <c r="C25" s="13" t="n"/>
      <c r="D25" s="2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4" t="n"/>
      <c r="N25" s="40" t="n"/>
    </row>
    <row r="26">
      <c r="A26" s="64" t="n">
        <v>116</v>
      </c>
      <c r="B26" s="61" t="inlineStr">
        <is>
          <t>Pack x 6 Rollos de Toallas x 200 mts. Blanca</t>
        </is>
      </c>
      <c r="D26" s="60" t="n">
        <v>24110.06</v>
      </c>
      <c r="E26" s="23">
        <f>Round(D26*1.3*1.105,-2)</f>
        <v/>
      </c>
      <c r="F26" s="23">
        <f>E26/0.9</f>
        <v/>
      </c>
      <c r="G26" s="23">
        <f>F26*1.21</f>
        <v/>
      </c>
      <c r="H26" s="23">
        <f>round(G26,-2)</f>
        <v/>
      </c>
      <c r="I26" s="13" t="n"/>
      <c r="J26" s="24" t="inlineStr">
        <is>
          <t>$11.689,72</t>
        </is>
      </c>
      <c r="K26" s="13" t="n"/>
      <c r="L26" s="27" t="inlineStr">
        <is>
          <t>$11.014,34</t>
        </is>
      </c>
      <c r="M26" s="38" t="n"/>
      <c r="N26" s="26" t="n">
        <v>-0.0578</v>
      </c>
    </row>
    <row r="27">
      <c r="A27" s="21" t="n">
        <v>135</v>
      </c>
      <c r="B27" s="13" t="inlineStr">
        <is>
          <t>Recarga Original P/Dispenser Celmatic 2500 U. Dobles</t>
        </is>
      </c>
      <c r="D27" s="23" t="n">
        <v>30724.66</v>
      </c>
      <c r="E27" s="23">
        <f>Round(D27*1.3*1.105,-2)</f>
        <v/>
      </c>
      <c r="F27" s="23">
        <f>E27/0.9</f>
        <v/>
      </c>
      <c r="G27" s="23">
        <f>F27*1.21</f>
        <v/>
      </c>
      <c r="H27" s="23">
        <f>round(G27,-2)</f>
        <v/>
      </c>
      <c r="I27" s="13" t="n"/>
      <c r="J27" s="24" t="inlineStr">
        <is>
          <t>$14.896,81</t>
        </is>
      </c>
      <c r="K27" s="13" t="n"/>
      <c r="L27" s="27" t="inlineStr">
        <is>
          <t>$5.338,02</t>
        </is>
      </c>
      <c r="M27" s="38" t="n"/>
      <c r="N27" s="26" t="n">
        <v>-0.6417</v>
      </c>
    </row>
    <row r="28">
      <c r="A28" s="21" t="n">
        <v>136</v>
      </c>
      <c r="B28" s="13" t="inlineStr">
        <is>
          <t>Pack x 4 Recarga Celmatic Due 2400 U. Dobles</t>
        </is>
      </c>
      <c r="D28" s="23" t="n">
        <v>24307.27</v>
      </c>
      <c r="E28" s="23">
        <f>Round(D28*1.3*1.105,-2)</f>
        <v/>
      </c>
      <c r="F28" s="23">
        <f>E28/0.9</f>
        <v/>
      </c>
      <c r="G28" s="23">
        <f>F28*1.21</f>
        <v/>
      </c>
      <c r="H28" s="23">
        <f>round(G28,-2)</f>
        <v/>
      </c>
      <c r="I28" s="13" t="n"/>
      <c r="J28" s="24" t="inlineStr">
        <is>
          <t>$11.785,34</t>
        </is>
      </c>
      <c r="K28" s="13" t="n"/>
      <c r="L28" s="27" t="inlineStr">
        <is>
          <t>$4.254,18</t>
        </is>
      </c>
      <c r="M28" s="38" t="n"/>
      <c r="N28" s="26" t="n">
        <v>-0.639</v>
      </c>
    </row>
    <row r="29">
      <c r="A29" s="21" t="n">
        <v>204</v>
      </c>
      <c r="B29" s="13" t="inlineStr">
        <is>
          <t>Pack X 2 Rollos de toalla x 300 mts Blanca</t>
        </is>
      </c>
      <c r="D29" s="23" t="n">
        <v>11780.34</v>
      </c>
      <c r="E29" s="23">
        <f>Round(D29*1.3*1.105,-2)</f>
        <v/>
      </c>
      <c r="F29" s="23">
        <f>E29/0.9</f>
        <v/>
      </c>
      <c r="G29" s="23">
        <f>F29*1.21</f>
        <v/>
      </c>
      <c r="H29" s="23">
        <f>round(G29,-2)</f>
        <v/>
      </c>
      <c r="I29" s="13" t="n"/>
      <c r="J29" s="24" t="inlineStr">
        <is>
          <t>$5.711,68</t>
        </is>
      </c>
      <c r="K29" s="13" t="n"/>
      <c r="L29" s="27" t="inlineStr">
        <is>
          <t>$10.924,98</t>
        </is>
      </c>
      <c r="M29" s="38" t="n"/>
      <c r="N29" s="26" t="n">
        <v>0.9127</v>
      </c>
    </row>
    <row r="30">
      <c r="A30" s="21" t="n">
        <v>205</v>
      </c>
      <c r="B30" s="13" t="inlineStr">
        <is>
          <t>Pack X 2 Rollos de toalla x 240 mts Blanca</t>
        </is>
      </c>
      <c r="D30" s="23" t="n">
        <v>9388.450000000001</v>
      </c>
      <c r="E30" s="23">
        <f>Round(D30*1.3*1.105,-2)</f>
        <v/>
      </c>
      <c r="F30" s="23">
        <f>E30/0.9</f>
        <v/>
      </c>
      <c r="G30" s="23">
        <f>F30*1.21</f>
        <v/>
      </c>
      <c r="H30" s="23">
        <f>round(G30,-2)</f>
        <v/>
      </c>
      <c r="I30" s="13" t="n"/>
      <c r="J30" s="24" t="inlineStr">
        <is>
          <t>$4.551,98</t>
        </is>
      </c>
      <c r="K30" s="13" t="n"/>
      <c r="L30" s="27" t="inlineStr">
        <is>
          <t>$13.922,26</t>
        </is>
      </c>
      <c r="M30" s="38" t="n"/>
      <c r="N30" s="26" t="n">
        <v>2.0585</v>
      </c>
    </row>
    <row r="31">
      <c r="A31" s="13" t="n"/>
      <c r="B31" s="13" t="n"/>
      <c r="C31" s="13" t="n"/>
      <c r="D31" s="10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</row>
    <row r="32">
      <c r="A32" s="13" t="n"/>
      <c r="B32" s="13" t="n"/>
      <c r="C32" s="13" t="n"/>
      <c r="D32" s="10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>
      <c r="A33" s="43" t="inlineStr">
        <is>
          <t>SERVILLETAS LAMINADAS</t>
        </is>
      </c>
      <c r="B33" s="272" t="n"/>
      <c r="C33" s="13" t="n"/>
      <c r="D33" s="2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38" t="n"/>
      <c r="N33" s="15" t="n"/>
    </row>
    <row r="34">
      <c r="A34" s="21" t="n"/>
      <c r="B34" s="13" t="n"/>
      <c r="C34" s="13" t="n"/>
      <c r="D34" s="2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38" t="n"/>
      <c r="N34" s="15" t="n"/>
    </row>
    <row r="35">
      <c r="A35" s="45" t="n">
        <v>550</v>
      </c>
      <c r="B35" s="47" t="inlineStr">
        <is>
          <t>CAJA POR 1600 SERV LAMINADAS DE 40 X40 CM</t>
        </is>
      </c>
      <c r="C35" s="47" t="n"/>
      <c r="D35" s="48" t="n">
        <v>87887.64</v>
      </c>
      <c r="E35" s="23">
        <f>Round(D35*1.3*1.105,-2)</f>
        <v/>
      </c>
      <c r="F35" s="23">
        <f>E35/0.9</f>
        <v/>
      </c>
      <c r="G35" s="23">
        <f>F35*1.21</f>
        <v/>
      </c>
      <c r="H35" s="23">
        <f>round(G35,-2)</f>
        <v/>
      </c>
      <c r="I35" s="13" t="n"/>
      <c r="J35" s="13" t="n"/>
      <c r="K35" s="13" t="n"/>
      <c r="L35" s="13" t="n"/>
      <c r="M35" s="38" t="n"/>
      <c r="N35" s="15" t="n"/>
    </row>
    <row r="36">
      <c r="A36" s="49" t="n">
        <v>551</v>
      </c>
      <c r="B36" s="51" t="inlineStr">
        <is>
          <t>CAJA POR 1600 SERV ECOLOGICAS LAM DE 40 X40</t>
        </is>
      </c>
      <c r="C36" s="51" t="n"/>
      <c r="D36" s="52" t="n">
        <v>87887.64</v>
      </c>
      <c r="E36" s="23">
        <f>Round(D36*1.3*1.105,-2)</f>
        <v/>
      </c>
      <c r="F36" s="23">
        <f>E36/0.9</f>
        <v/>
      </c>
      <c r="G36" s="23">
        <f>F36*1.21</f>
        <v/>
      </c>
      <c r="H36" s="23">
        <f>round(G36,-2)</f>
        <v/>
      </c>
      <c r="I36" s="13" t="n"/>
      <c r="J36" s="13" t="n"/>
      <c r="K36" s="13" t="n"/>
      <c r="L36" s="13" t="n"/>
      <c r="M36" s="38" t="n"/>
      <c r="N36" s="15" t="n"/>
    </row>
    <row r="37">
      <c r="A37" s="21" t="n"/>
      <c r="B37" s="13" t="n"/>
      <c r="C37" s="13" t="n"/>
      <c r="D37" s="2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38" t="n"/>
      <c r="N37" s="15" t="n"/>
    </row>
    <row r="38">
      <c r="A38" s="21" t="n"/>
      <c r="B38" s="13" t="n"/>
      <c r="C38" s="13" t="n"/>
      <c r="D38" s="2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38" t="n"/>
      <c r="N38" s="15" t="n"/>
    </row>
    <row r="39">
      <c r="A39" s="21" t="n"/>
      <c r="B39" s="13" t="n"/>
      <c r="C39" s="13" t="n"/>
      <c r="D39" s="2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38" t="n"/>
      <c r="N39" s="15" t="n"/>
    </row>
    <row r="40">
      <c r="A40" s="16" t="inlineStr">
        <is>
          <t>CELSOFT</t>
        </is>
      </c>
      <c r="B40" s="55" t="inlineStr">
        <is>
          <t>Precios en Dolares</t>
        </is>
      </c>
      <c r="C40" s="13" t="n"/>
      <c r="D40" s="54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4" t="n"/>
      <c r="N40" s="15" t="n"/>
    </row>
    <row r="41">
      <c r="A41" s="28" t="n"/>
      <c r="B41" s="55" t="n"/>
      <c r="C41" s="13" t="n"/>
      <c r="D41" s="56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4" t="n"/>
      <c r="N41" s="15" t="n"/>
    </row>
    <row r="42">
      <c r="A42" s="21" t="n">
        <v>501</v>
      </c>
      <c r="B42" s="57" t="inlineStr">
        <is>
          <t>Pack x 2 rollos Cel-Soft de 22,5 x 150 mts</t>
        </is>
      </c>
      <c r="D42" s="127" t="n">
        <v>57.01</v>
      </c>
      <c r="E42" s="23">
        <f>Round(D42*1.3*1.105,-1)</f>
        <v/>
      </c>
      <c r="F42" s="23">
        <f>E42/0.9</f>
        <v/>
      </c>
      <c r="G42" s="23">
        <f>F42*1.21</f>
        <v/>
      </c>
      <c r="H42" s="23">
        <f>round(G42,0)</f>
        <v/>
      </c>
      <c r="I42" s="13" t="n"/>
      <c r="J42" s="24" t="inlineStr">
        <is>
          <t>$61,27</t>
        </is>
      </c>
      <c r="K42" s="13" t="n"/>
      <c r="L42" s="25" t="inlineStr">
        <is>
          <t>$61,27</t>
        </is>
      </c>
      <c r="M42" s="38" t="n"/>
      <c r="N42" s="58" t="n">
        <v>0</v>
      </c>
    </row>
    <row r="43">
      <c r="A43" s="21" t="n">
        <v>505</v>
      </c>
      <c r="B43" s="13" t="inlineStr">
        <is>
          <t>Caja x 2000 U. Servilletas Cel-Soft 30 x 40 cm</t>
        </is>
      </c>
      <c r="D43" s="230" t="n">
        <v>215</v>
      </c>
      <c r="E43" s="23">
        <f>Round(D43*1.3*1.105,-1)</f>
        <v/>
      </c>
      <c r="F43" s="23">
        <f>E43/0.9</f>
        <v/>
      </c>
      <c r="G43" s="23">
        <f>F43*1.21</f>
        <v/>
      </c>
      <c r="H43" s="23">
        <f>round(G43,0)</f>
        <v/>
      </c>
      <c r="I43" s="13" t="n"/>
      <c r="J43" s="24" t="inlineStr">
        <is>
          <t>$294,28</t>
        </is>
      </c>
      <c r="K43" s="13" t="n"/>
      <c r="L43" s="27" t="inlineStr">
        <is>
          <t>$294,28</t>
        </is>
      </c>
      <c r="M43" s="38" t="n"/>
      <c r="N43" s="26" t="n">
        <v>0</v>
      </c>
    </row>
    <row r="44">
      <c r="A44" s="21" t="n">
        <v>506</v>
      </c>
      <c r="B44" s="13" t="inlineStr">
        <is>
          <t>Caja x 3500 Toallas Cel-Soft 21 x 25 cm Blancas</t>
        </is>
      </c>
      <c r="D44" s="230" t="n">
        <v>0</v>
      </c>
      <c r="E44" s="23">
        <f>Round(D44*1.3*1.105,-1)</f>
        <v/>
      </c>
      <c r="F44" s="23">
        <f>E44/0.9</f>
        <v/>
      </c>
      <c r="G44" s="23">
        <f>F44*1.21</f>
        <v/>
      </c>
      <c r="H44" s="23">
        <f>round(G44,0)</f>
        <v/>
      </c>
      <c r="I44" s="13" t="n"/>
      <c r="J44" s="24" t="inlineStr">
        <is>
          <t>$164,70</t>
        </is>
      </c>
      <c r="K44" s="13" t="n"/>
      <c r="L44" s="27" t="inlineStr">
        <is>
          <t>$164,70</t>
        </is>
      </c>
      <c r="M44" s="38" t="n"/>
      <c r="N44" s="26" t="n">
        <v>0</v>
      </c>
    </row>
    <row r="45">
      <c r="A45" s="21" t="n">
        <v>512</v>
      </c>
      <c r="B45" s="13" t="inlineStr">
        <is>
          <t>Caja x 2000 U. Servilletas Cel-Soft 30 x 25 cm</t>
        </is>
      </c>
      <c r="D45" s="230" t="n">
        <v>0</v>
      </c>
      <c r="E45" s="23">
        <f>Round(D45*1.3*1.105,-1)</f>
        <v/>
      </c>
      <c r="F45" s="23">
        <f>E45/0.9</f>
        <v/>
      </c>
      <c r="G45" s="23">
        <f>F45*1.21</f>
        <v/>
      </c>
      <c r="H45" s="23">
        <f>round(G45,0)</f>
        <v/>
      </c>
      <c r="I45" s="24" t="n"/>
      <c r="J45" s="24" t="inlineStr">
        <is>
          <t>$186,84</t>
        </is>
      </c>
      <c r="K45" s="13" t="n"/>
      <c r="L45" s="27" t="inlineStr">
        <is>
          <t>$186,84</t>
        </is>
      </c>
      <c r="M45" s="38" t="n"/>
      <c r="N45" s="26" t="n">
        <v>0</v>
      </c>
    </row>
    <row r="46">
      <c r="A46" s="21" t="n">
        <v>514</v>
      </c>
      <c r="B46" s="13" t="inlineStr">
        <is>
          <t>Caja por 600 servilletas Celsoft 40x40 Victoria Ambra</t>
        </is>
      </c>
      <c r="D46" s="230" t="n">
        <v>100</v>
      </c>
      <c r="E46" s="23">
        <f>Round(D46*1.3*1.105,-1)</f>
        <v/>
      </c>
      <c r="F46" s="23">
        <f>E46/0.9</f>
        <v/>
      </c>
      <c r="G46" s="23">
        <f>F46*1.21</f>
        <v/>
      </c>
      <c r="H46" s="23">
        <f>round(G46,0)</f>
        <v/>
      </c>
      <c r="I46" s="13" t="n"/>
      <c r="J46" s="24" t="inlineStr">
        <is>
          <t>$201,24</t>
        </is>
      </c>
      <c r="K46" s="13" t="n"/>
      <c r="L46" s="27" t="inlineStr">
        <is>
          <t>$201,24</t>
        </is>
      </c>
      <c r="M46" s="38" t="n"/>
      <c r="N46" s="26" t="n">
        <v>0</v>
      </c>
    </row>
    <row r="47">
      <c r="A47" s="21" t="n">
        <v>515</v>
      </c>
      <c r="B47" s="13" t="inlineStr">
        <is>
          <t>Caja por 600 servilletas Celsoft 40x40 Victoria Nero</t>
        </is>
      </c>
      <c r="D47" s="230" t="n">
        <v>100</v>
      </c>
      <c r="E47" s="23">
        <f>Round(D47*1.3*1.105,-1)</f>
        <v/>
      </c>
      <c r="F47" s="23">
        <f>E47/0.9</f>
        <v/>
      </c>
      <c r="G47" s="23">
        <f>F47*1.21</f>
        <v/>
      </c>
      <c r="H47" s="23">
        <f>round(G47,0)</f>
        <v/>
      </c>
      <c r="I47" s="13" t="n"/>
      <c r="J47" s="24" t="inlineStr">
        <is>
          <t>$201,24</t>
        </is>
      </c>
      <c r="K47" s="13" t="n"/>
      <c r="L47" s="27" t="inlineStr">
        <is>
          <t>$201,24</t>
        </is>
      </c>
      <c r="M47" s="38" t="n"/>
      <c r="N47" s="26" t="n">
        <v>0</v>
      </c>
    </row>
    <row r="48">
      <c r="A48" s="21" t="n">
        <v>516</v>
      </c>
      <c r="B48" s="13" t="inlineStr">
        <is>
          <t>Caja por 600 servilletas Celsoft 40x40 Tasca Bordeaux</t>
        </is>
      </c>
      <c r="D48" s="230" t="n">
        <v>0</v>
      </c>
      <c r="E48" s="23">
        <f>Round(D48*1.3*1.105,-1)</f>
        <v/>
      </c>
      <c r="F48" s="23">
        <f>E48/0.9</f>
        <v/>
      </c>
      <c r="G48" s="23">
        <f>F48*1.21</f>
        <v/>
      </c>
      <c r="H48" s="23">
        <f>round(G48,0)</f>
        <v/>
      </c>
      <c r="I48" s="13" t="n"/>
      <c r="J48" s="24" t="inlineStr">
        <is>
          <t>$237,29</t>
        </is>
      </c>
      <c r="K48" s="13" t="n"/>
      <c r="L48" s="27" t="inlineStr">
        <is>
          <t>$237,29</t>
        </is>
      </c>
      <c r="M48" s="38" t="n"/>
      <c r="N48" s="26" t="n">
        <v>0</v>
      </c>
    </row>
    <row r="49">
      <c r="A49" s="21" t="n">
        <v>517</v>
      </c>
      <c r="B49" s="13" t="inlineStr">
        <is>
          <t>Caja por 600 servilletas Celsoft 40x40 Tasca Nero</t>
        </is>
      </c>
      <c r="D49" s="230" t="n">
        <v>0</v>
      </c>
      <c r="E49" s="23">
        <f>Round(D49*1.3*1.105,-1)</f>
        <v/>
      </c>
      <c r="F49" s="23">
        <f>E49/0.9</f>
        <v/>
      </c>
      <c r="G49" s="23">
        <f>F49*1.21</f>
        <v/>
      </c>
      <c r="H49" s="23">
        <f>round(G49,0)</f>
        <v/>
      </c>
      <c r="I49" s="13" t="n"/>
      <c r="J49" s="24" t="inlineStr">
        <is>
          <t>$237,29</t>
        </is>
      </c>
      <c r="K49" s="13" t="n"/>
      <c r="L49" s="27" t="inlineStr">
        <is>
          <t>$237,29</t>
        </is>
      </c>
      <c r="M49" s="38" t="n"/>
      <c r="N49" s="26" t="n">
        <v>0</v>
      </c>
    </row>
    <row r="50">
      <c r="A50" s="21" t="n">
        <v>518</v>
      </c>
      <c r="B50" s="13" t="inlineStr">
        <is>
          <t>Caja por 600 servilletas Celsoft 40x40 Tasca Lino Avorio</t>
        </is>
      </c>
      <c r="D50" s="230" t="n">
        <v>100</v>
      </c>
      <c r="E50" s="23">
        <f>Round(D50*1.3*1.105,-1)</f>
        <v/>
      </c>
      <c r="F50" s="23">
        <f>E50/0.9</f>
        <v/>
      </c>
      <c r="G50" s="23">
        <f>F50*1.21</f>
        <v/>
      </c>
      <c r="H50" s="23">
        <f>round(G50,0)</f>
        <v/>
      </c>
      <c r="I50" s="13" t="n"/>
      <c r="J50" s="24" t="inlineStr">
        <is>
          <t>$201,24</t>
        </is>
      </c>
      <c r="K50" s="13" t="n"/>
      <c r="L50" s="27" t="inlineStr">
        <is>
          <t>$201,24</t>
        </is>
      </c>
      <c r="M50" s="38" t="n"/>
      <c r="N50" s="26" t="n">
        <v>0</v>
      </c>
    </row>
    <row r="51">
      <c r="A51" s="21" t="n">
        <v>519</v>
      </c>
      <c r="B51" s="13" t="inlineStr">
        <is>
          <t>Caja por 600 servilletas Celsoft 40x40 Taca Iuta Grigio</t>
        </is>
      </c>
      <c r="D51" s="230" t="n">
        <v>100</v>
      </c>
      <c r="E51" s="23">
        <f>Round(D51*1.3*1.105,-1)</f>
        <v/>
      </c>
      <c r="F51" s="23">
        <f>E51/0.9</f>
        <v/>
      </c>
      <c r="G51" s="23">
        <f>F51*1.21</f>
        <v/>
      </c>
      <c r="H51" s="23">
        <f>round(G51,0)</f>
        <v/>
      </c>
      <c r="I51" s="13" t="n"/>
      <c r="J51" s="24" t="inlineStr">
        <is>
          <t>$201,24</t>
        </is>
      </c>
      <c r="K51" s="13" t="n"/>
      <c r="L51" s="27" t="inlineStr">
        <is>
          <t>$201,24</t>
        </is>
      </c>
      <c r="M51" s="38" t="n"/>
      <c r="N51" s="26" t="n">
        <v>0</v>
      </c>
    </row>
    <row r="52">
      <c r="A52" s="21" t="n">
        <v>520</v>
      </c>
      <c r="B52" s="13" t="inlineStr">
        <is>
          <t>Caja de servilletas Celsoft 40 x 40 SAMPLER 300 Unid</t>
        </is>
      </c>
      <c r="D52" s="230" t="n">
        <v>100</v>
      </c>
      <c r="E52" s="23">
        <f>Round(D52*1.3*1.105,-1)</f>
        <v/>
      </c>
      <c r="F52" s="23">
        <f>E52/0.9</f>
        <v/>
      </c>
      <c r="G52" s="23">
        <f>F52*1.21</f>
        <v/>
      </c>
      <c r="H52" s="23">
        <f>round(G52,0)</f>
        <v/>
      </c>
      <c r="I52" s="13" t="n"/>
      <c r="J52" s="24" t="inlineStr">
        <is>
          <t>$106,52</t>
        </is>
      </c>
      <c r="K52" s="13" t="n"/>
      <c r="L52" s="27" t="inlineStr">
        <is>
          <t>$106,52</t>
        </is>
      </c>
      <c r="M52" s="38" t="n"/>
      <c r="N52" s="26" t="n">
        <v>0</v>
      </c>
    </row>
    <row r="53">
      <c r="A53" s="21" t="n"/>
      <c r="B53" s="13" t="n"/>
      <c r="C53" s="13" t="n"/>
      <c r="D53" s="2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38" t="n"/>
      <c r="N53" s="15" t="n"/>
    </row>
    <row r="54">
      <c r="A54" s="59" t="inlineStr">
        <is>
          <t>PAPEL HIGIENICO</t>
        </is>
      </c>
      <c r="B54" s="271" t="n"/>
      <c r="C54" s="13" t="n"/>
      <c r="D54" s="2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>
      <c r="A55" s="9" t="n"/>
      <c r="B55" s="13" t="n"/>
      <c r="C55" s="13" t="n"/>
      <c r="D55" s="2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40" t="n"/>
      <c r="N55" s="15" t="n"/>
    </row>
    <row r="56">
      <c r="A56" s="64" t="n">
        <v>211</v>
      </c>
      <c r="B56" s="61" t="inlineStr">
        <is>
          <t>Pack x18 Rollos Higienico Racional D/H x 60 mts</t>
        </is>
      </c>
      <c r="D56" s="60" t="n">
        <v>17267.51</v>
      </c>
      <c r="E56" s="60">
        <f>Round(D56*1.3*1.105,-2)</f>
        <v/>
      </c>
      <c r="F56" s="60">
        <f>E56/0.9</f>
        <v/>
      </c>
      <c r="G56" s="60">
        <f>F56*1.21</f>
        <v/>
      </c>
      <c r="H56" s="60">
        <f>round(G56,-2)</f>
        <v/>
      </c>
      <c r="I56" s="61" t="n"/>
      <c r="J56" s="62" t="inlineStr">
        <is>
          <t>$8.372,11</t>
        </is>
      </c>
      <c r="K56" s="61" t="n"/>
      <c r="L56" s="63" t="inlineStr">
        <is>
          <t>$7.824,41</t>
        </is>
      </c>
      <c r="M56" s="64" t="n"/>
      <c r="N56" s="65" t="n">
        <v>-0.0654</v>
      </c>
    </row>
    <row r="57">
      <c r="A57" s="21" t="n">
        <v>213</v>
      </c>
      <c r="B57" s="13" t="inlineStr">
        <is>
          <t>Pack x 4 Rollos Higienico Racional x 500 mts Buje 7,5</t>
        </is>
      </c>
      <c r="D57" s="23" t="n">
        <v>13382.59</v>
      </c>
      <c r="E57" s="23">
        <f>Round(D57*1.3*1.105,-2)</f>
        <v/>
      </c>
      <c r="F57" s="23">
        <f>E57/0.9</f>
        <v/>
      </c>
      <c r="G57" s="23">
        <f>F57*1.21</f>
        <v/>
      </c>
      <c r="H57" s="23">
        <f>round(G57,-2)</f>
        <v/>
      </c>
      <c r="I57" s="13" t="n"/>
      <c r="J57" s="24" t="inlineStr">
        <is>
          <t>$6.488,53</t>
        </is>
      </c>
      <c r="K57" s="13" t="n"/>
      <c r="L57" s="27" t="inlineStr">
        <is>
          <t>$6.064,05</t>
        </is>
      </c>
      <c r="M57" s="38" t="n"/>
      <c r="N57" s="26" t="n">
        <v>-0.0654</v>
      </c>
    </row>
    <row r="58">
      <c r="A58" s="64" t="n">
        <v>214</v>
      </c>
      <c r="B58" s="61" t="inlineStr">
        <is>
          <t>Pack x 18 rollos Papel Higienico Racional x 122 mts</t>
        </is>
      </c>
      <c r="D58" s="60" t="n">
        <v>16441.32</v>
      </c>
      <c r="E58" s="60">
        <f>Round(D58*1.3*1.105,-2)</f>
        <v/>
      </c>
      <c r="F58" s="60">
        <f>E58/0.9</f>
        <v/>
      </c>
      <c r="G58" s="60">
        <f>F58*1.21</f>
        <v/>
      </c>
      <c r="H58" s="60">
        <f>round(G58,-2)</f>
        <v/>
      </c>
      <c r="I58" s="61" t="n"/>
      <c r="J58" s="62" t="inlineStr">
        <is>
          <t>$7.971,55</t>
        </is>
      </c>
      <c r="K58" s="61" t="n"/>
      <c r="L58" s="66" t="inlineStr">
        <is>
          <t>$7.450,06</t>
        </is>
      </c>
      <c r="M58" s="64" t="n"/>
      <c r="N58" s="65" t="n">
        <v>-0.0654</v>
      </c>
    </row>
    <row r="59">
      <c r="A59" s="21" t="n">
        <v>218</v>
      </c>
      <c r="B59" s="13" t="inlineStr">
        <is>
          <t>Pack x 8 rollos Higienico Racional x 265 mts buje 7,5</t>
        </is>
      </c>
      <c r="D59" s="23" t="n">
        <v>15132.29</v>
      </c>
      <c r="E59" s="23">
        <f>Round(D59*1.3*1.105,-2)</f>
        <v/>
      </c>
      <c r="F59" s="23">
        <f>E59/0.9</f>
        <v/>
      </c>
      <c r="G59" s="23">
        <f>F59*1.21</f>
        <v/>
      </c>
      <c r="H59" s="23">
        <f>round(G59,-2)</f>
        <v/>
      </c>
      <c r="I59" s="13" t="n"/>
      <c r="J59" s="24" t="inlineStr">
        <is>
          <t>$7.336,87</t>
        </is>
      </c>
      <c r="K59" s="13" t="n"/>
      <c r="L59" s="27" t="inlineStr">
        <is>
          <t>$6.856,90</t>
        </is>
      </c>
      <c r="M59" s="38" t="n"/>
      <c r="N59" s="26" t="n">
        <v>-0.0654</v>
      </c>
    </row>
    <row r="60">
      <c r="A60" s="64" t="n">
        <v>220</v>
      </c>
      <c r="B60" s="61" t="inlineStr">
        <is>
          <t>Pack x 8 Rollos Papel Higienico Racional x 300 mts</t>
        </is>
      </c>
      <c r="D60" s="60" t="n">
        <v>17208.11</v>
      </c>
      <c r="E60" s="60">
        <f>Round(D60*1.3*1.105,-2)</f>
        <v/>
      </c>
      <c r="F60" s="60">
        <f>E60/0.9</f>
        <v/>
      </c>
      <c r="G60" s="60">
        <f>F60*1.21</f>
        <v/>
      </c>
      <c r="H60" s="60">
        <f>round(G60,-2)</f>
        <v/>
      </c>
      <c r="I60" s="61" t="n"/>
      <c r="J60" s="62" t="inlineStr">
        <is>
          <t>$8.360,60</t>
        </is>
      </c>
      <c r="K60" s="61" t="n"/>
      <c r="L60" s="66" t="inlineStr">
        <is>
          <t>$7.813,65</t>
        </is>
      </c>
      <c r="M60" s="64" t="n"/>
      <c r="N60" s="65" t="n">
        <v>-0.0654</v>
      </c>
    </row>
    <row r="61">
      <c r="A61" s="21" t="n">
        <v>222</v>
      </c>
      <c r="B61" s="13" t="inlineStr">
        <is>
          <t>Pack x 8 Rollos Papel Higienico x 260 mts Buje4,5</t>
        </is>
      </c>
      <c r="D61" s="23" t="n">
        <v>14638.8</v>
      </c>
      <c r="E61" s="23">
        <f>Round(D61*1.3*1.105,-2)</f>
        <v/>
      </c>
      <c r="F61" s="23">
        <f>E61/0.9</f>
        <v/>
      </c>
      <c r="G61" s="23">
        <f>F61*1.21</f>
        <v/>
      </c>
      <c r="H61" s="23">
        <f>round(G61,-2)</f>
        <v/>
      </c>
      <c r="I61" s="13" t="n"/>
      <c r="J61" s="24" t="inlineStr">
        <is>
          <t>$7.097,54</t>
        </is>
      </c>
      <c r="K61" s="13" t="n"/>
      <c r="L61" s="27" t="inlineStr">
        <is>
          <t>$6.633,22</t>
        </is>
      </c>
      <c r="M61" s="38" t="n"/>
      <c r="N61" s="26" t="n">
        <v>-0.0654</v>
      </c>
    </row>
    <row r="62">
      <c r="A62" s="21" t="n">
        <v>909</v>
      </c>
      <c r="B62" s="13" t="inlineStr">
        <is>
          <t>Papel Higiénico 20 x 14,5 8000 h. 4000 usos</t>
        </is>
      </c>
      <c r="D62" s="23" t="n">
        <v>22608.23</v>
      </c>
      <c r="E62" s="23">
        <f>Round(D62*1.3*1.105,-2)</f>
        <v/>
      </c>
      <c r="F62" s="23">
        <f>E62/0.9</f>
        <v/>
      </c>
      <c r="G62" s="23">
        <f>F62*1.21</f>
        <v/>
      </c>
      <c r="H62" s="23">
        <f>round(G62,-2)</f>
        <v/>
      </c>
      <c r="I62" s="13" t="n"/>
      <c r="J62" s="24" t="inlineStr">
        <is>
          <t>$10.961,55</t>
        </is>
      </c>
      <c r="K62" s="13" t="n"/>
      <c r="L62" s="27" t="inlineStr">
        <is>
          <t>$10.244,45</t>
        </is>
      </c>
      <c r="M62" s="38" t="n"/>
      <c r="N62" s="26" t="n">
        <v>-0.0654</v>
      </c>
    </row>
    <row r="63">
      <c r="A63" s="21" t="n">
        <v>912</v>
      </c>
      <c r="B63" s="13" t="inlineStr">
        <is>
          <t>Papel Higienico UNITAS(18x14,5cm) 8000 h/4000 usos</t>
        </is>
      </c>
      <c r="D63" s="23" t="n">
        <v>18165.12</v>
      </c>
      <c r="E63" s="23">
        <f>Round(D63*1.3*1.105,-2)</f>
        <v/>
      </c>
      <c r="F63" s="23">
        <f>E63/0.9</f>
        <v/>
      </c>
      <c r="G63" s="23">
        <f>F63*1.21</f>
        <v/>
      </c>
      <c r="H63" s="23">
        <f>round(G63,-2)</f>
        <v/>
      </c>
      <c r="I63" s="24" t="n"/>
      <c r="J63" s="24" t="inlineStr">
        <is>
          <t>$8.807,34</t>
        </is>
      </c>
      <c r="K63" s="13" t="n"/>
      <c r="L63" s="27" t="inlineStr">
        <is>
          <t>$8.231,16</t>
        </is>
      </c>
      <c r="M63" s="38" t="n"/>
      <c r="N63" s="26" t="n">
        <v>-0.0654</v>
      </c>
    </row>
    <row r="64">
      <c r="A64" s="21" t="n"/>
      <c r="B64" s="13" t="n"/>
      <c r="C64" s="13" t="n"/>
      <c r="D64" s="2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38" t="n"/>
      <c r="N64" s="15" t="n"/>
    </row>
    <row r="65">
      <c r="A65" s="21" t="n"/>
      <c r="B65" s="67" t="n">
        <v>44896</v>
      </c>
      <c r="C65" s="13" t="n"/>
      <c r="D65" s="2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38" t="n"/>
      <c r="N65" s="68" t="n"/>
    </row>
    <row r="66">
      <c r="A66" s="21" t="n"/>
      <c r="B66" s="13" t="n"/>
      <c r="C66" s="13" t="n"/>
      <c r="D66" s="2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38" t="n"/>
      <c r="N66" s="15" t="n"/>
    </row>
    <row r="67">
      <c r="A67" s="16" t="inlineStr">
        <is>
          <t>CAMILLEROS</t>
        </is>
      </c>
      <c r="B67" s="13" t="n"/>
      <c r="C67" s="13" t="n"/>
      <c r="D67" s="2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4" t="n"/>
      <c r="N67" s="15" t="n"/>
    </row>
    <row r="68">
      <c r="A68" s="28" t="n"/>
      <c r="B68" s="13" t="n"/>
      <c r="C68" s="13" t="n"/>
      <c r="D68" s="23" t="n">
        <v>8867.99</v>
      </c>
      <c r="E68" s="13" t="n"/>
      <c r="F68" s="13" t="n"/>
      <c r="G68" s="13" t="n"/>
      <c r="H68" s="13" t="n"/>
      <c r="I68" s="13" t="n"/>
      <c r="J68" s="24" t="inlineStr">
        <is>
          <t>$6.630,27</t>
        </is>
      </c>
      <c r="K68" s="13" t="n"/>
      <c r="L68" s="13" t="n"/>
      <c r="M68" s="14" t="n"/>
      <c r="N68" s="15" t="n"/>
    </row>
    <row r="69">
      <c r="A69" s="21" t="n">
        <v>301</v>
      </c>
      <c r="B69" s="13" t="inlineStr">
        <is>
          <t>Pack x 2 Rollos Camilleros bco s/h 54x100mts Prec</t>
        </is>
      </c>
      <c r="D69" s="23">
        <f>D68*1.65</f>
        <v/>
      </c>
      <c r="E69" s="23">
        <f>Round(D69*1.3*1.105,-2)</f>
        <v/>
      </c>
      <c r="F69" s="23">
        <f>E69/0.9</f>
        <v/>
      </c>
      <c r="G69" s="23">
        <f>F69*1.21</f>
        <v/>
      </c>
      <c r="H69" s="23">
        <f>round(G69,-2)</f>
        <v/>
      </c>
      <c r="I69" s="13" t="n"/>
      <c r="J69" s="24" t="inlineStr">
        <is>
          <t>$7.094,39</t>
        </is>
      </c>
      <c r="K69" s="13" t="n"/>
      <c r="L69" s="13" t="n"/>
      <c r="M69" s="38" t="n"/>
      <c r="N69" s="26" t="n">
        <v>0.1</v>
      </c>
    </row>
    <row r="70">
      <c r="A70" s="21" t="n"/>
      <c r="B70" s="155" t="n"/>
      <c r="C70" s="13" t="n"/>
      <c r="D70" s="2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38" t="n"/>
      <c r="N70" s="68" t="n"/>
    </row>
    <row r="71">
      <c r="A71" s="59" t="inlineStr">
        <is>
          <t>DISPENSERS</t>
        </is>
      </c>
      <c r="B71" s="13" t="n"/>
      <c r="C71" s="13" t="n"/>
      <c r="D71" s="23">
        <f>D69*8</f>
        <v/>
      </c>
      <c r="E71" s="13" t="n"/>
      <c r="F71" s="13" t="n"/>
      <c r="G71" s="13" t="n"/>
      <c r="H71" s="13" t="n"/>
      <c r="I71" s="13" t="n"/>
      <c r="J71" s="13" t="n"/>
      <c r="K71" s="13" t="n"/>
      <c r="L71" s="13" t="n"/>
      <c r="M71" s="40" t="n"/>
      <c r="N71" s="15" t="n"/>
    </row>
    <row r="72">
      <c r="A72" s="9" t="n"/>
      <c r="B72" s="13" t="n"/>
      <c r="C72" s="13" t="n"/>
      <c r="D72" s="2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40" t="n"/>
      <c r="N72" s="15" t="n"/>
    </row>
    <row r="73">
      <c r="A73" s="21" t="n">
        <v>403</v>
      </c>
      <c r="B73" s="13" t="inlineStr">
        <is>
          <t>Portabobina de Pared</t>
        </is>
      </c>
      <c r="C73" s="13" t="n"/>
      <c r="D73" s="70" t="n">
        <v>29618.49</v>
      </c>
      <c r="E73" s="23">
        <f>Round(D73*1.3*1.105,-2)</f>
        <v/>
      </c>
      <c r="F73" s="23">
        <f>E73/0.9</f>
        <v/>
      </c>
      <c r="G73" s="23">
        <f>F73*1.21</f>
        <v/>
      </c>
      <c r="H73" s="23">
        <f>round(G73,-2)</f>
        <v/>
      </c>
      <c r="I73" s="13" t="n"/>
      <c r="J73" s="24" t="inlineStr">
        <is>
          <t>$14.360,46</t>
        </is>
      </c>
      <c r="K73" s="13" t="n"/>
      <c r="L73" s="25" t="inlineStr">
        <is>
          <t>$13.421,00</t>
        </is>
      </c>
      <c r="M73" s="38" t="n"/>
      <c r="N73" s="26" t="n">
        <v>-0.0654</v>
      </c>
    </row>
    <row r="74">
      <c r="A74" s="21" t="n">
        <v>418</v>
      </c>
      <c r="B74" s="13" t="inlineStr">
        <is>
          <t>Portabobina de Piso</t>
        </is>
      </c>
      <c r="C74" s="13" t="n"/>
      <c r="D74" s="71" t="n">
        <v>32579.59</v>
      </c>
      <c r="E74" s="23">
        <f>Round(D74*1.3*1.105,-2)</f>
        <v/>
      </c>
      <c r="F74" s="23">
        <f>E74/0.9</f>
        <v/>
      </c>
      <c r="G74" s="23">
        <f>F74*1.21</f>
        <v/>
      </c>
      <c r="H74" s="23">
        <f>round(G74,-2)</f>
        <v/>
      </c>
      <c r="I74" s="13" t="n"/>
      <c r="J74" s="24" t="inlineStr">
        <is>
          <t>$15.796,17</t>
        </is>
      </c>
      <c r="K74" s="13" t="n"/>
      <c r="L74" s="27" t="inlineStr">
        <is>
          <t>$14.762,78</t>
        </is>
      </c>
      <c r="M74" s="38" t="n"/>
      <c r="N74" s="26" t="n">
        <v>-0.0654</v>
      </c>
    </row>
    <row r="75">
      <c r="A75" s="21" t="n">
        <v>422</v>
      </c>
      <c r="B75" s="13" t="inlineStr">
        <is>
          <t>Dispenser Celmatic Due</t>
        </is>
      </c>
      <c r="C75" s="13" t="n"/>
      <c r="D75" s="71" t="n">
        <v>41745.33</v>
      </c>
      <c r="E75" s="23">
        <f>Round(D75*1.3*1.105,-2)</f>
        <v/>
      </c>
      <c r="F75" s="23">
        <f>E75/0.9</f>
        <v/>
      </c>
      <c r="G75" s="23">
        <f>F75*1.21</f>
        <v/>
      </c>
      <c r="H75" s="23">
        <f>round(G75,-2)</f>
        <v/>
      </c>
      <c r="I75" s="13" t="n"/>
      <c r="J75" s="24" t="inlineStr">
        <is>
          <t>$20.240,16</t>
        </is>
      </c>
      <c r="K75" s="13" t="n"/>
      <c r="L75" s="27" t="inlineStr">
        <is>
          <t>$18.916,04</t>
        </is>
      </c>
      <c r="M75" s="38" t="n"/>
      <c r="N75" s="26" t="n">
        <v>-0.0654</v>
      </c>
    </row>
    <row r="76">
      <c r="A76" s="21" t="n">
        <v>425</v>
      </c>
      <c r="B76" s="13" t="inlineStr">
        <is>
          <t>Dosificador para Jabón Líquido Recargable</t>
        </is>
      </c>
      <c r="D76" s="71" t="n">
        <v>15659.75</v>
      </c>
      <c r="E76" s="23">
        <f>Round(D76*1.3*1.105,-2)</f>
        <v/>
      </c>
      <c r="F76" s="23">
        <f>E76/0.9</f>
        <v/>
      </c>
      <c r="G76" s="23">
        <f>F76*1.21</f>
        <v/>
      </c>
      <c r="H76" s="23">
        <f>round(G76,-2)</f>
        <v/>
      </c>
      <c r="I76" s="13" t="n"/>
      <c r="J76" s="24" t="inlineStr">
        <is>
          <t>$7.592,61</t>
        </is>
      </c>
      <c r="K76" s="13" t="n"/>
      <c r="L76" s="27" t="inlineStr">
        <is>
          <t>$7.095,90</t>
        </is>
      </c>
      <c r="M76" s="38" t="n"/>
      <c r="N76" s="26" t="n">
        <v>-0.0654</v>
      </c>
    </row>
    <row r="77">
      <c r="A77" s="21" t="n">
        <v>427</v>
      </c>
      <c r="B77" s="13" t="inlineStr">
        <is>
          <t>Dispenser Para Papel Higienico Racional 350</t>
        </is>
      </c>
      <c r="D77" s="71" t="n">
        <v>19128.65</v>
      </c>
      <c r="E77" s="23">
        <f>Round(D77*1.3*1.105,-2)</f>
        <v/>
      </c>
      <c r="F77" s="23">
        <f>E77/0.9</f>
        <v/>
      </c>
      <c r="G77" s="23">
        <f>F77*1.21</f>
        <v/>
      </c>
      <c r="H77" s="23">
        <f>round(G77,-2)</f>
        <v/>
      </c>
      <c r="I77" s="13" t="n"/>
      <c r="J77" s="24" t="inlineStr">
        <is>
          <t>$9.274,50</t>
        </is>
      </c>
      <c r="K77" s="13" t="n"/>
      <c r="L77" s="27" t="inlineStr">
        <is>
          <t>$8.667,76</t>
        </is>
      </c>
      <c r="M77" s="38" t="n"/>
      <c r="N77" s="26" t="n">
        <v>-0.0654</v>
      </c>
    </row>
    <row r="78">
      <c r="A78" s="21" t="n">
        <v>428</v>
      </c>
      <c r="B78" s="13" t="inlineStr">
        <is>
          <t>Dispenser para Papel Higiénico</t>
        </is>
      </c>
      <c r="C78" s="13" t="n"/>
      <c r="D78" s="71" t="n">
        <v>21874.26</v>
      </c>
      <c r="E78" s="23">
        <f>Round(D78*1.3*1.105,-2)</f>
        <v/>
      </c>
      <c r="F78" s="23">
        <f>E78/0.9</f>
        <v/>
      </c>
      <c r="G78" s="23">
        <f>F78*1.21</f>
        <v/>
      </c>
      <c r="H78" s="23">
        <f>round(G78,-2)</f>
        <v/>
      </c>
      <c r="I78" s="13" t="n"/>
      <c r="J78" s="24" t="inlineStr">
        <is>
          <t>$10.605,70</t>
        </is>
      </c>
      <c r="K78" s="13" t="n"/>
      <c r="L78" s="27" t="inlineStr">
        <is>
          <t>$9.911,88</t>
        </is>
      </c>
      <c r="M78" s="38" t="n"/>
      <c r="N78" s="26" t="n">
        <v>-0.0654</v>
      </c>
    </row>
    <row r="79">
      <c r="A79" s="21" t="n">
        <v>429</v>
      </c>
      <c r="B79" s="13" t="inlineStr">
        <is>
          <t>Dispenser para Toallas de Papel</t>
        </is>
      </c>
      <c r="C79" s="13" t="n"/>
      <c r="D79" s="71" t="n">
        <v>15693.2</v>
      </c>
      <c r="E79" s="23">
        <f>Round(D79*1.3*1.105,-2)</f>
        <v/>
      </c>
      <c r="F79" s="23">
        <f>E79/0.9</f>
        <v/>
      </c>
      <c r="G79" s="23">
        <f>F79*1.21</f>
        <v/>
      </c>
      <c r="H79" s="23">
        <f>round(G79,-2)</f>
        <v/>
      </c>
      <c r="I79" s="13" t="n"/>
      <c r="J79" s="24" t="inlineStr">
        <is>
          <t>$7.608,82</t>
        </is>
      </c>
      <c r="K79" s="13" t="n"/>
      <c r="L79" s="27" t="inlineStr">
        <is>
          <t>$7.111,06</t>
        </is>
      </c>
      <c r="M79" s="38" t="n"/>
      <c r="N79" s="26" t="n">
        <v>-0.0654</v>
      </c>
    </row>
    <row r="80">
      <c r="A80" s="21" t="n">
        <v>430</v>
      </c>
      <c r="B80" s="13" t="inlineStr">
        <is>
          <t>Dispenser Para Papel Higienico Racional 600</t>
        </is>
      </c>
      <c r="D80" s="71" t="n">
        <v>30791.35</v>
      </c>
      <c r="E80" s="23">
        <f>Round(D80*1.3*1.105,-2)</f>
        <v/>
      </c>
      <c r="F80" s="23">
        <f>E80/0.9</f>
        <v/>
      </c>
      <c r="G80" s="23">
        <f>F80*1.21</f>
        <v/>
      </c>
      <c r="H80" s="23">
        <f>round(G80,-2)</f>
        <v/>
      </c>
      <c r="I80" s="13" t="n"/>
      <c r="J80" s="24" t="inlineStr">
        <is>
          <t>$14.929,14</t>
        </is>
      </c>
      <c r="K80" s="13" t="n"/>
      <c r="L80" s="27" t="inlineStr">
        <is>
          <t>$13.952,46</t>
        </is>
      </c>
      <c r="M80" s="38" t="n"/>
      <c r="N80" s="26" t="n">
        <v>-0.0654</v>
      </c>
    </row>
    <row r="81">
      <c r="A81" s="21" t="n"/>
      <c r="B81" s="13" t="n"/>
      <c r="C81" s="13" t="n"/>
      <c r="D81" s="2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38" t="n"/>
      <c r="N81" s="15" t="n"/>
    </row>
    <row r="82">
      <c r="A82" s="21" t="n"/>
      <c r="B82" s="13" t="n"/>
      <c r="C82" s="13" t="n"/>
      <c r="D82" s="2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38" t="n"/>
      <c r="N82" s="15" t="n"/>
    </row>
    <row r="83">
      <c r="A83" s="21" t="n"/>
      <c r="B83" s="13" t="n"/>
      <c r="C83" s="13" t="n"/>
      <c r="D83" s="2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38" t="n"/>
      <c r="N83" s="15" t="n"/>
    </row>
    <row r="84">
      <c r="A84" s="16" t="inlineStr">
        <is>
          <t>LIMPIEZA INDUSTRIAL</t>
        </is>
      </c>
      <c r="B84" s="271" t="n"/>
      <c r="C84" s="13" t="n"/>
      <c r="D84" s="2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>
      <c r="A85" s="28" t="n"/>
      <c r="B85" s="13" t="n"/>
      <c r="C85" s="13" t="n"/>
      <c r="D85" s="2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4" t="n"/>
      <c r="N85" s="15" t="n"/>
    </row>
    <row r="86">
      <c r="A86" s="64" t="n">
        <v>101</v>
      </c>
      <c r="B86" s="61" t="inlineStr">
        <is>
          <t>Pack x 6 bobinas 22,5 cm x 300 porciones</t>
        </is>
      </c>
      <c r="D86" s="70" t="n">
        <v>23542.2</v>
      </c>
      <c r="E86" s="60">
        <f>Round(D86*1.3*1.105,-2)</f>
        <v/>
      </c>
      <c r="F86" s="60">
        <f>E86/0.9</f>
        <v/>
      </c>
      <c r="G86" s="60">
        <f>F86*1.21</f>
        <v/>
      </c>
      <c r="H86" s="60">
        <f>round(G86,-2)</f>
        <v/>
      </c>
      <c r="I86" s="61" t="n"/>
      <c r="J86" s="62" t="inlineStr">
        <is>
          <t>$11.414,34</t>
        </is>
      </c>
      <c r="K86" s="61" t="n"/>
      <c r="L86" s="63" t="inlineStr">
        <is>
          <t>$10.667,62</t>
        </is>
      </c>
      <c r="M86" s="64" t="n"/>
      <c r="N86" s="65" t="n">
        <v>-0.0654</v>
      </c>
    </row>
    <row r="87">
      <c r="A87" s="21" t="n">
        <v>109</v>
      </c>
      <c r="B87" s="13" t="inlineStr">
        <is>
          <t>Pack x 2 bobinas papel original 22,5 cm x 270 mts</t>
        </is>
      </c>
      <c r="D87" s="71" t="n">
        <v>18373.41</v>
      </c>
      <c r="E87" s="23">
        <f>Round(D87*1.3*1.105,-2)</f>
        <v/>
      </c>
      <c r="F87" s="23">
        <f>E87/0.9</f>
        <v/>
      </c>
      <c r="G87" s="23">
        <f>F87*1.21</f>
        <v/>
      </c>
      <c r="H87" s="23">
        <f>round(G87,-2)</f>
        <v/>
      </c>
      <c r="I87" s="13" t="n"/>
      <c r="J87" s="24" t="inlineStr">
        <is>
          <t>$8.908,31</t>
        </is>
      </c>
      <c r="K87" s="13" t="n"/>
      <c r="L87" s="27" t="inlineStr">
        <is>
          <t>$8.325,53</t>
        </is>
      </c>
      <c r="M87" s="38" t="n"/>
      <c r="N87" s="26" t="n">
        <v>-0.0654</v>
      </c>
    </row>
    <row r="88">
      <c r="A88" s="64" t="n">
        <v>123</v>
      </c>
      <c r="B88" s="61" t="inlineStr">
        <is>
          <t>Pack x 2 bobinas Papel Original 900 hjs/360 mts.</t>
        </is>
      </c>
      <c r="D88" s="71" t="n">
        <v>26901.74</v>
      </c>
      <c r="E88" s="60">
        <f>Round(D88*1.3*1.105,-2)</f>
        <v/>
      </c>
      <c r="F88" s="60">
        <f>E88/0.9</f>
        <v/>
      </c>
      <c r="G88" s="60">
        <f>F88*1.21</f>
        <v/>
      </c>
      <c r="H88" s="60">
        <f>round(G88,-2)</f>
        <v/>
      </c>
      <c r="I88" s="61" t="n"/>
      <c r="J88" s="62" t="inlineStr">
        <is>
          <t>$13.043,26</t>
        </is>
      </c>
      <c r="K88" s="61" t="n"/>
      <c r="L88" s="66" t="inlineStr">
        <is>
          <t>$12.189,96</t>
        </is>
      </c>
      <c r="M88" s="64" t="n"/>
      <c r="N88" s="65" t="n">
        <v>-0.0654</v>
      </c>
    </row>
    <row r="89">
      <c r="A89" s="21" t="n">
        <v>809</v>
      </c>
      <c r="B89" s="13" t="inlineStr">
        <is>
          <t>Pack x 4 Rollos 600 porc 25x25 Rep Tambo</t>
        </is>
      </c>
      <c r="D89" s="71" t="n">
        <v>28036.67</v>
      </c>
      <c r="E89" s="23">
        <f>Round(D89*1.3*1.105,-2)</f>
        <v/>
      </c>
      <c r="F89" s="23">
        <f>E89/0.9</f>
        <v/>
      </c>
      <c r="G89" s="23">
        <f>F89*1.21</f>
        <v/>
      </c>
      <c r="H89" s="23">
        <f>round(G89,-2)</f>
        <v/>
      </c>
      <c r="I89" s="13" t="n"/>
      <c r="J89" s="24" t="inlineStr">
        <is>
          <t>$13.593,46</t>
        </is>
      </c>
      <c r="K89" s="13" t="n"/>
      <c r="L89" s="27" t="inlineStr">
        <is>
          <t>$12.704,18</t>
        </is>
      </c>
      <c r="M89" s="38" t="n"/>
      <c r="N89" s="26" t="n">
        <v>-0.0654</v>
      </c>
    </row>
    <row r="90">
      <c r="A90" s="21" t="n"/>
      <c r="B90" s="13" t="n"/>
      <c r="C90" s="13" t="n"/>
      <c r="D90" s="2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38" t="n"/>
      <c r="N90" s="15" t="n"/>
    </row>
    <row r="91">
      <c r="A91" s="21" t="n"/>
      <c r="B91" s="13" t="n"/>
      <c r="C91" s="13" t="n"/>
      <c r="D91" s="2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38" t="n"/>
      <c r="N91" s="15" t="n"/>
    </row>
    <row r="92">
      <c r="A92" s="16" t="inlineStr">
        <is>
          <t>PAÑOS DE LIMPIEZA DE ALTA PERFORMANCE</t>
        </is>
      </c>
      <c r="B92" s="13" t="n"/>
      <c r="C92" s="13" t="n"/>
      <c r="D92" s="2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4" t="n"/>
      <c r="N92" s="15" t="n"/>
    </row>
    <row r="93">
      <c r="A93" s="28" t="n"/>
      <c r="B93" s="13" t="n"/>
      <c r="C93" s="13" t="n"/>
      <c r="D93" s="2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4" t="n"/>
      <c r="N93" s="15" t="n"/>
    </row>
    <row r="94">
      <c r="A94" s="72" t="inlineStr">
        <is>
          <t>Linea Softclean</t>
        </is>
      </c>
      <c r="C94" s="55" t="n"/>
      <c r="D94" s="56" t="n"/>
      <c r="E94" s="13" t="n"/>
      <c r="F94" s="13" t="n"/>
      <c r="G94" s="13" t="n"/>
      <c r="H94" s="13" t="n"/>
      <c r="I94" s="13" t="n"/>
      <c r="J94" s="13" t="n"/>
      <c r="K94" s="13" t="n"/>
      <c r="L94" s="13" t="n"/>
    </row>
    <row r="95">
      <c r="A95" s="78" t="n">
        <v>601</v>
      </c>
      <c r="B95" s="13" t="inlineStr">
        <is>
          <t>Rollo Softclean Maxi Bco prec 30 x 38 x 500</t>
        </is>
      </c>
      <c r="D95" s="96" t="n">
        <v>78.98999999999999</v>
      </c>
      <c r="E95" s="23">
        <f>Round(D95*1.3*1.105,-1)</f>
        <v/>
      </c>
      <c r="F95" s="23">
        <f>E95/0.9</f>
        <v/>
      </c>
      <c r="G95" s="23">
        <f>F95*1.21</f>
        <v/>
      </c>
      <c r="H95" s="23">
        <f>round(G95,0)</f>
        <v/>
      </c>
      <c r="I95" s="13" t="n"/>
      <c r="J95" s="24" t="inlineStr">
        <is>
          <t>$223,78</t>
        </is>
      </c>
      <c r="K95" s="13" t="n"/>
      <c r="L95" s="73" t="inlineStr">
        <is>
          <t>$245,53</t>
        </is>
      </c>
      <c r="M95" s="74" t="n"/>
      <c r="N95" s="26" t="n">
        <v>0.09719999999999999</v>
      </c>
    </row>
    <row r="96">
      <c r="A96" s="78" t="n">
        <v>606</v>
      </c>
      <c r="B96" s="61" t="inlineStr">
        <is>
          <t>Caja x 300 Paños Ultratex de 45,7cm x 53,3cm</t>
        </is>
      </c>
      <c r="D96" s="97" t="n">
        <v>347.37</v>
      </c>
      <c r="E96" s="60">
        <f>Round(D96*1.3*1.105,-1)</f>
        <v/>
      </c>
      <c r="F96" s="60">
        <f>E96/0.9</f>
        <v/>
      </c>
      <c r="G96" s="60">
        <f>F96*1.21</f>
        <v/>
      </c>
      <c r="H96" s="60">
        <f>round(G96,0)</f>
        <v/>
      </c>
      <c r="I96" s="61" t="n"/>
      <c r="J96" s="62" t="inlineStr">
        <is>
          <t>$347,37</t>
        </is>
      </c>
      <c r="K96" s="61" t="n"/>
      <c r="L96" s="75" t="inlineStr">
        <is>
          <t>$347,37</t>
        </is>
      </c>
      <c r="M96" s="76" t="n"/>
      <c r="N96" s="65" t="n">
        <v>0</v>
      </c>
    </row>
    <row r="97">
      <c r="A97" s="78" t="n">
        <v>608</v>
      </c>
      <c r="B97" s="13" t="inlineStr">
        <is>
          <t>Repuesto x 2 rollos Softclean x 350 mts</t>
        </is>
      </c>
      <c r="D97" s="98" t="n">
        <v>71.73999999999999</v>
      </c>
      <c r="E97" s="23">
        <f>Round(D97*1.3*1.105,-1)</f>
        <v/>
      </c>
      <c r="F97" s="23">
        <f>E97/0.9</f>
        <v/>
      </c>
      <c r="G97" s="23">
        <f>F97*1.21</f>
        <v/>
      </c>
      <c r="H97" s="23">
        <f>round(G97,0)</f>
        <v/>
      </c>
      <c r="I97" s="13" t="n"/>
      <c r="J97" s="24" t="inlineStr">
        <is>
          <t>$71,74</t>
        </is>
      </c>
      <c r="K97" s="13" t="n"/>
      <c r="L97" s="77" t="inlineStr">
        <is>
          <t>$53,14</t>
        </is>
      </c>
      <c r="M97" s="74" t="n"/>
      <c r="N97" s="26" t="n">
        <v>-0.2593</v>
      </c>
    </row>
    <row r="98">
      <c r="A98" s="78" t="n">
        <v>614</v>
      </c>
      <c r="B98" s="13" t="inlineStr">
        <is>
          <t>Rollo SoftClean S 70x 875 Porciones de 30x 25</t>
        </is>
      </c>
      <c r="D98" s="96" t="n">
        <v>86.42</v>
      </c>
      <c r="E98" s="23">
        <f>Round(D98*1.3*1.105,-1)</f>
        <v/>
      </c>
      <c r="F98" s="23">
        <f>E98/0.9</f>
        <v/>
      </c>
      <c r="G98" s="23">
        <f>F98*1.21</f>
        <v/>
      </c>
      <c r="H98" s="23">
        <f>round(G98,0)</f>
        <v/>
      </c>
      <c r="I98" s="13" t="n"/>
      <c r="J98" s="24" t="inlineStr">
        <is>
          <t>$86,42</t>
        </is>
      </c>
      <c r="K98" s="13" t="n"/>
      <c r="L98" s="77" t="inlineStr">
        <is>
          <t>$64,02</t>
        </is>
      </c>
      <c r="M98" s="74" t="n"/>
      <c r="N98" s="26" t="n">
        <v>-0.2592</v>
      </c>
    </row>
    <row r="99">
      <c r="A99" s="78" t="n">
        <v>615</v>
      </c>
      <c r="B99" s="13" t="inlineStr">
        <is>
          <t>Contenedor Center Softclean x 350 22,5 x26,5</t>
        </is>
      </c>
      <c r="D99" s="96" t="n">
        <v>37.59</v>
      </c>
      <c r="E99" s="23">
        <f>Round(D99*1.3*1.105,-1)</f>
        <v/>
      </c>
      <c r="F99" s="23">
        <f>E99/0.9</f>
        <v/>
      </c>
      <c r="G99" s="23">
        <f>F99*1.21</f>
        <v/>
      </c>
      <c r="H99" s="23">
        <f>round(G99,0)</f>
        <v/>
      </c>
      <c r="I99" s="13" t="n"/>
      <c r="J99" s="24" t="inlineStr">
        <is>
          <t>$37,59</t>
        </is>
      </c>
      <c r="K99" s="13" t="n"/>
      <c r="L99" s="77" t="inlineStr">
        <is>
          <t>$27,84</t>
        </is>
      </c>
      <c r="M99" s="74" t="n"/>
      <c r="N99" s="26" t="n">
        <v>-0.2594</v>
      </c>
    </row>
    <row r="100">
      <c r="A100" s="78" t="n">
        <v>616</v>
      </c>
      <c r="B100" s="13" t="inlineStr">
        <is>
          <t>Rollo Mini Sofclean x 190 porciones de 22,5 x 26,5</t>
        </is>
      </c>
      <c r="D100" s="96" t="n">
        <v>18.8</v>
      </c>
      <c r="E100" s="23">
        <f>Round(D100*1.3*1.105,-1)</f>
        <v/>
      </c>
      <c r="F100" s="23">
        <f>E100/0.9</f>
        <v/>
      </c>
      <c r="G100" s="23">
        <f>F100*1.21</f>
        <v/>
      </c>
      <c r="H100" s="23">
        <f>round(G100,0)</f>
        <v/>
      </c>
      <c r="I100" s="13" t="n"/>
      <c r="J100" s="24" t="inlineStr">
        <is>
          <t>$18,80</t>
        </is>
      </c>
      <c r="K100" s="13" t="n"/>
      <c r="L100" s="77" t="inlineStr">
        <is>
          <t>$13,91</t>
        </is>
      </c>
      <c r="M100" s="74" t="n"/>
      <c r="N100" s="26" t="n">
        <v>-0.2601</v>
      </c>
    </row>
    <row r="101">
      <c r="A101" s="78" t="n">
        <v>617</v>
      </c>
      <c r="B101" s="61" t="inlineStr">
        <is>
          <t>Caja 1/4 Folded Softclean 500 30 x 30 cm Celeste</t>
        </is>
      </c>
      <c r="D101" s="99" t="n">
        <v>62.34</v>
      </c>
      <c r="E101" s="60">
        <f>Round(D101*1.3*1.105,-1)</f>
        <v/>
      </c>
      <c r="F101" s="60">
        <f>E101/0.9</f>
        <v/>
      </c>
      <c r="G101" s="60">
        <f>F101*1.21</f>
        <v/>
      </c>
      <c r="H101" s="60">
        <f>round(G101,0)</f>
        <v/>
      </c>
      <c r="I101" s="61" t="n"/>
      <c r="J101" s="62" t="inlineStr">
        <is>
          <t>$62,34</t>
        </is>
      </c>
      <c r="K101" s="61" t="n"/>
      <c r="L101" s="75" t="inlineStr">
        <is>
          <t>$46,18</t>
        </is>
      </c>
      <c r="M101" s="76" t="n"/>
      <c r="N101" s="65" t="n">
        <v>-0.2592</v>
      </c>
    </row>
    <row r="102">
      <c r="A102" s="78" t="n">
        <v>618</v>
      </c>
      <c r="B102" s="13" t="inlineStr">
        <is>
          <t>Rollo Precortado Softclean 600 porciones de 30x 26,5</t>
        </is>
      </c>
      <c r="D102" s="96" t="n">
        <v>62.34</v>
      </c>
      <c r="E102" s="23">
        <f>Round(D102*1.3*1.105,-1)</f>
        <v/>
      </c>
      <c r="F102" s="23">
        <f>E102/0.9</f>
        <v/>
      </c>
      <c r="G102" s="23">
        <f>F102*1.21</f>
        <v/>
      </c>
      <c r="H102" s="23">
        <f>round(G102,0)</f>
        <v/>
      </c>
      <c r="I102" s="13" t="n"/>
      <c r="J102" s="24" t="inlineStr">
        <is>
          <t>$62,34</t>
        </is>
      </c>
      <c r="K102" s="13" t="n"/>
      <c r="L102" s="77" t="inlineStr">
        <is>
          <t>$46,18</t>
        </is>
      </c>
      <c r="M102" s="74" t="n"/>
      <c r="N102" s="26" t="n">
        <v>-0.2592</v>
      </c>
    </row>
    <row r="103">
      <c r="A103" s="78" t="n"/>
      <c r="B103" s="13" t="n"/>
      <c r="C103" s="13" t="n"/>
      <c r="D103" s="96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74" t="n"/>
      <c r="N103" s="15" t="n"/>
    </row>
    <row r="104">
      <c r="A104" s="72" t="inlineStr">
        <is>
          <t>Linea Sontara</t>
        </is>
      </c>
      <c r="C104" s="55" t="n"/>
      <c r="D104" s="56" t="n"/>
      <c r="E104" s="13" t="n"/>
      <c r="F104" s="13" t="n"/>
      <c r="G104" s="13" t="n"/>
      <c r="H104" s="13" t="n"/>
      <c r="I104" s="13" t="n"/>
      <c r="J104" s="13" t="n"/>
      <c r="K104" s="13" t="n"/>
      <c r="L104" s="13" t="n"/>
    </row>
    <row r="105">
      <c r="A105" s="78" t="n">
        <v>604</v>
      </c>
      <c r="B105" s="13" t="inlineStr">
        <is>
          <t>Rollo precortado Maxi de 30 x38 blanco</t>
        </is>
      </c>
      <c r="D105" s="97" t="n">
        <v>121.94</v>
      </c>
      <c r="E105" s="23">
        <f>Round(D105*1.3*1.105,-1)</f>
        <v/>
      </c>
      <c r="F105" s="23">
        <f>E105/0.9</f>
        <v/>
      </c>
      <c r="G105" s="23">
        <f>F105*1.21</f>
        <v/>
      </c>
      <c r="H105" s="23">
        <f>round(G105,0)</f>
        <v/>
      </c>
      <c r="I105" s="13" t="n"/>
      <c r="J105" s="24" t="inlineStr">
        <is>
          <t>$121,94</t>
        </is>
      </c>
      <c r="K105" s="13" t="n"/>
      <c r="L105" s="73" t="inlineStr">
        <is>
          <t>$121,94</t>
        </is>
      </c>
      <c r="M105" s="74" t="n"/>
      <c r="N105" s="26" t="n">
        <v>0</v>
      </c>
    </row>
    <row r="106">
      <c r="A106" s="78" t="n">
        <v>619</v>
      </c>
      <c r="B106" s="13" t="inlineStr">
        <is>
          <t>Centerfeed Sontara Celeste 350 porc22,5 x 26,5</t>
        </is>
      </c>
      <c r="D106" s="98" t="n">
        <v>61.85</v>
      </c>
      <c r="E106" s="23">
        <f>Round(D106*1.3*1.105,-1)</f>
        <v/>
      </c>
      <c r="F106" s="23">
        <f>E106/0.9</f>
        <v/>
      </c>
      <c r="G106" s="23">
        <f>F106*1.21</f>
        <v/>
      </c>
      <c r="H106" s="23">
        <f>round(G106,0)</f>
        <v/>
      </c>
      <c r="I106" s="13" t="n"/>
      <c r="J106" s="24" t="inlineStr">
        <is>
          <t>$61,85</t>
        </is>
      </c>
      <c r="K106" s="13" t="n"/>
      <c r="L106" s="77" t="inlineStr">
        <is>
          <t>$61,85</t>
        </is>
      </c>
      <c r="M106" s="74" t="n"/>
      <c r="N106" s="26" t="n">
        <v>0</v>
      </c>
    </row>
    <row r="107">
      <c r="A107" s="78" t="n">
        <v>620</v>
      </c>
      <c r="B107" s="13" t="inlineStr">
        <is>
          <t>Rollo prec Sontara por 600 porc 30 x26,5 celeste</t>
        </is>
      </c>
      <c r="D107" s="98" t="n">
        <v>116.54</v>
      </c>
      <c r="E107" s="23">
        <f>Round(D107*1.3*1.105,-1)</f>
        <v/>
      </c>
      <c r="F107" s="23">
        <f>E107/0.9</f>
        <v/>
      </c>
      <c r="G107" s="23">
        <f>F107*1.21</f>
        <v/>
      </c>
      <c r="H107" s="23">
        <f>round(G107,0)</f>
        <v/>
      </c>
      <c r="I107" s="13" t="n"/>
      <c r="J107" s="24" t="inlineStr">
        <is>
          <t>$116,54</t>
        </is>
      </c>
      <c r="K107" s="13" t="n"/>
      <c r="L107" s="77" t="inlineStr">
        <is>
          <t>$116,54</t>
        </is>
      </c>
      <c r="M107" s="74" t="n"/>
      <c r="N107" s="26" t="n">
        <v>0</v>
      </c>
    </row>
    <row r="108">
      <c r="A108" s="78" t="n">
        <v>621</v>
      </c>
      <c r="B108" s="13" t="inlineStr">
        <is>
          <t>Rollo Sontara Mini x 190 porc 22,5 x26,5 celeste</t>
        </is>
      </c>
      <c r="D108" s="98" t="n">
        <v>28.1</v>
      </c>
      <c r="E108" s="23">
        <f>Round(D108*1.3*1.105,-1)</f>
        <v/>
      </c>
      <c r="F108" s="23">
        <f>E108/0.9</f>
        <v/>
      </c>
      <c r="G108" s="23">
        <f>F108*1.21</f>
        <v/>
      </c>
      <c r="H108" s="23">
        <f>round(G108,0)</f>
        <v/>
      </c>
      <c r="I108" s="13" t="n"/>
      <c r="J108" s="24" t="inlineStr">
        <is>
          <t>$28,10</t>
        </is>
      </c>
      <c r="K108" s="13" t="n"/>
      <c r="L108" s="77" t="inlineStr">
        <is>
          <t>$28,10</t>
        </is>
      </c>
      <c r="M108" s="74" t="n"/>
      <c r="N108" s="26" t="n">
        <v>0</v>
      </c>
    </row>
    <row r="109">
      <c r="A109" s="78" t="n">
        <v>627</v>
      </c>
      <c r="B109" s="13" t="inlineStr">
        <is>
          <t>SMP 300 Paños de 22,5 cm x 22,5 cm</t>
        </is>
      </c>
      <c r="D109" s="98" t="n">
        <v>74.22</v>
      </c>
      <c r="E109" s="23">
        <f>Round(D109*1.3*1.105,-1)</f>
        <v/>
      </c>
      <c r="F109" s="23">
        <f>E109/0.9</f>
        <v/>
      </c>
      <c r="G109" s="23">
        <f>F109*1.21</f>
        <v/>
      </c>
      <c r="H109" s="23">
        <f>round(G109,0)</f>
        <v/>
      </c>
      <c r="I109" s="13" t="n"/>
      <c r="J109" s="24" t="inlineStr">
        <is>
          <t>$74,22</t>
        </is>
      </c>
      <c r="K109" s="13" t="n"/>
      <c r="L109" s="77" t="inlineStr">
        <is>
          <t>$74,22</t>
        </is>
      </c>
      <c r="M109" s="74" t="n"/>
      <c r="N109" s="26" t="n">
        <v>0</v>
      </c>
    </row>
    <row r="110">
      <c r="A110" s="80" t="n">
        <v>645</v>
      </c>
      <c r="B110" s="84" t="inlineStr">
        <is>
          <t>Caja por 500Paños Sontara de 30 x 30 cm celeste</t>
        </is>
      </c>
      <c r="D110" s="98" t="n">
        <v>124.98</v>
      </c>
      <c r="E110" s="23">
        <f>Round(D110*1.3*1.105,-1)</f>
        <v/>
      </c>
      <c r="F110" s="23">
        <f>E110/0.9</f>
        <v/>
      </c>
      <c r="G110" s="23">
        <f>F110*1.21</f>
        <v/>
      </c>
      <c r="H110" s="23">
        <f>round(G110,0)</f>
        <v/>
      </c>
      <c r="I110" s="13" t="n"/>
      <c r="J110" s="24" t="inlineStr">
        <is>
          <t>$124,98</t>
        </is>
      </c>
      <c r="K110" s="13" t="n"/>
      <c r="L110" s="77" t="inlineStr">
        <is>
          <t>$81,63</t>
        </is>
      </c>
      <c r="M110" s="82" t="n"/>
      <c r="N110" s="83" t="n">
        <v>-0.3469</v>
      </c>
    </row>
    <row r="111">
      <c r="A111" s="78" t="n">
        <v>656</v>
      </c>
      <c r="B111" s="84" t="inlineStr">
        <is>
          <t>Caja por 400 Paños Sontara de 30 x 30 cm Blancos</t>
        </is>
      </c>
      <c r="D111" s="98" t="n">
        <v>79</v>
      </c>
      <c r="E111" s="23">
        <f>Round(D111*1.3*1.105,-1)</f>
        <v/>
      </c>
      <c r="F111" s="23">
        <f>E111/0.9</f>
        <v/>
      </c>
      <c r="G111" s="23">
        <f>F111*1.21</f>
        <v/>
      </c>
      <c r="H111" s="23">
        <f>round(G111,0)</f>
        <v/>
      </c>
      <c r="I111" s="13" t="n"/>
      <c r="J111" s="24" t="inlineStr">
        <is>
          <t>$79,00</t>
        </is>
      </c>
      <c r="K111" s="13" t="n"/>
      <c r="L111" s="77" t="inlineStr">
        <is>
          <t>$79,00</t>
        </is>
      </c>
      <c r="M111" s="74" t="n"/>
      <c r="N111" s="83" t="n">
        <v>0</v>
      </c>
    </row>
    <row r="112">
      <c r="A112" s="13" t="n"/>
      <c r="B112" s="84" t="n"/>
      <c r="C112" s="84" t="n"/>
      <c r="D112" s="10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5" t="n"/>
      <c r="N112" s="85" t="n"/>
    </row>
    <row r="113">
      <c r="A113" s="13" t="n"/>
      <c r="B113" s="84" t="n"/>
      <c r="C113" s="13" t="n"/>
      <c r="D113" s="10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5" t="n"/>
      <c r="N113" s="85" t="n"/>
    </row>
    <row r="114">
      <c r="D114" s="87" t="n"/>
    </row>
    <row r="115">
      <c r="D115" s="87" t="n"/>
    </row>
    <row r="116">
      <c r="A116" s="16" t="inlineStr">
        <is>
          <t>TOALLAS</t>
        </is>
      </c>
      <c r="D116" s="87" t="n"/>
    </row>
    <row r="117">
      <c r="B117" s="13" t="inlineStr">
        <is>
          <t>Toallas Blancas Super 21x25</t>
        </is>
      </c>
      <c r="C117" s="13" t="n"/>
      <c r="D117" s="87" t="n">
        <v>22900</v>
      </c>
    </row>
    <row r="118">
      <c r="B118" s="13" t="inlineStr">
        <is>
          <t>Toallas Blancas Pura Simple</t>
        </is>
      </c>
      <c r="C118" s="13" t="n"/>
      <c r="D118" s="87" t="n">
        <v>25400</v>
      </c>
    </row>
    <row r="119">
      <c r="B119" s="13" t="inlineStr">
        <is>
          <t>Toallas Blancas Pura Doble</t>
        </is>
      </c>
      <c r="C119" s="13" t="n"/>
      <c r="D119" s="87" t="n">
        <v>31500</v>
      </c>
    </row>
    <row r="120">
      <c r="B120" s="13" t="inlineStr">
        <is>
          <t>Toalla Blanca Unitas (17,5x25 cm)</t>
        </is>
      </c>
      <c r="D120" s="87" t="n">
        <v>17500</v>
      </c>
    </row>
    <row r="121">
      <c r="B121" s="13" t="inlineStr">
        <is>
          <t>Toalla Blanca Especial 21 x 25 ( tiza )</t>
        </is>
      </c>
      <c r="D121" s="87" t="n">
        <v>21400</v>
      </c>
    </row>
    <row r="122">
      <c r="B122" s="13" t="inlineStr">
        <is>
          <t>Toalla Blanca Especial 21 x 37 ( tiza )</t>
        </is>
      </c>
      <c r="D122" s="87" t="n">
        <v>29200</v>
      </c>
    </row>
    <row r="123">
      <c r="B123" s="13" t="inlineStr">
        <is>
          <t>Toalla Blanca Especial 17,5 x 25 ( tiza ) Unita</t>
        </is>
      </c>
      <c r="D123" s="87" t="n">
        <v>16800</v>
      </c>
    </row>
    <row r="124">
      <c r="B124" s="13" t="inlineStr">
        <is>
          <t>Cajas x 2500 Toallas Beige 21x37</t>
        </is>
      </c>
      <c r="D124" s="87" t="n">
        <v>24800</v>
      </c>
    </row>
    <row r="125">
      <c r="B125" s="13" t="inlineStr">
        <is>
          <t>Toalla Blanca Super 21x37 cm</t>
        </is>
      </c>
      <c r="C125" s="13" t="n"/>
      <c r="D125" s="87" t="n">
        <v>31600</v>
      </c>
    </row>
    <row r="126">
      <c r="B126" s="13" t="inlineStr">
        <is>
          <t>Caja x 2500 Toallas Beige Unitas 17,5 cm x 25 cm</t>
        </is>
      </c>
      <c r="D126" s="87" t="n">
        <v>15400</v>
      </c>
    </row>
    <row r="127">
      <c r="B127" s="13" t="inlineStr">
        <is>
          <t>Caja x 2500 Toallas Beige 21 cm x 25 cm simple hoja</t>
        </is>
      </c>
      <c r="D127" s="87" t="n">
        <v>17600</v>
      </c>
    </row>
    <row r="128">
      <c r="D128" s="87" t="n"/>
    </row>
    <row r="129">
      <c r="A129" s="16" t="inlineStr">
        <is>
          <t>TOALLAS EN ROLLO</t>
        </is>
      </c>
      <c r="B129" s="271" t="n"/>
      <c r="D129" s="87" t="n"/>
    </row>
    <row r="130">
      <c r="D130" s="87" t="n"/>
    </row>
    <row r="131">
      <c r="B131" s="15" t="inlineStr">
        <is>
          <t>Pack x 6 Rollos de Toallas x 200 mts. Blanca</t>
        </is>
      </c>
      <c r="D131" s="87" t="n">
        <v>34600</v>
      </c>
    </row>
    <row r="132">
      <c r="B132" s="13" t="inlineStr">
        <is>
          <t>Recarga Original P/Dispenser Celmatic 2500 U. Dobles</t>
        </is>
      </c>
      <c r="D132" s="87" t="n">
        <v>44100</v>
      </c>
    </row>
    <row r="133">
      <c r="B133" s="13" t="inlineStr">
        <is>
          <t>Pack x 4 Recarga Celmatic Due 2400 U. Dobles</t>
        </is>
      </c>
      <c r="D133" s="87" t="n">
        <v>34900</v>
      </c>
    </row>
    <row r="134">
      <c r="B134" s="13" t="inlineStr">
        <is>
          <t>Pack X 2 Rollos de toalla x 300 mts Blanca</t>
        </is>
      </c>
      <c r="D134" s="87" t="n">
        <v>16900</v>
      </c>
    </row>
    <row r="135">
      <c r="B135" s="13" t="inlineStr">
        <is>
          <t>Pack X 2 Rollos de toalla x 240 mts Blanca</t>
        </is>
      </c>
      <c r="D135" s="87" t="n">
        <v>13500</v>
      </c>
    </row>
    <row r="136">
      <c r="D136" s="87" t="n"/>
    </row>
    <row r="137">
      <c r="A137" s="59" t="inlineStr">
        <is>
          <t>PAPEL HIGIENICO</t>
        </is>
      </c>
      <c r="B137" s="271" t="n"/>
      <c r="C137" s="13" t="n"/>
      <c r="D137" s="87" t="n"/>
    </row>
    <row r="138">
      <c r="A138" s="9" t="n"/>
      <c r="B138" s="13" t="n"/>
      <c r="C138" s="13" t="n"/>
      <c r="D138" s="87" t="n"/>
    </row>
    <row r="139">
      <c r="A139" s="38" t="n"/>
      <c r="B139" s="15" t="inlineStr">
        <is>
          <t>Pack x18 Rollos Higienico Racional D/H x 60 mts</t>
        </is>
      </c>
      <c r="D139" s="87" t="n">
        <v>24800</v>
      </c>
    </row>
    <row r="140">
      <c r="A140" s="38" t="n"/>
      <c r="B140" s="15" t="inlineStr">
        <is>
          <t>Pack x 4 Rollos Higienico Racional x 500 mts Buje 7,5</t>
        </is>
      </c>
      <c r="D140" s="87" t="n">
        <v>19200</v>
      </c>
    </row>
    <row r="141">
      <c r="A141" s="88" t="n"/>
      <c r="B141" s="15" t="inlineStr">
        <is>
          <t>Pack x 18 rollos Papel Higienico Racional x 122 mts</t>
        </is>
      </c>
      <c r="D141" s="87" t="n">
        <v>23600</v>
      </c>
    </row>
    <row r="142">
      <c r="A142" s="38" t="n"/>
      <c r="B142" s="15" t="inlineStr">
        <is>
          <t>Pack x 8 rollos Higienico Racional x 265 mts buje 7,5</t>
        </is>
      </c>
      <c r="D142" s="87" t="n">
        <v>21700</v>
      </c>
    </row>
    <row r="143">
      <c r="A143" s="38" t="n"/>
      <c r="B143" s="15" t="inlineStr">
        <is>
          <t>Pack x 8 Rollos Papel Higienico Racional x 300 mts</t>
        </is>
      </c>
      <c r="D143" s="87" t="n">
        <v>24700</v>
      </c>
    </row>
    <row r="144">
      <c r="A144" s="21" t="n"/>
      <c r="B144" s="13" t="inlineStr">
        <is>
          <t>Pack x 8 Rollos Papel Higienico x 260 mts Buje4,5</t>
        </is>
      </c>
      <c r="D144" s="87" t="n">
        <v>21000</v>
      </c>
    </row>
    <row r="145">
      <c r="A145" s="21" t="n"/>
      <c r="B145" s="13" t="inlineStr">
        <is>
          <t>Papel Higiénico 20 x 14,5 8000 h. 4000 usos</t>
        </is>
      </c>
      <c r="D145" s="87" t="n">
        <v>32500</v>
      </c>
    </row>
    <row r="146">
      <c r="A146" s="21" t="n"/>
      <c r="B146" s="13" t="inlineStr">
        <is>
          <t>Papel Higienico UNITAS(18x14,5cm) 8000 h/4000 usos</t>
        </is>
      </c>
      <c r="D146" s="87" t="n">
        <v>26100</v>
      </c>
    </row>
    <row r="147">
      <c r="D147" s="87" t="n"/>
    </row>
    <row r="148">
      <c r="A148" s="43" t="inlineStr">
        <is>
          <t>SERVILLETAS LAMINADAS</t>
        </is>
      </c>
      <c r="B148" s="272" t="n"/>
      <c r="C148" s="13" t="n"/>
      <c r="D148" s="23" t="n"/>
      <c r="E148" s="13" t="n"/>
    </row>
    <row r="149">
      <c r="A149" s="21" t="n"/>
      <c r="B149" s="13" t="n"/>
      <c r="C149" s="13" t="n"/>
      <c r="D149" s="23" t="n"/>
      <c r="E149" s="13" t="n"/>
    </row>
    <row r="150">
      <c r="A150" s="45" t="n"/>
      <c r="B150" s="47" t="inlineStr">
        <is>
          <t>CAJA POR 1600 SERV LAMINADAS DE 40 X40 CM</t>
        </is>
      </c>
      <c r="C150" s="47" t="n"/>
      <c r="D150" s="87" t="n">
        <v>126300</v>
      </c>
      <c r="E150" s="24" t="n"/>
    </row>
    <row r="151">
      <c r="A151" s="49" t="n"/>
      <c r="B151" s="51" t="inlineStr">
        <is>
          <t>CAJA POR 1600 SERV ECOLOGICAS LAM DE 40 X40</t>
        </is>
      </c>
      <c r="C151" s="51" t="n"/>
      <c r="D151" s="87" t="n">
        <v>126300</v>
      </c>
      <c r="E151" s="24" t="n"/>
    </row>
    <row r="152">
      <c r="D152" s="87" t="n"/>
    </row>
    <row r="153">
      <c r="A153" s="16" t="inlineStr">
        <is>
          <t>LIMPIEZA INDUSTRIAL</t>
        </is>
      </c>
      <c r="B153" s="271" t="n"/>
      <c r="C153" s="13" t="n"/>
      <c r="D153" s="23" t="n"/>
      <c r="E153" s="13" t="n"/>
    </row>
    <row r="154">
      <c r="A154" s="28" t="n"/>
      <c r="B154" s="13" t="n"/>
      <c r="C154" s="13" t="n"/>
      <c r="D154" s="23" t="n"/>
      <c r="E154" s="13" t="n"/>
    </row>
    <row r="155">
      <c r="A155" s="38" t="n"/>
      <c r="B155" s="15" t="inlineStr">
        <is>
          <t>Pack x 6 bobinas 22,5 cm x 300 porciones</t>
        </is>
      </c>
      <c r="D155" s="87" t="n">
        <v>33800</v>
      </c>
      <c r="E155" s="89" t="n"/>
    </row>
    <row r="156">
      <c r="A156" s="38" t="n"/>
      <c r="B156" s="15" t="inlineStr">
        <is>
          <t>Pack x 2 bobinas papel original 22,5 cm x 270 mts</t>
        </is>
      </c>
      <c r="D156" s="87" t="n">
        <v>26400</v>
      </c>
      <c r="E156" s="89" t="n"/>
    </row>
    <row r="157">
      <c r="A157" s="38" t="n"/>
      <c r="B157" s="15" t="inlineStr">
        <is>
          <t>Pack x 2 bobinas Papel Original 900 hjs/360 mts.</t>
        </is>
      </c>
      <c r="D157" s="87" t="n">
        <v>38600</v>
      </c>
      <c r="E157" s="89" t="n"/>
    </row>
    <row r="158">
      <c r="A158" s="38" t="n"/>
      <c r="B158" s="15" t="inlineStr">
        <is>
          <t>Pack x 4 Rollos 600 porc 25x25 Rep Tambo</t>
        </is>
      </c>
      <c r="D158" s="87" t="n">
        <v>40300</v>
      </c>
      <c r="E158" s="89" t="n"/>
    </row>
    <row r="159">
      <c r="D159" s="87" t="n"/>
    </row>
    <row r="160">
      <c r="D160" s="87" t="n"/>
    </row>
    <row r="161">
      <c r="D161" s="87" t="n"/>
    </row>
    <row r="162">
      <c r="D162" s="87" t="n"/>
    </row>
    <row r="163">
      <c r="D163" s="87" t="n"/>
    </row>
    <row r="164">
      <c r="D164" s="87" t="n"/>
    </row>
    <row r="165">
      <c r="A165" s="91" t="inlineStr">
        <is>
          <t>Código</t>
        </is>
      </c>
      <c r="B165" s="91" t="inlineStr">
        <is>
          <t>Artículo</t>
        </is>
      </c>
      <c r="C165" s="91" t="n"/>
      <c r="D165" s="92" t="n"/>
      <c r="E165" s="91" t="inlineStr">
        <is>
          <t>Precio Mayor</t>
        </is>
      </c>
    </row>
    <row r="166">
      <c r="A166" s="21" t="n">
        <v>901</v>
      </c>
      <c r="B166" s="13" t="inlineStr">
        <is>
          <t>Toallas Blancas Super 21x25</t>
        </is>
      </c>
      <c r="C166" s="13" t="n"/>
      <c r="D166" s="87" t="n"/>
      <c r="E166" s="23" t="n">
        <v>22900</v>
      </c>
    </row>
    <row r="167">
      <c r="A167" s="21" t="n">
        <v>902</v>
      </c>
      <c r="B167" s="13" t="inlineStr">
        <is>
          <t>Toallas Blancas Pura Simple</t>
        </is>
      </c>
      <c r="C167" s="13" t="n"/>
      <c r="D167" s="87" t="n"/>
      <c r="E167" s="23" t="n">
        <v>25400</v>
      </c>
    </row>
    <row r="168">
      <c r="A168" s="21" t="n">
        <v>903</v>
      </c>
      <c r="B168" s="13" t="inlineStr">
        <is>
          <t>Toallas Blancas Pura Doble</t>
        </is>
      </c>
      <c r="C168" s="13" t="n"/>
      <c r="D168" s="87" t="n"/>
      <c r="E168" s="23" t="n">
        <v>31500</v>
      </c>
    </row>
    <row r="169">
      <c r="A169" s="21" t="n">
        <v>914</v>
      </c>
      <c r="B169" s="13" t="inlineStr">
        <is>
          <t>Toalla Blanca Unitas (17,5x25 cm)</t>
        </is>
      </c>
      <c r="D169" s="87" t="n"/>
      <c r="E169" s="23" t="n">
        <v>17500</v>
      </c>
    </row>
    <row r="170">
      <c r="A170" s="21" t="n">
        <v>916</v>
      </c>
      <c r="B170" s="13" t="inlineStr">
        <is>
          <t>Toalla Blanca Especial 21 x 25 ( tiza )</t>
        </is>
      </c>
      <c r="D170" s="87" t="n"/>
      <c r="E170" s="23" t="n">
        <v>21400</v>
      </c>
    </row>
    <row r="171">
      <c r="A171" s="21" t="n">
        <v>920</v>
      </c>
      <c r="B171" s="13" t="inlineStr">
        <is>
          <t>Toalla Blanca Especial 21 x 37 ( tiza )</t>
        </is>
      </c>
      <c r="D171" s="87" t="n"/>
      <c r="E171" s="23" t="n">
        <v>29200</v>
      </c>
    </row>
    <row r="172">
      <c r="A172" s="21" t="n">
        <v>927</v>
      </c>
      <c r="B172" s="13" t="inlineStr">
        <is>
          <t>Toalla Blanca Especial 17,5 x 25 ( tiza ) Unita</t>
        </is>
      </c>
      <c r="D172" s="87" t="n"/>
      <c r="E172" s="23" t="n">
        <v>16800</v>
      </c>
    </row>
    <row r="173">
      <c r="A173" s="21" t="n">
        <v>928</v>
      </c>
      <c r="B173" s="13" t="inlineStr">
        <is>
          <t>Cajas x 2500 Toallas Beige 21x37</t>
        </is>
      </c>
      <c r="D173" s="87" t="n"/>
      <c r="E173" s="23" t="n">
        <v>24800</v>
      </c>
    </row>
    <row r="174">
      <c r="A174" s="21" t="n">
        <v>930</v>
      </c>
      <c r="B174" s="13" t="inlineStr">
        <is>
          <t>Toalla Blanca Super 21x37 cm</t>
        </is>
      </c>
      <c r="C174" s="13" t="n"/>
      <c r="D174" s="87" t="n"/>
      <c r="E174" s="23" t="n">
        <v>31600</v>
      </c>
    </row>
    <row r="175">
      <c r="A175" s="21" t="n">
        <v>931</v>
      </c>
      <c r="B175" s="13" t="inlineStr">
        <is>
          <t>Caja x 2500 Toallas Beige Unitas 17,5 cm x 25 cm</t>
        </is>
      </c>
      <c r="D175" s="87" t="n"/>
      <c r="E175" s="23" t="n">
        <v>15400</v>
      </c>
    </row>
    <row r="176">
      <c r="A176" s="21" t="n">
        <v>932</v>
      </c>
      <c r="B176" s="13" t="inlineStr">
        <is>
          <t>Caja x 2500 Toallas Beige 21 cm x 25 cm simple hoja</t>
        </is>
      </c>
      <c r="D176" s="87" t="n"/>
      <c r="E176" s="23" t="n">
        <v>17600</v>
      </c>
    </row>
    <row r="177">
      <c r="D177" s="87" t="n"/>
    </row>
    <row r="178">
      <c r="A178" s="100" t="inlineStr">
        <is>
          <t xml:space="preserve">Los valores son más IVA. </t>
        </is>
      </c>
      <c r="D178" s="87" t="n"/>
    </row>
    <row r="179">
      <c r="A179" s="100" t="inlineStr">
        <is>
          <t>Entrega en CABA</t>
        </is>
      </c>
      <c r="D179" s="87" t="n"/>
    </row>
    <row r="180">
      <c r="D180" s="87" t="n"/>
    </row>
    <row r="181">
      <c r="D181" s="87" t="n"/>
    </row>
    <row r="182">
      <c r="D182" s="87" t="n"/>
    </row>
    <row r="183">
      <c r="D183" s="87" t="n"/>
    </row>
    <row r="184">
      <c r="D184" s="87" t="n"/>
    </row>
    <row r="185">
      <c r="D185" s="87" t="n"/>
    </row>
    <row r="186">
      <c r="D186" s="87" t="n"/>
    </row>
    <row r="187">
      <c r="D187" s="87" t="n"/>
    </row>
    <row r="188">
      <c r="D188" s="87" t="n"/>
    </row>
    <row r="189">
      <c r="D189" s="87" t="n"/>
    </row>
    <row r="190">
      <c r="D190" s="87" t="n"/>
    </row>
    <row r="191">
      <c r="D191" s="87" t="n"/>
    </row>
    <row r="192">
      <c r="D192" s="87" t="n"/>
    </row>
    <row r="193">
      <c r="D193" s="87" t="n"/>
    </row>
    <row r="194">
      <c r="D194" s="87" t="n"/>
    </row>
    <row r="195">
      <c r="D195" s="87" t="n"/>
    </row>
    <row r="196">
      <c r="D196" s="87" t="n"/>
    </row>
    <row r="197">
      <c r="D197" s="87" t="n"/>
    </row>
    <row r="198">
      <c r="D198" s="87" t="n"/>
    </row>
    <row r="199">
      <c r="D199" s="87" t="n"/>
    </row>
    <row r="200">
      <c r="D200" s="87" t="n"/>
    </row>
    <row r="201">
      <c r="D201" s="87" t="n"/>
    </row>
    <row r="202">
      <c r="D202" s="87" t="n"/>
    </row>
    <row r="203">
      <c r="D203" s="87" t="n"/>
    </row>
    <row r="204">
      <c r="D204" s="87" t="n"/>
    </row>
    <row r="205">
      <c r="D205" s="87" t="n"/>
    </row>
    <row r="206">
      <c r="D206" s="87" t="n"/>
    </row>
    <row r="207">
      <c r="D207" s="87" t="n"/>
    </row>
    <row r="208">
      <c r="D208" s="87" t="n"/>
    </row>
    <row r="209">
      <c r="D209" s="87" t="n"/>
    </row>
    <row r="210">
      <c r="D210" s="87" t="n"/>
    </row>
    <row r="211">
      <c r="D211" s="87" t="n"/>
    </row>
    <row r="212">
      <c r="D212" s="87" t="n"/>
    </row>
    <row r="213">
      <c r="D213" s="87" t="n"/>
    </row>
    <row r="214">
      <c r="D214" s="87" t="n"/>
    </row>
    <row r="215">
      <c r="D215" s="87" t="n"/>
    </row>
    <row r="216">
      <c r="D216" s="87" t="n"/>
    </row>
    <row r="217">
      <c r="D217" s="87" t="n"/>
    </row>
    <row r="218">
      <c r="D218" s="87" t="n"/>
    </row>
    <row r="219">
      <c r="D219" s="87" t="n"/>
    </row>
    <row r="220">
      <c r="D220" s="87" t="n"/>
    </row>
    <row r="221">
      <c r="D221" s="87" t="n"/>
    </row>
    <row r="222">
      <c r="D222" s="87" t="n"/>
    </row>
    <row r="223">
      <c r="D223" s="87" t="n"/>
    </row>
    <row r="224">
      <c r="D224" s="87" t="n"/>
    </row>
    <row r="225">
      <c r="D225" s="87" t="n"/>
    </row>
    <row r="226">
      <c r="D226" s="87" t="n"/>
    </row>
    <row r="227">
      <c r="D227" s="87" t="n"/>
    </row>
    <row r="228">
      <c r="D228" s="87" t="n"/>
    </row>
    <row r="229">
      <c r="D229" s="87" t="n"/>
    </row>
    <row r="230">
      <c r="D230" s="87" t="n"/>
    </row>
    <row r="231">
      <c r="D231" s="87" t="n"/>
    </row>
    <row r="232">
      <c r="D232" s="87" t="n"/>
    </row>
    <row r="233">
      <c r="D233" s="87" t="n"/>
    </row>
    <row r="234">
      <c r="D234" s="87" t="n"/>
    </row>
    <row r="235">
      <c r="D235" s="87" t="n"/>
    </row>
    <row r="236">
      <c r="D236" s="87" t="n"/>
    </row>
    <row r="237">
      <c r="D237" s="87" t="n"/>
    </row>
    <row r="238">
      <c r="D238" s="87" t="n"/>
    </row>
    <row r="239">
      <c r="D239" s="87" t="n"/>
    </row>
    <row r="240">
      <c r="D240" s="87" t="n"/>
    </row>
    <row r="241">
      <c r="D241" s="87" t="n"/>
    </row>
    <row r="242">
      <c r="D242" s="87" t="n"/>
    </row>
    <row r="243">
      <c r="D243" s="87" t="n"/>
    </row>
    <row r="244">
      <c r="D244" s="87" t="n"/>
    </row>
    <row r="245">
      <c r="D245" s="87" t="n"/>
    </row>
    <row r="246">
      <c r="D246" s="87" t="n"/>
    </row>
    <row r="247">
      <c r="D247" s="87" t="n"/>
    </row>
    <row r="248">
      <c r="D248" s="87" t="n"/>
    </row>
    <row r="249">
      <c r="D249" s="87" t="n"/>
    </row>
    <row r="250">
      <c r="D250" s="87" t="n"/>
    </row>
    <row r="251">
      <c r="D251" s="87" t="n"/>
    </row>
    <row r="252">
      <c r="D252" s="87" t="n"/>
    </row>
    <row r="253">
      <c r="D253" s="87" t="n"/>
    </row>
    <row r="254">
      <c r="D254" s="87" t="n"/>
    </row>
    <row r="255">
      <c r="D255" s="87" t="n"/>
    </row>
    <row r="256">
      <c r="D256" s="87" t="n"/>
    </row>
    <row r="257">
      <c r="D257" s="87" t="n"/>
    </row>
    <row r="258">
      <c r="D258" s="87" t="n"/>
    </row>
    <row r="259">
      <c r="D259" s="87" t="n"/>
    </row>
    <row r="260">
      <c r="D260" s="87" t="n"/>
    </row>
    <row r="261">
      <c r="D261" s="87" t="n"/>
    </row>
    <row r="262">
      <c r="D262" s="87" t="n"/>
    </row>
    <row r="263">
      <c r="D263" s="87" t="n"/>
    </row>
    <row r="264">
      <c r="D264" s="87" t="n"/>
    </row>
    <row r="265">
      <c r="D265" s="87" t="n"/>
    </row>
    <row r="266">
      <c r="D266" s="87" t="n"/>
    </row>
    <row r="267">
      <c r="D267" s="87" t="n"/>
    </row>
    <row r="268">
      <c r="D268" s="87" t="n"/>
    </row>
    <row r="269">
      <c r="D269" s="87" t="n"/>
    </row>
    <row r="270">
      <c r="D270" s="87" t="n"/>
    </row>
    <row r="271">
      <c r="D271" s="87" t="n"/>
    </row>
    <row r="272">
      <c r="D272" s="87" t="n"/>
    </row>
    <row r="273">
      <c r="D273" s="87" t="n"/>
    </row>
    <row r="274">
      <c r="D274" s="87" t="n"/>
    </row>
    <row r="275">
      <c r="D275" s="87" t="n"/>
    </row>
    <row r="276">
      <c r="D276" s="87" t="n"/>
    </row>
    <row r="277">
      <c r="D277" s="87" t="n"/>
    </row>
    <row r="278">
      <c r="D278" s="87" t="n"/>
    </row>
    <row r="279">
      <c r="D279" s="87" t="n"/>
    </row>
    <row r="280">
      <c r="D280" s="87" t="n"/>
    </row>
    <row r="281">
      <c r="D281" s="87" t="n"/>
    </row>
    <row r="282">
      <c r="D282" s="87" t="n"/>
    </row>
    <row r="283">
      <c r="D283" s="87" t="n"/>
    </row>
    <row r="284">
      <c r="D284" s="87" t="n"/>
    </row>
    <row r="285">
      <c r="D285" s="87" t="n"/>
    </row>
    <row r="286">
      <c r="D286" s="87" t="n"/>
    </row>
    <row r="287">
      <c r="D287" s="87" t="n"/>
    </row>
    <row r="288">
      <c r="D288" s="87" t="n"/>
    </row>
    <row r="289">
      <c r="D289" s="87" t="n"/>
    </row>
    <row r="290">
      <c r="D290" s="87" t="n"/>
    </row>
    <row r="291">
      <c r="D291" s="87" t="n"/>
    </row>
    <row r="292">
      <c r="D292" s="87" t="n"/>
    </row>
    <row r="293">
      <c r="D293" s="87" t="n"/>
    </row>
    <row r="294">
      <c r="D294" s="87" t="n"/>
    </row>
    <row r="295">
      <c r="D295" s="87" t="n"/>
    </row>
    <row r="296">
      <c r="D296" s="87" t="n"/>
    </row>
    <row r="297">
      <c r="D297" s="87" t="n"/>
    </row>
    <row r="298">
      <c r="D298" s="87" t="n"/>
    </row>
    <row r="299">
      <c r="D299" s="87" t="n"/>
    </row>
    <row r="300">
      <c r="D300" s="87" t="n"/>
    </row>
    <row r="301">
      <c r="D301" s="87" t="n"/>
    </row>
    <row r="302">
      <c r="D302" s="87" t="n"/>
    </row>
    <row r="303">
      <c r="D303" s="87" t="n"/>
    </row>
    <row r="304">
      <c r="D304" s="87" t="n"/>
    </row>
    <row r="305">
      <c r="D305" s="87" t="n"/>
    </row>
    <row r="306">
      <c r="D306" s="87" t="n"/>
    </row>
    <row r="307">
      <c r="D307" s="87" t="n"/>
    </row>
    <row r="308">
      <c r="D308" s="87" t="n"/>
    </row>
    <row r="309">
      <c r="D309" s="87" t="n"/>
    </row>
    <row r="310">
      <c r="D310" s="87" t="n"/>
    </row>
    <row r="311">
      <c r="D311" s="87" t="n"/>
    </row>
    <row r="312">
      <c r="D312" s="87" t="n"/>
    </row>
    <row r="313">
      <c r="D313" s="87" t="n"/>
    </row>
    <row r="314">
      <c r="D314" s="87" t="n"/>
    </row>
    <row r="315">
      <c r="D315" s="87" t="n"/>
    </row>
    <row r="316">
      <c r="D316" s="87" t="n"/>
    </row>
    <row r="317">
      <c r="D317" s="87" t="n"/>
    </row>
    <row r="318">
      <c r="D318" s="87" t="n"/>
    </row>
    <row r="319">
      <c r="D319" s="87" t="n"/>
    </row>
    <row r="320">
      <c r="D320" s="87" t="n"/>
    </row>
    <row r="321">
      <c r="D321" s="87" t="n"/>
    </row>
    <row r="322">
      <c r="D322" s="87" t="n"/>
    </row>
    <row r="323">
      <c r="D323" s="87" t="n"/>
    </row>
    <row r="324">
      <c r="D324" s="87" t="n"/>
    </row>
    <row r="325">
      <c r="D325" s="87" t="n"/>
    </row>
    <row r="326">
      <c r="D326" s="87" t="n"/>
    </row>
    <row r="327">
      <c r="D327" s="87" t="n"/>
    </row>
    <row r="328">
      <c r="D328" s="87" t="n"/>
    </row>
    <row r="329">
      <c r="D329" s="87" t="n"/>
    </row>
    <row r="330">
      <c r="D330" s="87" t="n"/>
    </row>
    <row r="331">
      <c r="D331" s="87" t="n"/>
    </row>
    <row r="332">
      <c r="D332" s="87" t="n"/>
    </row>
    <row r="333">
      <c r="D333" s="87" t="n"/>
    </row>
    <row r="334">
      <c r="D334" s="87" t="n"/>
    </row>
    <row r="335">
      <c r="D335" s="87" t="n"/>
    </row>
    <row r="336">
      <c r="D336" s="87" t="n"/>
    </row>
    <row r="337">
      <c r="D337" s="87" t="n"/>
    </row>
    <row r="338">
      <c r="D338" s="87" t="n"/>
    </row>
    <row r="339">
      <c r="D339" s="87" t="n"/>
    </row>
    <row r="340">
      <c r="D340" s="87" t="n"/>
    </row>
    <row r="341">
      <c r="D341" s="87" t="n"/>
    </row>
    <row r="342">
      <c r="D342" s="87" t="n"/>
    </row>
    <row r="343">
      <c r="D343" s="87" t="n"/>
    </row>
    <row r="344">
      <c r="D344" s="87" t="n"/>
    </row>
    <row r="345">
      <c r="D345" s="87" t="n"/>
    </row>
    <row r="346">
      <c r="D346" s="87" t="n"/>
    </row>
    <row r="347">
      <c r="D347" s="87" t="n"/>
    </row>
    <row r="348">
      <c r="D348" s="87" t="n"/>
    </row>
    <row r="349">
      <c r="D349" s="87" t="n"/>
    </row>
    <row r="350">
      <c r="D350" s="87" t="n"/>
    </row>
    <row r="351">
      <c r="D351" s="87" t="n"/>
    </row>
    <row r="352">
      <c r="D352" s="87" t="n"/>
    </row>
    <row r="353">
      <c r="D353" s="87" t="n"/>
    </row>
    <row r="354">
      <c r="D354" s="87" t="n"/>
    </row>
    <row r="355">
      <c r="D355" s="87" t="n"/>
    </row>
    <row r="356">
      <c r="D356" s="87" t="n"/>
    </row>
    <row r="357">
      <c r="D357" s="87" t="n"/>
    </row>
    <row r="358">
      <c r="D358" s="87" t="n"/>
    </row>
    <row r="359">
      <c r="D359" s="87" t="n"/>
    </row>
    <row r="360">
      <c r="D360" s="87" t="n"/>
    </row>
    <row r="361">
      <c r="D361" s="87" t="n"/>
    </row>
    <row r="362">
      <c r="D362" s="87" t="n"/>
    </row>
    <row r="363">
      <c r="D363" s="87" t="n"/>
    </row>
    <row r="364">
      <c r="D364" s="87" t="n"/>
    </row>
    <row r="365">
      <c r="D365" s="87" t="n"/>
    </row>
    <row r="366">
      <c r="D366" s="87" t="n"/>
    </row>
    <row r="367">
      <c r="D367" s="87" t="n"/>
    </row>
    <row r="368">
      <c r="D368" s="87" t="n"/>
    </row>
    <row r="369">
      <c r="D369" s="87" t="n"/>
    </row>
    <row r="370">
      <c r="D370" s="87" t="n"/>
    </row>
    <row r="371">
      <c r="D371" s="87" t="n"/>
    </row>
    <row r="372">
      <c r="D372" s="87" t="n"/>
    </row>
    <row r="373">
      <c r="D373" s="87" t="n"/>
    </row>
    <row r="374">
      <c r="D374" s="87" t="n"/>
    </row>
    <row r="375">
      <c r="D375" s="87" t="n"/>
    </row>
    <row r="376">
      <c r="D376" s="87" t="n"/>
    </row>
    <row r="377">
      <c r="D377" s="87" t="n"/>
    </row>
    <row r="378">
      <c r="D378" s="87" t="n"/>
    </row>
    <row r="379">
      <c r="D379" s="87" t="n"/>
    </row>
    <row r="380">
      <c r="D380" s="87" t="n"/>
    </row>
    <row r="381">
      <c r="D381" s="87" t="n"/>
    </row>
    <row r="382">
      <c r="D382" s="87" t="n"/>
    </row>
    <row r="383">
      <c r="D383" s="87" t="n"/>
    </row>
    <row r="384">
      <c r="D384" s="87" t="n"/>
    </row>
    <row r="385">
      <c r="D385" s="87" t="n"/>
    </row>
    <row r="386">
      <c r="D386" s="87" t="n"/>
    </row>
    <row r="387">
      <c r="D387" s="87" t="n"/>
    </row>
    <row r="388">
      <c r="D388" s="87" t="n"/>
    </row>
    <row r="389">
      <c r="D389" s="87" t="n"/>
    </row>
    <row r="390">
      <c r="D390" s="87" t="n"/>
    </row>
    <row r="391">
      <c r="D391" s="87" t="n"/>
    </row>
    <row r="392">
      <c r="D392" s="87" t="n"/>
    </row>
    <row r="393">
      <c r="D393" s="87" t="n"/>
    </row>
    <row r="394">
      <c r="D394" s="87" t="n"/>
    </row>
    <row r="395">
      <c r="D395" s="87" t="n"/>
    </row>
    <row r="396">
      <c r="D396" s="87" t="n"/>
    </row>
    <row r="397">
      <c r="D397" s="87" t="n"/>
    </row>
    <row r="398">
      <c r="D398" s="87" t="n"/>
    </row>
    <row r="399">
      <c r="D399" s="87" t="n"/>
    </row>
    <row r="400">
      <c r="D400" s="87" t="n"/>
    </row>
    <row r="401">
      <c r="D401" s="87" t="n"/>
    </row>
    <row r="402">
      <c r="D402" s="87" t="n"/>
    </row>
    <row r="403">
      <c r="D403" s="87" t="n"/>
    </row>
    <row r="404">
      <c r="D404" s="87" t="n"/>
    </row>
    <row r="405">
      <c r="D405" s="87" t="n"/>
    </row>
    <row r="406">
      <c r="D406" s="87" t="n"/>
    </row>
    <row r="407">
      <c r="D407" s="87" t="n"/>
    </row>
    <row r="408">
      <c r="D408" s="87" t="n"/>
    </row>
    <row r="409">
      <c r="D409" s="87" t="n"/>
    </row>
    <row r="410">
      <c r="D410" s="87" t="n"/>
    </row>
    <row r="411">
      <c r="D411" s="87" t="n"/>
    </row>
    <row r="412">
      <c r="D412" s="87" t="n"/>
    </row>
    <row r="413">
      <c r="D413" s="87" t="n"/>
    </row>
    <row r="414">
      <c r="D414" s="87" t="n"/>
    </row>
    <row r="415">
      <c r="D415" s="87" t="n"/>
    </row>
    <row r="416">
      <c r="D416" s="87" t="n"/>
    </row>
    <row r="417">
      <c r="D417" s="87" t="n"/>
    </row>
    <row r="418">
      <c r="D418" s="87" t="n"/>
    </row>
    <row r="419">
      <c r="D419" s="87" t="n"/>
    </row>
    <row r="420">
      <c r="D420" s="87" t="n"/>
    </row>
    <row r="421">
      <c r="D421" s="87" t="n"/>
    </row>
    <row r="422">
      <c r="D422" s="87" t="n"/>
    </row>
    <row r="423">
      <c r="D423" s="87" t="n"/>
    </row>
    <row r="424">
      <c r="D424" s="87" t="n"/>
    </row>
    <row r="425">
      <c r="D425" s="87" t="n"/>
    </row>
    <row r="426">
      <c r="D426" s="87" t="n"/>
    </row>
    <row r="427">
      <c r="D427" s="87" t="n"/>
    </row>
    <row r="428">
      <c r="D428" s="87" t="n"/>
    </row>
    <row r="429">
      <c r="D429" s="87" t="n"/>
    </row>
    <row r="430">
      <c r="D430" s="87" t="n"/>
    </row>
    <row r="431">
      <c r="D431" s="87" t="n"/>
    </row>
    <row r="432">
      <c r="D432" s="87" t="n"/>
    </row>
    <row r="433">
      <c r="D433" s="87" t="n"/>
    </row>
    <row r="434">
      <c r="D434" s="87" t="n"/>
    </row>
    <row r="435">
      <c r="D435" s="87" t="n"/>
    </row>
    <row r="436">
      <c r="D436" s="87" t="n"/>
    </row>
    <row r="437">
      <c r="D437" s="87" t="n"/>
    </row>
    <row r="438">
      <c r="D438" s="87" t="n"/>
    </row>
    <row r="439">
      <c r="D439" s="87" t="n"/>
    </row>
    <row r="440">
      <c r="D440" s="87" t="n"/>
    </row>
    <row r="441">
      <c r="D441" s="87" t="n"/>
    </row>
    <row r="442">
      <c r="D442" s="87" t="n"/>
    </row>
    <row r="443">
      <c r="D443" s="87" t="n"/>
    </row>
    <row r="444">
      <c r="D444" s="87" t="n"/>
    </row>
    <row r="445">
      <c r="D445" s="87" t="n"/>
    </row>
    <row r="446">
      <c r="D446" s="87" t="n"/>
    </row>
    <row r="447">
      <c r="D447" s="87" t="n"/>
    </row>
    <row r="448">
      <c r="D448" s="87" t="n"/>
    </row>
    <row r="449">
      <c r="D449" s="87" t="n"/>
    </row>
    <row r="450">
      <c r="D450" s="87" t="n"/>
    </row>
    <row r="451">
      <c r="D451" s="87" t="n"/>
    </row>
    <row r="452">
      <c r="D452" s="87" t="n"/>
    </row>
    <row r="453">
      <c r="D453" s="87" t="n"/>
    </row>
    <row r="454">
      <c r="D454" s="87" t="n"/>
    </row>
    <row r="455">
      <c r="D455" s="87" t="n"/>
    </row>
    <row r="456">
      <c r="D456" s="87" t="n"/>
    </row>
    <row r="457">
      <c r="D457" s="87" t="n"/>
    </row>
    <row r="458">
      <c r="D458" s="87" t="n"/>
    </row>
    <row r="459">
      <c r="D459" s="87" t="n"/>
    </row>
    <row r="460">
      <c r="D460" s="87" t="n"/>
    </row>
    <row r="461">
      <c r="D461" s="87" t="n"/>
    </row>
    <row r="462">
      <c r="D462" s="87" t="n"/>
    </row>
    <row r="463">
      <c r="D463" s="87" t="n"/>
    </row>
    <row r="464">
      <c r="D464" s="87" t="n"/>
    </row>
    <row r="465">
      <c r="D465" s="87" t="n"/>
    </row>
    <row r="466">
      <c r="D466" s="87" t="n"/>
    </row>
    <row r="467">
      <c r="D467" s="87" t="n"/>
    </row>
    <row r="468">
      <c r="D468" s="87" t="n"/>
    </row>
    <row r="469">
      <c r="D469" s="87" t="n"/>
    </row>
    <row r="470">
      <c r="D470" s="87" t="n"/>
    </row>
    <row r="471">
      <c r="D471" s="87" t="n"/>
    </row>
    <row r="472">
      <c r="D472" s="87" t="n"/>
    </row>
    <row r="473">
      <c r="D473" s="87" t="n"/>
    </row>
    <row r="474">
      <c r="D474" s="87" t="n"/>
    </row>
    <row r="475">
      <c r="D475" s="87" t="n"/>
    </row>
    <row r="476">
      <c r="D476" s="87" t="n"/>
    </row>
    <row r="477">
      <c r="D477" s="87" t="n"/>
    </row>
    <row r="478">
      <c r="D478" s="87" t="n"/>
    </row>
    <row r="479">
      <c r="D479" s="87" t="n"/>
    </row>
    <row r="480">
      <c r="D480" s="87" t="n"/>
    </row>
    <row r="481">
      <c r="D481" s="87" t="n"/>
    </row>
    <row r="482">
      <c r="D482" s="87" t="n"/>
    </row>
    <row r="483">
      <c r="D483" s="87" t="n"/>
    </row>
    <row r="484">
      <c r="D484" s="87" t="n"/>
    </row>
    <row r="485">
      <c r="D485" s="87" t="n"/>
    </row>
    <row r="486">
      <c r="D486" s="87" t="n"/>
    </row>
    <row r="487">
      <c r="D487" s="87" t="n"/>
    </row>
    <row r="488">
      <c r="D488" s="87" t="n"/>
    </row>
    <row r="489">
      <c r="D489" s="87" t="n"/>
    </row>
    <row r="490">
      <c r="D490" s="87" t="n"/>
    </row>
    <row r="491">
      <c r="D491" s="87" t="n"/>
    </row>
    <row r="492">
      <c r="D492" s="87" t="n"/>
    </row>
    <row r="493">
      <c r="D493" s="87" t="n"/>
    </row>
    <row r="494">
      <c r="D494" s="87" t="n"/>
    </row>
    <row r="495">
      <c r="D495" s="87" t="n"/>
    </row>
    <row r="496">
      <c r="D496" s="87" t="n"/>
    </row>
    <row r="497">
      <c r="D497" s="87" t="n"/>
    </row>
    <row r="498">
      <c r="D498" s="87" t="n"/>
    </row>
    <row r="499">
      <c r="D499" s="87" t="n"/>
    </row>
    <row r="500">
      <c r="D500" s="87" t="n"/>
    </row>
    <row r="501">
      <c r="D501" s="87" t="n"/>
    </row>
    <row r="502">
      <c r="D502" s="87" t="n"/>
    </row>
    <row r="503">
      <c r="D503" s="87" t="n"/>
    </row>
    <row r="504">
      <c r="D504" s="87" t="n"/>
    </row>
    <row r="505">
      <c r="D505" s="87" t="n"/>
    </row>
    <row r="506">
      <c r="D506" s="87" t="n"/>
    </row>
    <row r="507">
      <c r="D507" s="87" t="n"/>
    </row>
    <row r="508">
      <c r="D508" s="87" t="n"/>
    </row>
    <row r="509">
      <c r="D509" s="87" t="n"/>
    </row>
    <row r="510">
      <c r="D510" s="87" t="n"/>
    </row>
    <row r="511">
      <c r="D511" s="87" t="n"/>
    </row>
    <row r="512">
      <c r="D512" s="87" t="n"/>
    </row>
    <row r="513">
      <c r="D513" s="87" t="n"/>
    </row>
    <row r="514">
      <c r="D514" s="87" t="n"/>
    </row>
    <row r="515">
      <c r="D515" s="87" t="n"/>
    </row>
    <row r="516">
      <c r="D516" s="87" t="n"/>
    </row>
    <row r="517">
      <c r="D517" s="87" t="n"/>
    </row>
    <row r="518">
      <c r="D518" s="87" t="n"/>
    </row>
    <row r="519">
      <c r="D519" s="87" t="n"/>
    </row>
    <row r="520">
      <c r="D520" s="87" t="n"/>
    </row>
    <row r="521">
      <c r="D521" s="87" t="n"/>
    </row>
    <row r="522">
      <c r="D522" s="87" t="n"/>
    </row>
    <row r="523">
      <c r="D523" s="87" t="n"/>
    </row>
    <row r="524">
      <c r="D524" s="87" t="n"/>
    </row>
    <row r="525">
      <c r="D525" s="87" t="n"/>
    </row>
    <row r="526">
      <c r="D526" s="87" t="n"/>
    </row>
    <row r="527">
      <c r="D527" s="87" t="n"/>
    </row>
    <row r="528">
      <c r="D528" s="87" t="n"/>
    </row>
    <row r="529">
      <c r="D529" s="87" t="n"/>
    </row>
    <row r="530">
      <c r="D530" s="87" t="n"/>
    </row>
    <row r="531">
      <c r="D531" s="87" t="n"/>
    </row>
    <row r="532">
      <c r="D532" s="87" t="n"/>
    </row>
    <row r="533">
      <c r="D533" s="87" t="n"/>
    </row>
    <row r="534">
      <c r="D534" s="87" t="n"/>
    </row>
    <row r="535">
      <c r="D535" s="87" t="n"/>
    </row>
    <row r="536">
      <c r="D536" s="87" t="n"/>
    </row>
    <row r="537">
      <c r="D537" s="87" t="n"/>
    </row>
    <row r="538">
      <c r="D538" s="87" t="n"/>
    </row>
    <row r="539">
      <c r="D539" s="87" t="n"/>
    </row>
    <row r="540">
      <c r="D540" s="87" t="n"/>
    </row>
    <row r="541">
      <c r="D541" s="87" t="n"/>
    </row>
    <row r="542">
      <c r="D542" s="87" t="n"/>
    </row>
    <row r="543">
      <c r="D543" s="87" t="n"/>
    </row>
    <row r="544">
      <c r="D544" s="87" t="n"/>
    </row>
    <row r="545">
      <c r="D545" s="87" t="n"/>
    </row>
    <row r="546">
      <c r="D546" s="87" t="n"/>
    </row>
    <row r="547">
      <c r="D547" s="87" t="n"/>
    </row>
    <row r="548">
      <c r="D548" s="87" t="n"/>
    </row>
    <row r="549">
      <c r="D549" s="87" t="n"/>
    </row>
    <row r="550">
      <c r="D550" s="87" t="n"/>
    </row>
    <row r="551">
      <c r="D551" s="87" t="n"/>
    </row>
    <row r="552">
      <c r="D552" s="87" t="n"/>
    </row>
    <row r="553">
      <c r="D553" s="87" t="n"/>
    </row>
    <row r="554">
      <c r="D554" s="87" t="n"/>
    </row>
    <row r="555">
      <c r="D555" s="87" t="n"/>
    </row>
    <row r="556">
      <c r="D556" s="87" t="n"/>
    </row>
    <row r="557">
      <c r="D557" s="87" t="n"/>
    </row>
    <row r="558">
      <c r="D558" s="87" t="n"/>
    </row>
    <row r="559">
      <c r="D559" s="87" t="n"/>
    </row>
    <row r="560">
      <c r="D560" s="87" t="n"/>
    </row>
    <row r="561">
      <c r="D561" s="87" t="n"/>
    </row>
    <row r="562">
      <c r="D562" s="87" t="n"/>
    </row>
    <row r="563">
      <c r="D563" s="87" t="n"/>
    </row>
    <row r="564">
      <c r="D564" s="87" t="n"/>
    </row>
    <row r="565">
      <c r="D565" s="87" t="n"/>
    </row>
    <row r="566">
      <c r="D566" s="87" t="n"/>
    </row>
    <row r="567">
      <c r="D567" s="87" t="n"/>
    </row>
    <row r="568">
      <c r="D568" s="87" t="n"/>
    </row>
    <row r="569">
      <c r="D569" s="87" t="n"/>
    </row>
    <row r="570">
      <c r="D570" s="87" t="n"/>
    </row>
    <row r="571">
      <c r="D571" s="87" t="n"/>
    </row>
    <row r="572">
      <c r="D572" s="87" t="n"/>
    </row>
    <row r="573">
      <c r="D573" s="87" t="n"/>
    </row>
    <row r="574">
      <c r="D574" s="87" t="n"/>
    </row>
    <row r="575">
      <c r="D575" s="87" t="n"/>
    </row>
    <row r="576">
      <c r="D576" s="87" t="n"/>
    </row>
    <row r="577">
      <c r="D577" s="87" t="n"/>
    </row>
    <row r="578">
      <c r="D578" s="87" t="n"/>
    </row>
    <row r="579">
      <c r="D579" s="87" t="n"/>
    </row>
    <row r="580">
      <c r="D580" s="87" t="n"/>
    </row>
    <row r="581">
      <c r="D581" s="87" t="n"/>
    </row>
    <row r="582">
      <c r="D582" s="87" t="n"/>
    </row>
    <row r="583">
      <c r="D583" s="87" t="n"/>
    </row>
    <row r="584">
      <c r="D584" s="87" t="n"/>
    </row>
    <row r="585">
      <c r="D585" s="87" t="n"/>
    </row>
    <row r="586">
      <c r="D586" s="87" t="n"/>
    </row>
    <row r="587">
      <c r="D587" s="87" t="n"/>
    </row>
    <row r="588">
      <c r="D588" s="87" t="n"/>
    </row>
    <row r="589">
      <c r="D589" s="87" t="n"/>
    </row>
    <row r="590">
      <c r="D590" s="87" t="n"/>
    </row>
    <row r="591">
      <c r="D591" s="87" t="n"/>
    </row>
    <row r="592">
      <c r="D592" s="87" t="n"/>
    </row>
    <row r="593">
      <c r="D593" s="87" t="n"/>
    </row>
    <row r="594">
      <c r="D594" s="87" t="n"/>
    </row>
    <row r="595">
      <c r="D595" s="87" t="n"/>
    </row>
    <row r="596">
      <c r="D596" s="87" t="n"/>
    </row>
    <row r="597">
      <c r="D597" s="87" t="n"/>
    </row>
    <row r="598">
      <c r="D598" s="87" t="n"/>
    </row>
    <row r="599">
      <c r="D599" s="87" t="n"/>
    </row>
    <row r="600">
      <c r="D600" s="87" t="n"/>
    </row>
    <row r="601">
      <c r="D601" s="87" t="n"/>
    </row>
    <row r="602">
      <c r="D602" s="87" t="n"/>
    </row>
    <row r="603">
      <c r="D603" s="87" t="n"/>
    </row>
    <row r="604">
      <c r="D604" s="87" t="n"/>
    </row>
    <row r="605">
      <c r="D605" s="87" t="n"/>
    </row>
    <row r="606">
      <c r="D606" s="87" t="n"/>
    </row>
    <row r="607">
      <c r="D607" s="87" t="n"/>
    </row>
    <row r="608">
      <c r="D608" s="87" t="n"/>
    </row>
    <row r="609">
      <c r="D609" s="87" t="n"/>
    </row>
    <row r="610">
      <c r="D610" s="87" t="n"/>
    </row>
    <row r="611">
      <c r="D611" s="87" t="n"/>
    </row>
    <row r="612">
      <c r="D612" s="87" t="n"/>
    </row>
    <row r="613">
      <c r="D613" s="87" t="n"/>
    </row>
    <row r="614">
      <c r="D614" s="87" t="n"/>
    </row>
    <row r="615">
      <c r="D615" s="87" t="n"/>
    </row>
    <row r="616">
      <c r="D616" s="87" t="n"/>
    </row>
    <row r="617">
      <c r="D617" s="87" t="n"/>
    </row>
    <row r="618">
      <c r="D618" s="87" t="n"/>
    </row>
    <row r="619">
      <c r="D619" s="87" t="n"/>
    </row>
    <row r="620">
      <c r="D620" s="87" t="n"/>
    </row>
    <row r="621">
      <c r="D621" s="87" t="n"/>
    </row>
    <row r="622">
      <c r="D622" s="87" t="n"/>
    </row>
    <row r="623">
      <c r="D623" s="87" t="n"/>
    </row>
    <row r="624">
      <c r="D624" s="87" t="n"/>
    </row>
    <row r="625">
      <c r="D625" s="87" t="n"/>
    </row>
    <row r="626">
      <c r="D626" s="87" t="n"/>
    </row>
    <row r="627">
      <c r="D627" s="87" t="n"/>
    </row>
    <row r="628">
      <c r="D628" s="87" t="n"/>
    </row>
    <row r="629">
      <c r="D629" s="87" t="n"/>
    </row>
    <row r="630">
      <c r="D630" s="87" t="n"/>
    </row>
    <row r="631">
      <c r="D631" s="87" t="n"/>
    </row>
    <row r="632">
      <c r="D632" s="87" t="n"/>
    </row>
    <row r="633">
      <c r="D633" s="87" t="n"/>
    </row>
    <row r="634">
      <c r="D634" s="87" t="n"/>
    </row>
    <row r="635">
      <c r="D635" s="87" t="n"/>
    </row>
    <row r="636">
      <c r="D636" s="87" t="n"/>
    </row>
    <row r="637">
      <c r="D637" s="87" t="n"/>
    </row>
    <row r="638">
      <c r="D638" s="87" t="n"/>
    </row>
    <row r="639">
      <c r="D639" s="87" t="n"/>
    </row>
    <row r="640">
      <c r="D640" s="87" t="n"/>
    </row>
    <row r="641">
      <c r="D641" s="87" t="n"/>
    </row>
    <row r="642">
      <c r="D642" s="87" t="n"/>
    </row>
    <row r="643">
      <c r="D643" s="87" t="n"/>
    </row>
    <row r="644">
      <c r="D644" s="87" t="n"/>
    </row>
    <row r="645">
      <c r="D645" s="87" t="n"/>
    </row>
    <row r="646">
      <c r="D646" s="87" t="n"/>
    </row>
    <row r="647">
      <c r="D647" s="87" t="n"/>
    </row>
    <row r="648">
      <c r="D648" s="87" t="n"/>
    </row>
    <row r="649">
      <c r="D649" s="87" t="n"/>
    </row>
    <row r="650">
      <c r="D650" s="87" t="n"/>
    </row>
    <row r="651">
      <c r="D651" s="87" t="n"/>
    </row>
    <row r="652">
      <c r="D652" s="87" t="n"/>
    </row>
    <row r="653">
      <c r="D653" s="87" t="n"/>
    </row>
    <row r="654">
      <c r="D654" s="87" t="n"/>
    </row>
    <row r="655">
      <c r="D655" s="87" t="n"/>
    </row>
    <row r="656">
      <c r="D656" s="87" t="n"/>
    </row>
    <row r="657">
      <c r="D657" s="87" t="n"/>
    </row>
    <row r="658">
      <c r="D658" s="87" t="n"/>
    </row>
    <row r="659">
      <c r="D659" s="87" t="n"/>
    </row>
    <row r="660">
      <c r="D660" s="87" t="n"/>
    </row>
    <row r="661">
      <c r="D661" s="87" t="n"/>
    </row>
    <row r="662">
      <c r="D662" s="87" t="n"/>
    </row>
    <row r="663">
      <c r="D663" s="87" t="n"/>
    </row>
    <row r="664">
      <c r="D664" s="87" t="n"/>
    </row>
    <row r="665">
      <c r="D665" s="87" t="n"/>
    </row>
    <row r="666">
      <c r="D666" s="87" t="n"/>
    </row>
    <row r="667">
      <c r="D667" s="87" t="n"/>
    </row>
    <row r="668">
      <c r="D668" s="87" t="n"/>
    </row>
    <row r="669">
      <c r="D669" s="87" t="n"/>
    </row>
    <row r="670">
      <c r="D670" s="87" t="n"/>
    </row>
    <row r="671">
      <c r="D671" s="87" t="n"/>
    </row>
    <row r="672">
      <c r="D672" s="87" t="n"/>
    </row>
    <row r="673">
      <c r="D673" s="87" t="n"/>
    </row>
    <row r="674">
      <c r="D674" s="87" t="n"/>
    </row>
    <row r="675">
      <c r="D675" s="87" t="n"/>
    </row>
    <row r="676">
      <c r="D676" s="87" t="n"/>
    </row>
    <row r="677">
      <c r="D677" s="87" t="n"/>
    </row>
    <row r="678">
      <c r="D678" s="87" t="n"/>
    </row>
    <row r="679">
      <c r="D679" s="87" t="n"/>
    </row>
    <row r="680">
      <c r="D680" s="87" t="n"/>
    </row>
    <row r="681">
      <c r="D681" s="87" t="n"/>
    </row>
    <row r="682">
      <c r="D682" s="87" t="n"/>
    </row>
    <row r="683">
      <c r="D683" s="87" t="n"/>
    </row>
    <row r="684">
      <c r="D684" s="87" t="n"/>
    </row>
    <row r="685">
      <c r="D685" s="87" t="n"/>
    </row>
    <row r="686">
      <c r="D686" s="87" t="n"/>
    </row>
    <row r="687">
      <c r="D687" s="87" t="n"/>
    </row>
    <row r="688">
      <c r="D688" s="87" t="n"/>
    </row>
    <row r="689">
      <c r="D689" s="87" t="n"/>
    </row>
    <row r="690">
      <c r="D690" s="87" t="n"/>
    </row>
    <row r="691">
      <c r="D691" s="87" t="n"/>
    </row>
    <row r="692">
      <c r="D692" s="87" t="n"/>
    </row>
    <row r="693">
      <c r="D693" s="87" t="n"/>
    </row>
    <row r="694">
      <c r="D694" s="87" t="n"/>
    </row>
    <row r="695">
      <c r="D695" s="87" t="n"/>
    </row>
    <row r="696">
      <c r="D696" s="87" t="n"/>
    </row>
    <row r="697">
      <c r="D697" s="87" t="n"/>
    </row>
    <row r="698">
      <c r="D698" s="87" t="n"/>
    </row>
    <row r="699">
      <c r="D699" s="87" t="n"/>
    </row>
    <row r="700">
      <c r="D700" s="87" t="n"/>
    </row>
    <row r="701">
      <c r="D701" s="87" t="n"/>
    </row>
    <row r="702">
      <c r="D702" s="87" t="n"/>
    </row>
    <row r="703">
      <c r="D703" s="87" t="n"/>
    </row>
    <row r="704">
      <c r="D704" s="87" t="n"/>
    </row>
    <row r="705">
      <c r="D705" s="87" t="n"/>
    </row>
    <row r="706">
      <c r="D706" s="87" t="n"/>
    </row>
    <row r="707">
      <c r="D707" s="87" t="n"/>
    </row>
    <row r="708">
      <c r="D708" s="87" t="n"/>
    </row>
    <row r="709">
      <c r="D709" s="87" t="n"/>
    </row>
    <row r="710">
      <c r="D710" s="87" t="n"/>
    </row>
    <row r="711">
      <c r="D711" s="87" t="n"/>
    </row>
    <row r="712">
      <c r="D712" s="87" t="n"/>
    </row>
    <row r="713">
      <c r="D713" s="87" t="n"/>
    </row>
    <row r="714">
      <c r="D714" s="87" t="n"/>
    </row>
    <row r="715">
      <c r="D715" s="87" t="n"/>
    </row>
    <row r="716">
      <c r="D716" s="87" t="n"/>
    </row>
    <row r="717">
      <c r="D717" s="87" t="n"/>
    </row>
    <row r="718">
      <c r="D718" s="87" t="n"/>
    </row>
    <row r="719">
      <c r="D719" s="87" t="n"/>
    </row>
    <row r="720">
      <c r="D720" s="87" t="n"/>
    </row>
    <row r="721">
      <c r="D721" s="87" t="n"/>
    </row>
    <row r="722">
      <c r="D722" s="87" t="n"/>
    </row>
    <row r="723">
      <c r="D723" s="87" t="n"/>
    </row>
    <row r="724">
      <c r="D724" s="87" t="n"/>
    </row>
    <row r="725">
      <c r="D725" s="87" t="n"/>
    </row>
    <row r="726">
      <c r="D726" s="87" t="n"/>
    </row>
    <row r="727">
      <c r="D727" s="87" t="n"/>
    </row>
    <row r="728">
      <c r="D728" s="87" t="n"/>
    </row>
    <row r="729">
      <c r="D729" s="87" t="n"/>
    </row>
    <row r="730">
      <c r="D730" s="87" t="n"/>
    </row>
    <row r="731">
      <c r="D731" s="87" t="n"/>
    </row>
    <row r="732">
      <c r="D732" s="87" t="n"/>
    </row>
    <row r="733">
      <c r="D733" s="87" t="n"/>
    </row>
    <row r="734">
      <c r="D734" s="87" t="n"/>
    </row>
    <row r="735">
      <c r="D735" s="87" t="n"/>
    </row>
    <row r="736">
      <c r="D736" s="87" t="n"/>
    </row>
    <row r="737">
      <c r="D737" s="87" t="n"/>
    </row>
    <row r="738">
      <c r="D738" s="87" t="n"/>
    </row>
    <row r="739">
      <c r="D739" s="87" t="n"/>
    </row>
    <row r="740">
      <c r="D740" s="87" t="n"/>
    </row>
    <row r="741">
      <c r="D741" s="87" t="n"/>
    </row>
    <row r="742">
      <c r="D742" s="87" t="n"/>
    </row>
    <row r="743">
      <c r="D743" s="87" t="n"/>
    </row>
    <row r="744">
      <c r="D744" s="87" t="n"/>
    </row>
    <row r="745">
      <c r="D745" s="87" t="n"/>
    </row>
    <row r="746">
      <c r="D746" s="87" t="n"/>
    </row>
    <row r="747">
      <c r="D747" s="87" t="n"/>
    </row>
    <row r="748">
      <c r="D748" s="87" t="n"/>
    </row>
    <row r="749">
      <c r="D749" s="87" t="n"/>
    </row>
    <row r="750">
      <c r="D750" s="87" t="n"/>
    </row>
    <row r="751">
      <c r="D751" s="87" t="n"/>
    </row>
    <row r="752">
      <c r="D752" s="87" t="n"/>
    </row>
    <row r="753">
      <c r="D753" s="87" t="n"/>
    </row>
    <row r="754">
      <c r="D754" s="87" t="n"/>
    </row>
    <row r="755">
      <c r="D755" s="87" t="n"/>
    </row>
    <row r="756">
      <c r="D756" s="87" t="n"/>
    </row>
    <row r="757">
      <c r="D757" s="87" t="n"/>
    </row>
    <row r="758">
      <c r="D758" s="87" t="n"/>
    </row>
    <row r="759">
      <c r="D759" s="87" t="n"/>
    </row>
    <row r="760">
      <c r="D760" s="87" t="n"/>
    </row>
    <row r="761">
      <c r="D761" s="87" t="n"/>
    </row>
    <row r="762">
      <c r="D762" s="87" t="n"/>
    </row>
    <row r="763">
      <c r="D763" s="87" t="n"/>
    </row>
    <row r="764">
      <c r="D764" s="87" t="n"/>
    </row>
    <row r="765">
      <c r="D765" s="87" t="n"/>
    </row>
    <row r="766">
      <c r="D766" s="87" t="n"/>
    </row>
    <row r="767">
      <c r="D767" s="87" t="n"/>
    </row>
    <row r="768">
      <c r="D768" s="87" t="n"/>
    </row>
    <row r="769">
      <c r="D769" s="87" t="n"/>
    </row>
    <row r="770">
      <c r="D770" s="87" t="n"/>
    </row>
    <row r="771">
      <c r="D771" s="87" t="n"/>
    </row>
    <row r="772">
      <c r="D772" s="87" t="n"/>
    </row>
    <row r="773">
      <c r="D773" s="87" t="n"/>
    </row>
    <row r="774">
      <c r="D774" s="87" t="n"/>
    </row>
    <row r="775">
      <c r="D775" s="87" t="n"/>
    </row>
    <row r="776">
      <c r="D776" s="87" t="n"/>
    </row>
    <row r="777">
      <c r="D777" s="87" t="n"/>
    </row>
    <row r="778">
      <c r="D778" s="87" t="n"/>
    </row>
    <row r="779">
      <c r="D779" s="87" t="n"/>
    </row>
    <row r="780">
      <c r="D780" s="87" t="n"/>
    </row>
    <row r="781">
      <c r="D781" s="87" t="n"/>
    </row>
    <row r="782">
      <c r="D782" s="87" t="n"/>
    </row>
    <row r="783">
      <c r="D783" s="87" t="n"/>
    </row>
    <row r="784">
      <c r="D784" s="87" t="n"/>
    </row>
    <row r="785">
      <c r="D785" s="87" t="n"/>
    </row>
    <row r="786">
      <c r="D786" s="87" t="n"/>
    </row>
    <row r="787">
      <c r="D787" s="87" t="n"/>
    </row>
    <row r="788">
      <c r="D788" s="87" t="n"/>
    </row>
    <row r="789">
      <c r="D789" s="87" t="n"/>
    </row>
    <row r="790">
      <c r="D790" s="87" t="n"/>
    </row>
    <row r="791">
      <c r="D791" s="87" t="n"/>
    </row>
    <row r="792">
      <c r="D792" s="87" t="n"/>
    </row>
    <row r="793">
      <c r="D793" s="87" t="n"/>
    </row>
    <row r="794">
      <c r="D794" s="87" t="n"/>
    </row>
    <row r="795">
      <c r="D795" s="87" t="n"/>
    </row>
    <row r="796">
      <c r="D796" s="87" t="n"/>
    </row>
    <row r="797">
      <c r="D797" s="87" t="n"/>
    </row>
    <row r="798">
      <c r="D798" s="87" t="n"/>
    </row>
    <row r="799">
      <c r="D799" s="87" t="n"/>
    </row>
    <row r="800">
      <c r="D800" s="87" t="n"/>
    </row>
    <row r="801">
      <c r="D801" s="87" t="n"/>
    </row>
    <row r="802">
      <c r="D802" s="87" t="n"/>
    </row>
    <row r="803">
      <c r="D803" s="87" t="n"/>
    </row>
    <row r="804">
      <c r="D804" s="87" t="n"/>
    </row>
    <row r="805">
      <c r="D805" s="87" t="n"/>
    </row>
    <row r="806">
      <c r="D806" s="87" t="n"/>
    </row>
    <row r="807">
      <c r="D807" s="87" t="n"/>
    </row>
    <row r="808">
      <c r="D808" s="87" t="n"/>
    </row>
    <row r="809">
      <c r="D809" s="87" t="n"/>
    </row>
    <row r="810">
      <c r="D810" s="87" t="n"/>
    </row>
    <row r="811">
      <c r="D811" s="87" t="n"/>
    </row>
    <row r="812">
      <c r="D812" s="87" t="n"/>
    </row>
    <row r="813">
      <c r="D813" s="87" t="n"/>
    </row>
    <row r="814">
      <c r="D814" s="87" t="n"/>
    </row>
    <row r="815">
      <c r="D815" s="87" t="n"/>
    </row>
    <row r="816">
      <c r="D816" s="87" t="n"/>
    </row>
    <row r="817">
      <c r="D817" s="87" t="n"/>
    </row>
    <row r="818">
      <c r="D818" s="87" t="n"/>
    </row>
    <row r="819">
      <c r="D819" s="87" t="n"/>
    </row>
    <row r="820">
      <c r="D820" s="87" t="n"/>
    </row>
    <row r="821">
      <c r="D821" s="87" t="n"/>
    </row>
    <row r="822">
      <c r="D822" s="87" t="n"/>
    </row>
    <row r="823">
      <c r="D823" s="87" t="n"/>
    </row>
    <row r="824">
      <c r="D824" s="87" t="n"/>
    </row>
    <row r="825">
      <c r="D825" s="87" t="n"/>
    </row>
    <row r="826">
      <c r="D826" s="87" t="n"/>
    </row>
    <row r="827">
      <c r="D827" s="87" t="n"/>
    </row>
    <row r="828">
      <c r="D828" s="87" t="n"/>
    </row>
    <row r="829">
      <c r="D829" s="87" t="n"/>
    </row>
    <row r="830">
      <c r="D830" s="87" t="n"/>
    </row>
    <row r="831">
      <c r="D831" s="87" t="n"/>
    </row>
    <row r="832">
      <c r="D832" s="87" t="n"/>
    </row>
    <row r="833">
      <c r="D833" s="87" t="n"/>
    </row>
    <row r="834">
      <c r="D834" s="87" t="n"/>
    </row>
    <row r="835">
      <c r="D835" s="87" t="n"/>
    </row>
    <row r="836">
      <c r="D836" s="87" t="n"/>
    </row>
    <row r="837">
      <c r="D837" s="87" t="n"/>
    </row>
    <row r="838">
      <c r="D838" s="87" t="n"/>
    </row>
    <row r="839">
      <c r="D839" s="87" t="n"/>
    </row>
    <row r="840">
      <c r="D840" s="87" t="n"/>
    </row>
    <row r="841">
      <c r="D841" s="87" t="n"/>
    </row>
    <row r="842">
      <c r="D842" s="87" t="n"/>
    </row>
    <row r="843">
      <c r="D843" s="87" t="n"/>
    </row>
    <row r="844">
      <c r="D844" s="87" t="n"/>
    </row>
    <row r="845">
      <c r="D845" s="87" t="n"/>
    </row>
    <row r="846">
      <c r="D846" s="87" t="n"/>
    </row>
    <row r="847">
      <c r="D847" s="87" t="n"/>
    </row>
    <row r="848">
      <c r="D848" s="87" t="n"/>
    </row>
    <row r="849">
      <c r="D849" s="87" t="n"/>
    </row>
    <row r="850">
      <c r="D850" s="87" t="n"/>
    </row>
    <row r="851">
      <c r="D851" s="87" t="n"/>
    </row>
    <row r="852">
      <c r="D852" s="87" t="n"/>
    </row>
    <row r="853">
      <c r="D853" s="87" t="n"/>
    </row>
    <row r="854">
      <c r="D854" s="87" t="n"/>
    </row>
    <row r="855">
      <c r="D855" s="87" t="n"/>
    </row>
    <row r="856">
      <c r="D856" s="87" t="n"/>
    </row>
    <row r="857">
      <c r="D857" s="87" t="n"/>
    </row>
    <row r="858">
      <c r="D858" s="87" t="n"/>
    </row>
    <row r="859">
      <c r="D859" s="87" t="n"/>
    </row>
    <row r="860">
      <c r="D860" s="87" t="n"/>
    </row>
    <row r="861">
      <c r="D861" s="87" t="n"/>
    </row>
    <row r="862">
      <c r="D862" s="87" t="n"/>
    </row>
    <row r="863">
      <c r="D863" s="87" t="n"/>
    </row>
    <row r="864">
      <c r="D864" s="87" t="n"/>
    </row>
    <row r="865">
      <c r="D865" s="87" t="n"/>
    </row>
    <row r="866">
      <c r="D866" s="87" t="n"/>
    </row>
    <row r="867">
      <c r="D867" s="87" t="n"/>
    </row>
    <row r="868">
      <c r="D868" s="87" t="n"/>
    </row>
    <row r="869">
      <c r="D869" s="87" t="n"/>
    </row>
    <row r="870">
      <c r="D870" s="87" t="n"/>
    </row>
    <row r="871">
      <c r="D871" s="87" t="n"/>
    </row>
    <row r="872">
      <c r="D872" s="87" t="n"/>
    </row>
    <row r="873">
      <c r="D873" s="87" t="n"/>
    </row>
    <row r="874">
      <c r="D874" s="87" t="n"/>
    </row>
    <row r="875">
      <c r="D875" s="87" t="n"/>
    </row>
    <row r="876">
      <c r="D876" s="87" t="n"/>
    </row>
    <row r="877">
      <c r="D877" s="87" t="n"/>
    </row>
    <row r="878">
      <c r="D878" s="87" t="n"/>
    </row>
    <row r="879">
      <c r="D879" s="87" t="n"/>
    </row>
    <row r="880">
      <c r="D880" s="87" t="n"/>
    </row>
    <row r="881">
      <c r="D881" s="87" t="n"/>
    </row>
    <row r="882">
      <c r="D882" s="87" t="n"/>
    </row>
    <row r="883">
      <c r="D883" s="87" t="n"/>
    </row>
    <row r="884">
      <c r="D884" s="87" t="n"/>
    </row>
    <row r="885">
      <c r="D885" s="87" t="n"/>
    </row>
    <row r="886">
      <c r="D886" s="87" t="n"/>
    </row>
    <row r="887">
      <c r="D887" s="87" t="n"/>
    </row>
    <row r="888">
      <c r="D888" s="87" t="n"/>
    </row>
    <row r="889">
      <c r="D889" s="87" t="n"/>
    </row>
    <row r="890">
      <c r="D890" s="87" t="n"/>
    </row>
    <row r="891">
      <c r="D891" s="87" t="n"/>
    </row>
    <row r="892">
      <c r="D892" s="87" t="n"/>
    </row>
    <row r="893">
      <c r="D893" s="87" t="n"/>
    </row>
    <row r="894">
      <c r="D894" s="87" t="n"/>
    </row>
    <row r="895">
      <c r="D895" s="87" t="n"/>
    </row>
    <row r="896">
      <c r="D896" s="87" t="n"/>
    </row>
    <row r="897">
      <c r="D897" s="87" t="n"/>
    </row>
    <row r="898">
      <c r="D898" s="87" t="n"/>
    </row>
    <row r="899">
      <c r="D899" s="87" t="n"/>
    </row>
    <row r="900">
      <c r="D900" s="87" t="n"/>
    </row>
    <row r="901">
      <c r="D901" s="87" t="n"/>
    </row>
    <row r="902">
      <c r="D902" s="87" t="n"/>
    </row>
    <row r="903">
      <c r="D903" s="87" t="n"/>
    </row>
    <row r="904">
      <c r="D904" s="87" t="n"/>
    </row>
    <row r="905">
      <c r="D905" s="87" t="n"/>
    </row>
    <row r="906">
      <c r="D906" s="87" t="n"/>
    </row>
    <row r="907">
      <c r="D907" s="87" t="n"/>
    </row>
    <row r="908">
      <c r="D908" s="87" t="n"/>
    </row>
    <row r="909">
      <c r="D909" s="87" t="n"/>
    </row>
    <row r="910">
      <c r="D910" s="87" t="n"/>
    </row>
    <row r="911">
      <c r="D911" s="87" t="n"/>
    </row>
    <row r="912">
      <c r="D912" s="87" t="n"/>
    </row>
    <row r="913">
      <c r="D913" s="87" t="n"/>
    </row>
    <row r="914">
      <c r="D914" s="87" t="n"/>
    </row>
    <row r="915">
      <c r="D915" s="87" t="n"/>
    </row>
    <row r="916">
      <c r="D916" s="87" t="n"/>
    </row>
    <row r="917">
      <c r="D917" s="87" t="n"/>
    </row>
    <row r="918">
      <c r="D918" s="87" t="n"/>
    </row>
    <row r="919">
      <c r="D919" s="87" t="n"/>
    </row>
    <row r="920">
      <c r="D920" s="87" t="n"/>
    </row>
    <row r="921">
      <c r="D921" s="87" t="n"/>
    </row>
    <row r="922">
      <c r="D922" s="87" t="n"/>
    </row>
    <row r="923">
      <c r="D923" s="87" t="n"/>
    </row>
    <row r="924">
      <c r="D924" s="87" t="n"/>
    </row>
    <row r="925">
      <c r="D925" s="87" t="n"/>
    </row>
    <row r="926">
      <c r="D926" s="87" t="n"/>
    </row>
    <row r="927">
      <c r="D927" s="87" t="n"/>
    </row>
    <row r="928">
      <c r="D928" s="87" t="n"/>
    </row>
    <row r="929">
      <c r="D929" s="87" t="n"/>
    </row>
    <row r="930">
      <c r="D930" s="87" t="n"/>
    </row>
    <row r="931">
      <c r="D931" s="87" t="n"/>
    </row>
    <row r="932">
      <c r="D932" s="87" t="n"/>
    </row>
    <row r="933">
      <c r="D933" s="87" t="n"/>
    </row>
    <row r="934">
      <c r="D934" s="87" t="n"/>
    </row>
    <row r="935">
      <c r="D935" s="87" t="n"/>
    </row>
    <row r="936">
      <c r="D936" s="87" t="n"/>
    </row>
    <row r="937">
      <c r="D937" s="87" t="n"/>
    </row>
    <row r="938">
      <c r="D938" s="87" t="n"/>
    </row>
    <row r="939">
      <c r="D939" s="87" t="n"/>
    </row>
    <row r="940">
      <c r="D940" s="87" t="n"/>
    </row>
    <row r="941">
      <c r="D941" s="87" t="n"/>
    </row>
    <row r="942">
      <c r="D942" s="87" t="n"/>
    </row>
    <row r="943">
      <c r="D943" s="87" t="n"/>
    </row>
    <row r="944">
      <c r="D944" s="87" t="n"/>
    </row>
    <row r="945">
      <c r="D945" s="87" t="n"/>
    </row>
    <row r="946">
      <c r="D946" s="87" t="n"/>
    </row>
    <row r="947">
      <c r="D947" s="87" t="n"/>
    </row>
    <row r="948">
      <c r="D948" s="87" t="n"/>
    </row>
    <row r="949">
      <c r="D949" s="87" t="n"/>
    </row>
    <row r="950">
      <c r="D950" s="87" t="n"/>
    </row>
    <row r="951">
      <c r="D951" s="87" t="n"/>
    </row>
    <row r="952">
      <c r="D952" s="87" t="n"/>
    </row>
    <row r="953">
      <c r="D953" s="87" t="n"/>
    </row>
    <row r="954">
      <c r="D954" s="87" t="n"/>
    </row>
    <row r="955">
      <c r="D955" s="87" t="n"/>
    </row>
    <row r="956">
      <c r="D956" s="87" t="n"/>
    </row>
    <row r="957">
      <c r="D957" s="87" t="n"/>
    </row>
    <row r="958">
      <c r="D958" s="87" t="n"/>
    </row>
    <row r="959">
      <c r="D959" s="87" t="n"/>
    </row>
    <row r="960">
      <c r="D960" s="87" t="n"/>
    </row>
    <row r="961">
      <c r="D961" s="87" t="n"/>
    </row>
    <row r="962">
      <c r="D962" s="87" t="n"/>
    </row>
    <row r="963">
      <c r="D963" s="87" t="n"/>
    </row>
    <row r="964">
      <c r="D964" s="87" t="n"/>
    </row>
    <row r="965">
      <c r="D965" s="87" t="n"/>
    </row>
    <row r="966">
      <c r="D966" s="87" t="n"/>
    </row>
    <row r="967">
      <c r="D967" s="87" t="n"/>
    </row>
    <row r="968">
      <c r="D968" s="87" t="n"/>
    </row>
    <row r="969">
      <c r="D969" s="87" t="n"/>
    </row>
    <row r="970">
      <c r="D970" s="87" t="n"/>
    </row>
    <row r="971">
      <c r="D971" s="87" t="n"/>
    </row>
    <row r="972">
      <c r="D972" s="87" t="n"/>
    </row>
    <row r="973">
      <c r="D973" s="87" t="n"/>
    </row>
    <row r="974">
      <c r="D974" s="87" t="n"/>
    </row>
    <row r="975">
      <c r="D975" s="87" t="n"/>
    </row>
    <row r="976">
      <c r="D976" s="87" t="n"/>
    </row>
    <row r="977">
      <c r="D977" s="87" t="n"/>
    </row>
    <row r="978">
      <c r="D978" s="87" t="n"/>
    </row>
    <row r="979">
      <c r="D979" s="87" t="n"/>
    </row>
    <row r="980">
      <c r="D980" s="87" t="n"/>
    </row>
    <row r="981">
      <c r="D981" s="87" t="n"/>
    </row>
    <row r="982">
      <c r="D982" s="87" t="n"/>
    </row>
    <row r="983">
      <c r="D983" s="87" t="n"/>
    </row>
    <row r="984">
      <c r="D984" s="87" t="n"/>
    </row>
    <row r="985">
      <c r="D985" s="87" t="n"/>
    </row>
    <row r="986">
      <c r="D986" s="87" t="n"/>
    </row>
    <row r="987">
      <c r="D987" s="87" t="n"/>
    </row>
    <row r="988">
      <c r="D988" s="87" t="n"/>
    </row>
    <row r="989">
      <c r="D989" s="87" t="n"/>
    </row>
    <row r="990">
      <c r="D990" s="87" t="n"/>
    </row>
    <row r="991">
      <c r="D991" s="87" t="n"/>
    </row>
    <row r="992">
      <c r="D992" s="87" t="n"/>
    </row>
    <row r="993">
      <c r="D993" s="87" t="n"/>
    </row>
    <row r="994">
      <c r="D994" s="87" t="n"/>
    </row>
    <row r="995">
      <c r="D995" s="87" t="n"/>
    </row>
    <row r="996">
      <c r="D996" s="87" t="n"/>
    </row>
    <row r="997">
      <c r="D997" s="87" t="n"/>
    </row>
    <row r="998">
      <c r="D998" s="87" t="n"/>
    </row>
    <row r="999">
      <c r="D999" s="87" t="n"/>
    </row>
    <row r="1000">
      <c r="D1000" s="87" t="n"/>
    </row>
  </sheetData>
  <mergeCells count="104">
    <mergeCell ref="B100:C100"/>
    <mergeCell ref="B141:C141"/>
    <mergeCell ref="B155:C155"/>
    <mergeCell ref="B22:C22"/>
    <mergeCell ref="B102:C102"/>
    <mergeCell ref="B77:C77"/>
    <mergeCell ref="B21:C21"/>
    <mergeCell ref="B86:C86"/>
    <mergeCell ref="A54:B54"/>
    <mergeCell ref="M54:N54"/>
    <mergeCell ref="B61:C61"/>
    <mergeCell ref="B101:C101"/>
    <mergeCell ref="B69:C69"/>
    <mergeCell ref="J4:K4"/>
    <mergeCell ref="A33:B33"/>
    <mergeCell ref="B127:C127"/>
    <mergeCell ref="B49:C49"/>
    <mergeCell ref="B51:C51"/>
    <mergeCell ref="B63:C63"/>
    <mergeCell ref="B26:C26"/>
    <mergeCell ref="B106:C106"/>
    <mergeCell ref="B16:C16"/>
    <mergeCell ref="B156:C156"/>
    <mergeCell ref="B131:C131"/>
    <mergeCell ref="B140:C140"/>
    <mergeCell ref="B18:C18"/>
    <mergeCell ref="B27:C27"/>
    <mergeCell ref="A153:B153"/>
    <mergeCell ref="A137:B137"/>
    <mergeCell ref="B157:C157"/>
    <mergeCell ref="B132:C132"/>
    <mergeCell ref="B29:C29"/>
    <mergeCell ref="A129:B129"/>
    <mergeCell ref="B158:C158"/>
    <mergeCell ref="M24:N24"/>
    <mergeCell ref="B15:C15"/>
    <mergeCell ref="B142:C142"/>
    <mergeCell ref="B80:C80"/>
    <mergeCell ref="B95:C95"/>
    <mergeCell ref="B89:C89"/>
    <mergeCell ref="B169:C169"/>
    <mergeCell ref="B144:C144"/>
    <mergeCell ref="B97:C97"/>
    <mergeCell ref="B7:C7"/>
    <mergeCell ref="B134:C134"/>
    <mergeCell ref="B121:C121"/>
    <mergeCell ref="A94:B94"/>
    <mergeCell ref="B122:C122"/>
    <mergeCell ref="B96:C96"/>
    <mergeCell ref="B56:C56"/>
    <mergeCell ref="B105:C105"/>
    <mergeCell ref="B176:C176"/>
    <mergeCell ref="B43:C43"/>
    <mergeCell ref="B58:C58"/>
    <mergeCell ref="B52:C52"/>
    <mergeCell ref="B120:C120"/>
    <mergeCell ref="B98:C98"/>
    <mergeCell ref="B42:C42"/>
    <mergeCell ref="B107:C107"/>
    <mergeCell ref="B60:C60"/>
    <mergeCell ref="B17:C17"/>
    <mergeCell ref="B88:C88"/>
    <mergeCell ref="B170:C170"/>
    <mergeCell ref="B57:C57"/>
    <mergeCell ref="B171:C171"/>
    <mergeCell ref="B44:C44"/>
    <mergeCell ref="A104:B104"/>
    <mergeCell ref="B19:C19"/>
    <mergeCell ref="B172:C172"/>
    <mergeCell ref="B146:C146"/>
    <mergeCell ref="B28:C28"/>
    <mergeCell ref="M104:N104"/>
    <mergeCell ref="B99:C99"/>
    <mergeCell ref="B108:C108"/>
    <mergeCell ref="B143:C143"/>
    <mergeCell ref="B30:C30"/>
    <mergeCell ref="B124:C124"/>
    <mergeCell ref="B133:C133"/>
    <mergeCell ref="B76:C76"/>
    <mergeCell ref="B45:C45"/>
    <mergeCell ref="B173:C173"/>
    <mergeCell ref="B126:C126"/>
    <mergeCell ref="B135:C135"/>
    <mergeCell ref="B109:C109"/>
    <mergeCell ref="A24:B24"/>
    <mergeCell ref="B47:C47"/>
    <mergeCell ref="B62:C62"/>
    <mergeCell ref="A148:B148"/>
    <mergeCell ref="B59:C59"/>
    <mergeCell ref="B46:C46"/>
    <mergeCell ref="B48:C48"/>
    <mergeCell ref="B111:C111"/>
    <mergeCell ref="B145:C145"/>
    <mergeCell ref="A84:B84"/>
    <mergeCell ref="M94:N94"/>
    <mergeCell ref="M84:N84"/>
    <mergeCell ref="B8:C8"/>
    <mergeCell ref="B175:C175"/>
    <mergeCell ref="B87:C87"/>
    <mergeCell ref="B139:C139"/>
    <mergeCell ref="A1:C1"/>
    <mergeCell ref="B123:C123"/>
    <mergeCell ref="B50:C50"/>
    <mergeCell ref="B110:C1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12.63" customWidth="1" style="270" min="1" max="1"/>
    <col width="30.38" customWidth="1" style="270" min="2" max="2"/>
    <col width="42" customWidth="1" style="270" min="4" max="4"/>
  </cols>
  <sheetData>
    <row r="1">
      <c r="A1" s="9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13" t="n"/>
      <c r="J1" s="13" t="n"/>
      <c r="K1" s="13" t="n"/>
      <c r="L1" s="13" t="n"/>
      <c r="M1" s="15" t="n"/>
      <c r="N1" s="15" t="n"/>
    </row>
    <row r="2">
      <c r="A2" s="78" t="inlineStr">
        <is>
          <t>VIGENCIA:</t>
        </is>
      </c>
      <c r="B2" s="210" t="n">
        <v>45293</v>
      </c>
      <c r="C2" s="13" t="n"/>
      <c r="D2" s="8" t="n"/>
      <c r="E2" s="9" t="n"/>
      <c r="F2" s="9" t="n"/>
      <c r="G2" s="9" t="n"/>
      <c r="H2" s="9" t="n"/>
      <c r="I2" s="13" t="n"/>
      <c r="J2" s="13" t="n"/>
      <c r="K2" s="13" t="n"/>
      <c r="L2" s="13" t="n"/>
      <c r="M2" s="15" t="n"/>
      <c r="N2" s="15" t="n"/>
    </row>
    <row r="3">
      <c r="A3" s="13" t="n"/>
      <c r="B3" s="13" t="n"/>
      <c r="C3" s="13" t="n"/>
      <c r="D3" s="10" t="n"/>
      <c r="E3" s="13" t="n"/>
      <c r="F3" s="13" t="n"/>
      <c r="G3" s="13" t="n"/>
      <c r="H3" s="13" t="n"/>
      <c r="I3" s="13" t="n"/>
      <c r="J3" s="13" t="n"/>
      <c r="K3" s="13" t="n"/>
      <c r="L3" s="13" t="n"/>
      <c r="M3" s="15" t="n"/>
      <c r="N3" s="15" t="n"/>
    </row>
    <row r="4">
      <c r="A4" s="13" t="n"/>
      <c r="B4" s="13" t="n"/>
      <c r="C4" s="13" t="n"/>
      <c r="D4" s="17" t="inlineStr">
        <is>
          <t>Lista 20 con -7 y -2</t>
        </is>
      </c>
      <c r="E4" s="12" t="inlineStr">
        <is>
          <t>Mayorista</t>
        </is>
      </c>
      <c r="F4" s="12" t="inlineStr">
        <is>
          <t>Minorista</t>
        </is>
      </c>
      <c r="G4" s="12" t="inlineStr">
        <is>
          <t>Minorista con IVA</t>
        </is>
      </c>
      <c r="H4" s="12" t="inlineStr">
        <is>
          <t>Redondeado</t>
        </is>
      </c>
      <c r="I4" s="13" t="n"/>
      <c r="J4" s="13" t="inlineStr">
        <is>
          <t>Antes del 7 + 2% ANTERIOR</t>
        </is>
      </c>
      <c r="L4" s="13" t="inlineStr">
        <is>
          <t>Antes del 7 + 2% ACTUAL</t>
        </is>
      </c>
      <c r="M4" s="14" t="n"/>
      <c r="N4" s="15" t="inlineStr">
        <is>
          <t>% Aumento</t>
        </is>
      </c>
    </row>
    <row r="5">
      <c r="A5" s="16" t="inlineStr">
        <is>
          <t>JABONES</t>
        </is>
      </c>
      <c r="B5" s="13" t="n"/>
      <c r="C5" s="13" t="n"/>
      <c r="D5" s="17" t="n"/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  <c r="N5" s="15" t="n"/>
    </row>
    <row r="6">
      <c r="A6" s="21" t="n"/>
      <c r="B6" s="13" t="n"/>
      <c r="C6" s="13" t="n"/>
      <c r="D6" s="23" t="n"/>
      <c r="E6" s="13" t="n"/>
      <c r="F6" s="13" t="n"/>
      <c r="G6" s="13" t="n"/>
      <c r="H6" s="13" t="n"/>
      <c r="I6" s="13" t="n"/>
      <c r="J6" s="13" t="n"/>
      <c r="K6" s="13" t="n"/>
      <c r="L6" s="13" t="n"/>
      <c r="M6" s="38" t="n"/>
      <c r="N6" s="15" t="n"/>
    </row>
    <row r="7">
      <c r="A7" s="21" t="n">
        <v>701</v>
      </c>
      <c r="B7" s="13" t="inlineStr">
        <is>
          <t>Botella 1 lt. Servicio Dilución DMQ</t>
        </is>
      </c>
      <c r="D7" s="70" t="n">
        <v>4292.38</v>
      </c>
      <c r="E7" s="23">
        <f>Round(D7*1.3/1.105,-2)</f>
        <v/>
      </c>
      <c r="F7" s="23">
        <f>E7/0.9</f>
        <v/>
      </c>
      <c r="G7" s="23">
        <f>F7*1.21</f>
        <v/>
      </c>
      <c r="H7" s="23">
        <f>round(G7,-2)</f>
        <v/>
      </c>
      <c r="I7" s="13" t="n"/>
      <c r="J7" s="24" t="inlineStr">
        <is>
          <t>$2.081,14</t>
        </is>
      </c>
      <c r="K7" s="13" t="n"/>
      <c r="L7" s="25" t="inlineStr">
        <is>
          <t>$1.945,00</t>
        </is>
      </c>
      <c r="M7" s="38" t="n"/>
      <c r="N7" s="26" t="n">
        <v>-0.0654</v>
      </c>
    </row>
    <row r="8">
      <c r="A8" s="21" t="n">
        <v>720</v>
      </c>
      <c r="B8" s="13" t="inlineStr">
        <is>
          <t>Bidon x 5 lts. Jabón Líquido Tocador</t>
        </is>
      </c>
      <c r="D8" s="71" t="n">
        <v>13461.46</v>
      </c>
      <c r="E8" s="23">
        <f>Round(D8*1.3/1.105,-2)</f>
        <v/>
      </c>
      <c r="F8" s="23">
        <f>E8/0.9</f>
        <v/>
      </c>
      <c r="G8" s="23">
        <f>F8*1.21</f>
        <v/>
      </c>
      <c r="H8" s="23">
        <f>round(G8,-2)</f>
        <v/>
      </c>
      <c r="I8" s="13" t="n"/>
      <c r="J8" s="24" t="inlineStr">
        <is>
          <t>$6.526,77</t>
        </is>
      </c>
      <c r="K8" s="13" t="n"/>
      <c r="L8" s="27" t="inlineStr">
        <is>
          <t>$6.099,78</t>
        </is>
      </c>
      <c r="M8" s="38" t="n"/>
      <c r="N8" s="26" t="n">
        <v>-0.0654</v>
      </c>
    </row>
    <row r="9">
      <c r="A9" s="21" t="n"/>
      <c r="B9" s="13" t="n"/>
      <c r="C9" s="13" t="n"/>
      <c r="D9" s="23" t="n"/>
      <c r="E9" s="13" t="n"/>
      <c r="F9" s="13" t="n"/>
      <c r="G9" s="13" t="n"/>
      <c r="H9" s="13" t="n"/>
      <c r="I9" s="13" t="n"/>
      <c r="J9" s="13" t="n"/>
      <c r="K9" s="13" t="n"/>
      <c r="L9" s="13" t="n"/>
      <c r="M9" s="38" t="n"/>
      <c r="N9" s="15" t="n"/>
    </row>
    <row r="10">
      <c r="A10" s="16" t="inlineStr">
        <is>
          <t>TOALLAS</t>
        </is>
      </c>
      <c r="B10" s="13" t="n"/>
      <c r="C10" s="13" t="n"/>
      <c r="D10" s="23" t="n">
        <v>1.650139448</v>
      </c>
      <c r="E10" s="10">
        <f>D14*1.3/1.105</f>
        <v/>
      </c>
      <c r="F10" s="13" t="n"/>
      <c r="G10" s="13" t="n"/>
      <c r="H10" s="13" t="n"/>
      <c r="I10" s="13" t="n"/>
      <c r="J10" s="13" t="n"/>
      <c r="K10" s="13" t="n"/>
      <c r="L10" s="13" t="n"/>
      <c r="M10" s="14" t="n"/>
      <c r="N10" s="15" t="n"/>
    </row>
    <row r="11">
      <c r="A11" s="28" t="n"/>
      <c r="B11" s="13" t="n"/>
      <c r="C11" s="13" t="n"/>
      <c r="D11" s="2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  <c r="N11" s="15" t="n"/>
    </row>
    <row r="12">
      <c r="A12" s="21" t="n">
        <v>901</v>
      </c>
      <c r="B12" s="13" t="inlineStr">
        <is>
          <t>Toallas Blancas Super 21x25</t>
        </is>
      </c>
      <c r="C12" s="13" t="n"/>
      <c r="D12" s="23" t="n">
        <v>15975.05</v>
      </c>
      <c r="E12" s="23">
        <f>Round(D12*1.3*1.105,-2)</f>
        <v/>
      </c>
      <c r="F12" s="23">
        <f>E12/0.9</f>
        <v/>
      </c>
      <c r="G12" s="23">
        <f>F12*1.21</f>
        <v/>
      </c>
      <c r="H12" s="23">
        <f>round(G12,-2)</f>
        <v/>
      </c>
      <c r="I12" s="13" t="n"/>
      <c r="J12" s="24" t="inlineStr">
        <is>
          <t>$7.745,48</t>
        </is>
      </c>
      <c r="K12" s="13" t="n"/>
      <c r="L12" s="25" t="inlineStr">
        <is>
          <t>$7.238,77</t>
        </is>
      </c>
      <c r="M12" s="38" t="n"/>
      <c r="N12" s="26" t="n">
        <v>-0.0654</v>
      </c>
    </row>
    <row r="13">
      <c r="A13" s="21" t="n">
        <v>902</v>
      </c>
      <c r="B13" s="13" t="inlineStr">
        <is>
          <t>Toallas Blancas Pura Simple</t>
        </is>
      </c>
      <c r="C13" s="13" t="n"/>
      <c r="D13" s="23" t="n">
        <v>17714.79</v>
      </c>
      <c r="E13" s="23">
        <f>Round(D13*1.3*1.105,-2)</f>
        <v/>
      </c>
      <c r="F13" s="23">
        <f>E13/0.9</f>
        <v/>
      </c>
      <c r="G13" s="23">
        <f>F13*1.21</f>
        <v/>
      </c>
      <c r="H13" s="23">
        <f>round(G13,-2)</f>
        <v/>
      </c>
      <c r="I13" s="13" t="n"/>
      <c r="J13" s="24" t="inlineStr">
        <is>
          <t>$8.588,99</t>
        </is>
      </c>
      <c r="K13" s="13" t="n"/>
      <c r="L13" s="27" t="inlineStr">
        <is>
          <t>$8.027,10</t>
        </is>
      </c>
      <c r="M13" s="38" t="n"/>
      <c r="N13" s="26" t="n">
        <v>-0.0654</v>
      </c>
    </row>
    <row r="14">
      <c r="A14" s="21" t="n">
        <v>903</v>
      </c>
      <c r="B14" s="13" t="inlineStr">
        <is>
          <t>Toallas Blancas Pura Doble</t>
        </is>
      </c>
      <c r="C14" s="13" t="n"/>
      <c r="D14" s="23" t="n">
        <v>21904.55</v>
      </c>
      <c r="E14" s="23">
        <f>Round(D14*1.3*1.105,-2)</f>
        <v/>
      </c>
      <c r="F14" s="23">
        <f>E14/0.9</f>
        <v/>
      </c>
      <c r="G14" s="23">
        <f>F14*1.21</f>
        <v/>
      </c>
      <c r="H14" s="23">
        <f>round(G14,-2)</f>
        <v/>
      </c>
      <c r="I14" s="13" t="n"/>
      <c r="J14" s="24" t="inlineStr">
        <is>
          <t>$10.620,39</t>
        </is>
      </c>
      <c r="K14" s="13" t="n"/>
      <c r="L14" s="27" t="inlineStr">
        <is>
          <t>$9.925,60</t>
        </is>
      </c>
      <c r="M14" s="38" t="n"/>
      <c r="N14" s="26" t="n">
        <v>-0.0654</v>
      </c>
    </row>
    <row r="15">
      <c r="A15" s="21" t="n">
        <v>914</v>
      </c>
      <c r="B15" s="13" t="inlineStr">
        <is>
          <t>Toalla Blanca Unitas (17,5x25 cm)</t>
        </is>
      </c>
      <c r="D15" s="23" t="n">
        <v>12172.51</v>
      </c>
      <c r="E15" s="23">
        <f>Round(D15*1.3*1.105,-2)</f>
        <v/>
      </c>
      <c r="F15" s="23">
        <f>E15/0.9</f>
        <v/>
      </c>
      <c r="G15" s="23">
        <f>F15*1.21</f>
        <v/>
      </c>
      <c r="H15" s="23">
        <f>round(G15,-2)</f>
        <v/>
      </c>
      <c r="I15" s="13" t="n"/>
      <c r="J15" s="24" t="inlineStr">
        <is>
          <t>$5.901,82</t>
        </is>
      </c>
      <c r="K15" s="13" t="n"/>
      <c r="L15" s="27" t="inlineStr">
        <is>
          <t>$5.515,72</t>
        </is>
      </c>
      <c r="M15" s="38" t="n"/>
      <c r="N15" s="26" t="n">
        <v>-0.0654</v>
      </c>
    </row>
    <row r="16">
      <c r="A16" s="21" t="n">
        <v>916</v>
      </c>
      <c r="B16" s="13" t="inlineStr">
        <is>
          <t>Toalla Blanca Especial 21 x 25 ( tiza )</t>
        </is>
      </c>
      <c r="D16" s="23" t="n">
        <v>14901.14</v>
      </c>
      <c r="E16" s="23">
        <f>Round(D16*1.3*1.105,-2)</f>
        <v/>
      </c>
      <c r="F16" s="23">
        <f>E16/0.9</f>
        <v/>
      </c>
      <c r="G16" s="23">
        <f>F16*1.21</f>
        <v/>
      </c>
      <c r="H16" s="23">
        <f>round(G16,-2)</f>
        <v/>
      </c>
      <c r="I16" s="13" t="n"/>
      <c r="J16" s="24" t="inlineStr">
        <is>
          <t>$7.223,52</t>
        </is>
      </c>
      <c r="K16" s="13" t="n"/>
      <c r="L16" s="27" t="inlineStr">
        <is>
          <t>$6.750,96</t>
        </is>
      </c>
      <c r="M16" s="38" t="n"/>
      <c r="N16" s="26" t="n">
        <v>-0.0654</v>
      </c>
    </row>
    <row r="17">
      <c r="A17" s="21" t="n">
        <v>920</v>
      </c>
      <c r="B17" s="13" t="inlineStr">
        <is>
          <t>Toalla Blanca Especial 21 x 37 ( tiza )</t>
        </is>
      </c>
      <c r="D17" s="23" t="n">
        <v>20323.81</v>
      </c>
      <c r="E17" s="23">
        <f>Round(D17*1.3*1.105,-2)</f>
        <v/>
      </c>
      <c r="F17" s="23">
        <f>E17/0.9</f>
        <v/>
      </c>
      <c r="G17" s="23">
        <f>F17*1.21</f>
        <v/>
      </c>
      <c r="H17" s="23">
        <f>round(G17,-2)</f>
        <v/>
      </c>
      <c r="I17" s="13" t="n"/>
      <c r="J17" s="24" t="inlineStr">
        <is>
          <t>$9.853,97</t>
        </is>
      </c>
      <c r="K17" s="13" t="n"/>
      <c r="L17" s="27" t="inlineStr">
        <is>
          <t>$9.209,32</t>
        </is>
      </c>
      <c r="M17" s="38" t="n"/>
      <c r="N17" s="26" t="n">
        <v>-0.0654</v>
      </c>
    </row>
    <row r="18">
      <c r="A18" s="21" t="n">
        <v>927</v>
      </c>
      <c r="B18" s="13" t="inlineStr">
        <is>
          <t>Toalla Blanca Especial 17,5 x 25 ( tiza ) Unita</t>
        </is>
      </c>
      <c r="D18" s="23" t="n">
        <v>11678.45</v>
      </c>
      <c r="E18" s="23">
        <f>Round(D18*1.3*1.105,-2)</f>
        <v/>
      </c>
      <c r="F18" s="23">
        <f>E18/0.9</f>
        <v/>
      </c>
      <c r="G18" s="23">
        <f>F18*1.21</f>
        <v/>
      </c>
      <c r="H18" s="23">
        <f>round(G18,-2)</f>
        <v/>
      </c>
      <c r="I18" s="13" t="n"/>
      <c r="J18" s="24" t="inlineStr">
        <is>
          <t>$5.662,28</t>
        </is>
      </c>
      <c r="K18" s="13" t="n"/>
      <c r="L18" s="27" t="inlineStr">
        <is>
          <t>$5.291,86</t>
        </is>
      </c>
      <c r="M18" s="38" t="n"/>
      <c r="N18" s="26" t="n">
        <v>-0.0654</v>
      </c>
    </row>
    <row r="19">
      <c r="A19" s="21" t="n">
        <v>928</v>
      </c>
      <c r="B19" s="13" t="inlineStr">
        <is>
          <t>Cajas x 2500 Toallas Beige 21x37</t>
        </is>
      </c>
      <c r="D19" s="23" t="n">
        <v>17234.45</v>
      </c>
      <c r="E19" s="23">
        <f>Round(D19*1.3*1.105,-2)</f>
        <v/>
      </c>
      <c r="F19" s="23">
        <f>E19/0.9</f>
        <v/>
      </c>
      <c r="G19" s="23">
        <f>F19*1.21</f>
        <v/>
      </c>
      <c r="H19" s="23">
        <f>round(G19,-2)</f>
        <v/>
      </c>
      <c r="I19" s="13" t="n"/>
      <c r="J19" s="24" t="inlineStr">
        <is>
          <t>$8.356,10</t>
        </is>
      </c>
      <c r="K19" s="13" t="n"/>
      <c r="L19" s="27" t="inlineStr">
        <is>
          <t>$7.809,44</t>
        </is>
      </c>
      <c r="M19" s="38" t="n"/>
      <c r="N19" s="26" t="n">
        <v>-0.0654</v>
      </c>
    </row>
    <row r="20">
      <c r="A20" s="21" t="n">
        <v>930</v>
      </c>
      <c r="B20" s="13" t="inlineStr">
        <is>
          <t>Toalla Blanca Super 21x37 cm</t>
        </is>
      </c>
      <c r="C20" s="13" t="n"/>
      <c r="D20" s="23" t="n">
        <v>21968.44</v>
      </c>
      <c r="E20" s="23">
        <f>Round(D20*1.3*1.105,-2)</f>
        <v/>
      </c>
      <c r="F20" s="23">
        <f>E20/0.9</f>
        <v/>
      </c>
      <c r="G20" s="23">
        <f>F20*1.21</f>
        <v/>
      </c>
      <c r="H20" s="23">
        <f>round(G20,-2)</f>
        <v/>
      </c>
      <c r="I20" s="13" t="n"/>
      <c r="J20" s="24" t="inlineStr">
        <is>
          <t>$10.651,38</t>
        </is>
      </c>
      <c r="K20" s="13" t="n"/>
      <c r="L20" s="27" t="inlineStr">
        <is>
          <t>$9.954,56</t>
        </is>
      </c>
      <c r="M20" s="38" t="n"/>
      <c r="N20" s="26" t="n">
        <v>-0.0654</v>
      </c>
    </row>
    <row r="21">
      <c r="A21" s="21" t="n">
        <v>931</v>
      </c>
      <c r="B21" s="13" t="inlineStr">
        <is>
          <t>Caja x 2500 Toallas Beige Unitas 17,5 cm x 25 cm</t>
        </is>
      </c>
      <c r="D21" s="23" t="n">
        <v>10744.28</v>
      </c>
      <c r="E21" s="23">
        <f>Round(D21*1.3*1.105,-2)</f>
        <v/>
      </c>
      <c r="F21" s="23">
        <f>E21/0.9</f>
        <v/>
      </c>
      <c r="G21" s="23">
        <f>F21*1.21</f>
        <v/>
      </c>
      <c r="H21" s="23">
        <f>round(G21,-2)</f>
        <v/>
      </c>
      <c r="I21" s="24" t="n"/>
      <c r="J21" s="24" t="inlineStr">
        <is>
          <t>$5.209,35</t>
        </is>
      </c>
      <c r="K21" s="13" t="n"/>
      <c r="L21" s="27" t="inlineStr">
        <is>
          <t>$4.868,56</t>
        </is>
      </c>
      <c r="M21" s="38" t="n"/>
      <c r="N21" s="26" t="n">
        <v>-0.0654</v>
      </c>
    </row>
    <row r="22">
      <c r="A22" s="21" t="n">
        <v>932</v>
      </c>
      <c r="B22" s="13" t="inlineStr">
        <is>
          <t>Caja x 2500 Toallas Beige 21 cm x 25 cm simple hoja</t>
        </is>
      </c>
      <c r="D22" s="23" t="n">
        <v>12250.36</v>
      </c>
      <c r="E22" s="23">
        <f>Round(D22*1.3*1.105,-2)</f>
        <v/>
      </c>
      <c r="F22" s="23">
        <f>E22/0.9</f>
        <v/>
      </c>
      <c r="G22" s="23">
        <f>F22*1.21</f>
        <v/>
      </c>
      <c r="H22" s="23">
        <f>round(G22,-2)</f>
        <v/>
      </c>
      <c r="I22" s="13" t="n"/>
      <c r="J22" s="24" t="inlineStr">
        <is>
          <t>$5.939,57</t>
        </is>
      </c>
      <c r="K22" s="13" t="n"/>
      <c r="L22" s="27" t="inlineStr">
        <is>
          <t>$5.551,00</t>
        </is>
      </c>
      <c r="M22" s="38" t="n"/>
      <c r="N22" s="26" t="n">
        <v>-0.0654</v>
      </c>
    </row>
    <row r="23">
      <c r="A23" s="21" t="n"/>
      <c r="B23" s="13" t="n"/>
      <c r="C23" s="13" t="n"/>
      <c r="D23" s="2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38" t="n"/>
      <c r="N23" s="15" t="n"/>
    </row>
    <row r="24">
      <c r="A24" s="16" t="inlineStr">
        <is>
          <t>TOALLAS EN ROLLO</t>
        </is>
      </c>
      <c r="B24" s="271" t="n"/>
      <c r="C24" s="13" t="n"/>
      <c r="D24" s="2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>
      <c r="A25" s="28" t="n"/>
      <c r="B25" s="9" t="n"/>
      <c r="C25" s="13" t="n"/>
      <c r="D25" s="2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4" t="n"/>
      <c r="N25" s="40" t="n"/>
    </row>
    <row r="26">
      <c r="A26" s="64" t="n">
        <v>116</v>
      </c>
      <c r="B26" s="61" t="inlineStr">
        <is>
          <t>Pack x 6 Rollos de Toallas x 200 mts. Blanca</t>
        </is>
      </c>
      <c r="D26" s="60" t="n">
        <v>24110.06</v>
      </c>
      <c r="E26" s="23">
        <f>Round(D26*1.3*1.105,-2)</f>
        <v/>
      </c>
      <c r="F26" s="23">
        <f>E26/0.9</f>
        <v/>
      </c>
      <c r="G26" s="23">
        <f>F26*1.21</f>
        <v/>
      </c>
      <c r="H26" s="23">
        <f>round(G26,-2)</f>
        <v/>
      </c>
      <c r="I26" s="13" t="n"/>
      <c r="J26" s="24" t="inlineStr">
        <is>
          <t>$11.689,72</t>
        </is>
      </c>
      <c r="K26" s="13" t="n"/>
      <c r="L26" s="27" t="inlineStr">
        <is>
          <t>$11.014,34</t>
        </is>
      </c>
      <c r="M26" s="38" t="n"/>
      <c r="N26" s="26" t="n">
        <v>-0.0578</v>
      </c>
    </row>
    <row r="27">
      <c r="A27" s="21" t="n">
        <v>135</v>
      </c>
      <c r="B27" s="13" t="inlineStr">
        <is>
          <t>Recarga Original P/Dispenser Celmatic 2500 U. Dobles</t>
        </is>
      </c>
      <c r="D27" s="23" t="n">
        <v>30724.66</v>
      </c>
      <c r="E27" s="23">
        <f>Round(D27*1.3*1.105,-2)</f>
        <v/>
      </c>
      <c r="F27" s="23">
        <f>E27/0.9</f>
        <v/>
      </c>
      <c r="G27" s="23">
        <f>F27*1.21</f>
        <v/>
      </c>
      <c r="H27" s="23">
        <f>round(G27,-2)</f>
        <v/>
      </c>
      <c r="I27" s="13" t="n"/>
      <c r="J27" s="24" t="inlineStr">
        <is>
          <t>$14.896,81</t>
        </is>
      </c>
      <c r="K27" s="13" t="n"/>
      <c r="L27" s="27" t="inlineStr">
        <is>
          <t>$5.338,02</t>
        </is>
      </c>
      <c r="M27" s="38" t="n"/>
      <c r="N27" s="26" t="n">
        <v>-0.6417</v>
      </c>
    </row>
    <row r="28">
      <c r="A28" s="21" t="n">
        <v>136</v>
      </c>
      <c r="B28" s="13" t="inlineStr">
        <is>
          <t>Pack x 4 Recarga Celmatic Due 2400 U. Dobles</t>
        </is>
      </c>
      <c r="D28" s="23" t="n">
        <v>24307.27</v>
      </c>
      <c r="E28" s="23">
        <f>Round(D28*1.3*1.105,-2)</f>
        <v/>
      </c>
      <c r="F28" s="23">
        <f>E28/0.9</f>
        <v/>
      </c>
      <c r="G28" s="23">
        <f>F28*1.21</f>
        <v/>
      </c>
      <c r="H28" s="23">
        <f>round(G28,-2)</f>
        <v/>
      </c>
      <c r="I28" s="13" t="n"/>
      <c r="J28" s="24" t="inlineStr">
        <is>
          <t>$11.785,34</t>
        </is>
      </c>
      <c r="K28" s="13" t="n"/>
      <c r="L28" s="27" t="inlineStr">
        <is>
          <t>$4.254,18</t>
        </is>
      </c>
      <c r="M28" s="38" t="n"/>
      <c r="N28" s="26" t="n">
        <v>-0.639</v>
      </c>
    </row>
    <row r="29">
      <c r="A29" s="21" t="n">
        <v>204</v>
      </c>
      <c r="B29" s="13" t="inlineStr">
        <is>
          <t>Pack X 2 Rollos de toalla x 300 mts Blanca</t>
        </is>
      </c>
      <c r="D29" s="23" t="n">
        <v>11780.34</v>
      </c>
      <c r="E29" s="23">
        <f>Round(D29*1.3*1.105,-2)</f>
        <v/>
      </c>
      <c r="F29" s="23">
        <f>E29/0.9</f>
        <v/>
      </c>
      <c r="G29" s="23">
        <f>F29*1.21</f>
        <v/>
      </c>
      <c r="H29" s="23">
        <f>round(G29,-2)</f>
        <v/>
      </c>
      <c r="I29" s="13" t="n"/>
      <c r="J29" s="24" t="inlineStr">
        <is>
          <t>$5.711,68</t>
        </is>
      </c>
      <c r="K29" s="13" t="n"/>
      <c r="L29" s="27" t="inlineStr">
        <is>
          <t>$10.924,98</t>
        </is>
      </c>
      <c r="M29" s="38" t="n"/>
      <c r="N29" s="26" t="n">
        <v>0.9127</v>
      </c>
    </row>
    <row r="30">
      <c r="A30" s="21" t="n">
        <v>205</v>
      </c>
      <c r="B30" s="13" t="inlineStr">
        <is>
          <t>Pack X 2 Rollos de toalla x 240 mts Blanca</t>
        </is>
      </c>
      <c r="D30" s="23" t="n">
        <v>9388.450000000001</v>
      </c>
      <c r="E30" s="23">
        <f>Round(D30*1.3*1.105,-2)</f>
        <v/>
      </c>
      <c r="F30" s="23">
        <f>E30/0.9</f>
        <v/>
      </c>
      <c r="G30" s="23">
        <f>F30*1.21</f>
        <v/>
      </c>
      <c r="H30" s="23">
        <f>round(G30,-2)</f>
        <v/>
      </c>
      <c r="I30" s="13" t="n"/>
      <c r="J30" s="24" t="inlineStr">
        <is>
          <t>$4.551,98</t>
        </is>
      </c>
      <c r="K30" s="13" t="n"/>
      <c r="L30" s="27" t="inlineStr">
        <is>
          <t>$13.922,26</t>
        </is>
      </c>
      <c r="M30" s="38" t="n"/>
      <c r="N30" s="26" t="n">
        <v>2.0585</v>
      </c>
    </row>
    <row r="31">
      <c r="A31" s="13" t="n"/>
      <c r="B31" s="13" t="n"/>
      <c r="C31" s="13" t="n"/>
      <c r="D31" s="10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</row>
    <row r="32">
      <c r="A32" s="13" t="n"/>
      <c r="B32" s="13" t="n"/>
      <c r="C32" s="13" t="n"/>
      <c r="D32" s="10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>
      <c r="A33" s="43" t="inlineStr">
        <is>
          <t>SERVILLETAS LAMINADAS</t>
        </is>
      </c>
      <c r="B33" s="272" t="n"/>
      <c r="C33" s="13" t="n"/>
      <c r="D33" s="2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38" t="n"/>
      <c r="N33" s="15" t="n"/>
    </row>
    <row r="34">
      <c r="A34" s="21" t="n"/>
      <c r="B34" s="13" t="n"/>
      <c r="C34" s="13" t="n"/>
      <c r="D34" s="2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38" t="n"/>
      <c r="N34" s="15" t="n"/>
    </row>
    <row r="35">
      <c r="A35" s="45" t="n">
        <v>550</v>
      </c>
      <c r="B35" s="47" t="inlineStr">
        <is>
          <t>CAJA POR 1600 SERV LAMINADAS DE 40 X40 CM</t>
        </is>
      </c>
      <c r="C35" s="47" t="n"/>
      <c r="D35" s="48" t="n">
        <v>87887.64</v>
      </c>
      <c r="E35" s="23">
        <f>Round(D35*1.3*1.105,-2)</f>
        <v/>
      </c>
      <c r="F35" s="23">
        <f>E35/0.9</f>
        <v/>
      </c>
      <c r="G35" s="23">
        <f>F35*1.21</f>
        <v/>
      </c>
      <c r="H35" s="23">
        <f>round(G35,-2)</f>
        <v/>
      </c>
      <c r="I35" s="13" t="n"/>
      <c r="J35" s="13" t="n"/>
      <c r="K35" s="13" t="n"/>
      <c r="L35" s="13" t="n"/>
      <c r="M35" s="38" t="n"/>
      <c r="N35" s="15" t="n"/>
    </row>
    <row r="36">
      <c r="A36" s="49" t="n">
        <v>551</v>
      </c>
      <c r="B36" s="51" t="inlineStr">
        <is>
          <t>CAJA POR 1600 SERV ECOLOGICAS LAM DE 40 X40</t>
        </is>
      </c>
      <c r="C36" s="51" t="n"/>
      <c r="D36" s="52" t="n">
        <v>87887.64</v>
      </c>
      <c r="E36" s="23">
        <f>Round(D36*1.3*1.105,-2)</f>
        <v/>
      </c>
      <c r="F36" s="23">
        <f>E36/0.9</f>
        <v/>
      </c>
      <c r="G36" s="23">
        <f>F36*1.21</f>
        <v/>
      </c>
      <c r="H36" s="23">
        <f>round(G36,-2)</f>
        <v/>
      </c>
      <c r="I36" s="13" t="n"/>
      <c r="J36" s="13" t="n"/>
      <c r="K36" s="13" t="n"/>
      <c r="L36" s="13" t="n"/>
      <c r="M36" s="38" t="n"/>
      <c r="N36" s="15" t="n"/>
    </row>
    <row r="37">
      <c r="A37" s="21" t="n"/>
      <c r="B37" s="13" t="n"/>
      <c r="C37" s="13" t="n"/>
      <c r="D37" s="2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38" t="n"/>
      <c r="N37" s="15" t="n"/>
    </row>
    <row r="38">
      <c r="A38" s="21" t="n"/>
      <c r="B38" s="13" t="n"/>
      <c r="C38" s="13" t="n"/>
      <c r="D38" s="2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38" t="n"/>
      <c r="N38" s="15" t="n"/>
    </row>
    <row r="39">
      <c r="A39" s="21" t="n"/>
      <c r="B39" s="13" t="n"/>
      <c r="C39" s="13" t="n"/>
      <c r="D39" s="2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38" t="n"/>
      <c r="N39" s="15" t="n"/>
    </row>
    <row r="40">
      <c r="A40" s="16" t="inlineStr">
        <is>
          <t>CELSOFT</t>
        </is>
      </c>
      <c r="B40" s="55" t="inlineStr">
        <is>
          <t>Precios en Dolares</t>
        </is>
      </c>
      <c r="C40" s="13" t="n"/>
      <c r="D40" s="54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4" t="n"/>
      <c r="N40" s="15" t="n"/>
    </row>
    <row r="41">
      <c r="A41" s="28" t="n"/>
      <c r="B41" s="55" t="n"/>
      <c r="C41" s="13" t="n"/>
      <c r="D41" s="56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4" t="n"/>
      <c r="N41" s="15" t="n"/>
    </row>
    <row r="42">
      <c r="A42" s="21" t="n">
        <v>501</v>
      </c>
      <c r="B42" s="57" t="inlineStr">
        <is>
          <t>Pack x 2 rollos Cel-Soft de 22,5 x 150 mts</t>
        </is>
      </c>
      <c r="D42" s="23" t="n">
        <v>61.27</v>
      </c>
      <c r="E42" s="23">
        <f>Round(D42*1.3*1.105,-1)</f>
        <v/>
      </c>
      <c r="F42" s="23">
        <f>E42/0.9</f>
        <v/>
      </c>
      <c r="G42" s="23">
        <f>F42*1.21</f>
        <v/>
      </c>
      <c r="H42" s="23">
        <f>round(G42,0)</f>
        <v/>
      </c>
      <c r="I42" s="13" t="n"/>
      <c r="J42" s="24" t="inlineStr">
        <is>
          <t>$61,27</t>
        </is>
      </c>
      <c r="K42" s="13" t="n"/>
      <c r="L42" s="25" t="inlineStr">
        <is>
          <t>$61,27</t>
        </is>
      </c>
      <c r="M42" s="38" t="n"/>
      <c r="N42" s="58" t="n">
        <v>0</v>
      </c>
    </row>
    <row r="43">
      <c r="A43" s="21" t="n">
        <v>505</v>
      </c>
      <c r="B43" s="13" t="inlineStr">
        <is>
          <t>Caja x 2000 U. Servilletas Cel-Soft 30 x 40 cm</t>
        </is>
      </c>
      <c r="D43" s="23" t="n">
        <v>294.18</v>
      </c>
      <c r="E43" s="23">
        <f>Round(D43*1.3*1.105,-1)</f>
        <v/>
      </c>
      <c r="F43" s="23">
        <f>E43/0.9</f>
        <v/>
      </c>
      <c r="G43" s="23">
        <f>F43*1.21</f>
        <v/>
      </c>
      <c r="H43" s="23">
        <f>round(G43,0)</f>
        <v/>
      </c>
      <c r="I43" s="13" t="n"/>
      <c r="J43" s="24" t="inlineStr">
        <is>
          <t>$294,28</t>
        </is>
      </c>
      <c r="K43" s="13" t="n"/>
      <c r="L43" s="27" t="inlineStr">
        <is>
          <t>$294,28</t>
        </is>
      </c>
      <c r="M43" s="38" t="n"/>
      <c r="N43" s="26" t="n">
        <v>0</v>
      </c>
    </row>
    <row r="44">
      <c r="A44" s="21" t="n">
        <v>506</v>
      </c>
      <c r="B44" s="13" t="inlineStr">
        <is>
          <t>Caja x 3500 Toallas Cel-Soft 21 x 25 cm Blancas</t>
        </is>
      </c>
      <c r="D44" s="23" t="n">
        <v>164.7</v>
      </c>
      <c r="E44" s="23">
        <f>Round(D44*1.3*1.105,-1)</f>
        <v/>
      </c>
      <c r="F44" s="23">
        <f>E44/0.9</f>
        <v/>
      </c>
      <c r="G44" s="23">
        <f>F44*1.21</f>
        <v/>
      </c>
      <c r="H44" s="23">
        <f>round(G44,0)</f>
        <v/>
      </c>
      <c r="I44" s="13" t="n"/>
      <c r="J44" s="24" t="inlineStr">
        <is>
          <t>$164,70</t>
        </is>
      </c>
      <c r="K44" s="13" t="n"/>
      <c r="L44" s="27" t="inlineStr">
        <is>
          <t>$164,70</t>
        </is>
      </c>
      <c r="M44" s="38" t="n"/>
      <c r="N44" s="26" t="n">
        <v>0</v>
      </c>
    </row>
    <row r="45">
      <c r="A45" s="21" t="n">
        <v>512</v>
      </c>
      <c r="B45" s="13" t="inlineStr">
        <is>
          <t>Caja x 2000 U. Servilletas Cel-Soft 30 x 25 cm</t>
        </is>
      </c>
      <c r="D45" s="23" t="n">
        <v>186.84</v>
      </c>
      <c r="E45" s="23">
        <f>Round(D45*1.3*1.105,-1)</f>
        <v/>
      </c>
      <c r="F45" s="23">
        <f>E45/0.9</f>
        <v/>
      </c>
      <c r="G45" s="23">
        <f>F45*1.21</f>
        <v/>
      </c>
      <c r="H45" s="23">
        <f>round(G45,0)</f>
        <v/>
      </c>
      <c r="I45" s="24" t="n"/>
      <c r="J45" s="24" t="inlineStr">
        <is>
          <t>$186,84</t>
        </is>
      </c>
      <c r="K45" s="13" t="n"/>
      <c r="L45" s="27" t="inlineStr">
        <is>
          <t>$186,84</t>
        </is>
      </c>
      <c r="M45" s="38" t="n"/>
      <c r="N45" s="26" t="n">
        <v>0</v>
      </c>
    </row>
    <row r="46">
      <c r="A46" s="21" t="n">
        <v>514</v>
      </c>
      <c r="B46" s="13" t="inlineStr">
        <is>
          <t>Caja por 600 servilletas Celsoft 40x40 Victoria Ambra</t>
        </is>
      </c>
      <c r="D46" s="23" t="n">
        <v>201.24</v>
      </c>
      <c r="E46" s="23">
        <f>Round(D46*1.3*1.105,-1)</f>
        <v/>
      </c>
      <c r="F46" s="23">
        <f>E46/0.9</f>
        <v/>
      </c>
      <c r="G46" s="23">
        <f>F46*1.21</f>
        <v/>
      </c>
      <c r="H46" s="23">
        <f>round(G46,0)</f>
        <v/>
      </c>
      <c r="I46" s="13" t="n"/>
      <c r="J46" s="24" t="inlineStr">
        <is>
          <t>$201,24</t>
        </is>
      </c>
      <c r="K46" s="13" t="n"/>
      <c r="L46" s="27" t="inlineStr">
        <is>
          <t>$201,24</t>
        </is>
      </c>
      <c r="M46" s="38" t="n"/>
      <c r="N46" s="26" t="n">
        <v>0</v>
      </c>
    </row>
    <row r="47">
      <c r="A47" s="21" t="n">
        <v>515</v>
      </c>
      <c r="B47" s="13" t="inlineStr">
        <is>
          <t>Caja por 600 servilletas Celsoft 40x40 Victoria Nero</t>
        </is>
      </c>
      <c r="D47" s="23" t="n">
        <v>201.24</v>
      </c>
      <c r="E47" s="23">
        <f>Round(D47*1.3*1.105,-1)</f>
        <v/>
      </c>
      <c r="F47" s="23">
        <f>E47/0.9</f>
        <v/>
      </c>
      <c r="G47" s="23">
        <f>F47*1.21</f>
        <v/>
      </c>
      <c r="H47" s="23">
        <f>round(G47,0)</f>
        <v/>
      </c>
      <c r="I47" s="13" t="n"/>
      <c r="J47" s="24" t="inlineStr">
        <is>
          <t>$201,24</t>
        </is>
      </c>
      <c r="K47" s="13" t="n"/>
      <c r="L47" s="27" t="inlineStr">
        <is>
          <t>$201,24</t>
        </is>
      </c>
      <c r="M47" s="38" t="n"/>
      <c r="N47" s="26" t="n">
        <v>0</v>
      </c>
    </row>
    <row r="48">
      <c r="A48" s="21" t="n">
        <v>516</v>
      </c>
      <c r="B48" s="13" t="inlineStr">
        <is>
          <t>Caja por 600 servilletas Celsoft 40x40 Tasca Bordeaux</t>
        </is>
      </c>
      <c r="D48" s="23" t="n">
        <v>237.29</v>
      </c>
      <c r="E48" s="23">
        <f>Round(D48*1.3*1.105,-1)</f>
        <v/>
      </c>
      <c r="F48" s="23">
        <f>E48/0.9</f>
        <v/>
      </c>
      <c r="G48" s="23">
        <f>F48*1.21</f>
        <v/>
      </c>
      <c r="H48" s="23">
        <f>round(G48,0)</f>
        <v/>
      </c>
      <c r="I48" s="13" t="n"/>
      <c r="J48" s="24" t="inlineStr">
        <is>
          <t>$237,29</t>
        </is>
      </c>
      <c r="K48" s="13" t="n"/>
      <c r="L48" s="27" t="inlineStr">
        <is>
          <t>$237,29</t>
        </is>
      </c>
      <c r="M48" s="38" t="n"/>
      <c r="N48" s="26" t="n">
        <v>0</v>
      </c>
    </row>
    <row r="49">
      <c r="A49" s="21" t="n">
        <v>517</v>
      </c>
      <c r="B49" s="13" t="inlineStr">
        <is>
          <t>Caja por 600 servilletas Celsoft 40x40 Tasca Nero</t>
        </is>
      </c>
      <c r="D49" s="23" t="n">
        <v>237.29</v>
      </c>
      <c r="E49" s="23">
        <f>Round(D49*1.3*1.105,-1)</f>
        <v/>
      </c>
      <c r="F49" s="23">
        <f>E49/0.9</f>
        <v/>
      </c>
      <c r="G49" s="23">
        <f>F49*1.21</f>
        <v/>
      </c>
      <c r="H49" s="23">
        <f>round(G49,0)</f>
        <v/>
      </c>
      <c r="I49" s="13" t="n"/>
      <c r="J49" s="24" t="inlineStr">
        <is>
          <t>$237,29</t>
        </is>
      </c>
      <c r="K49" s="13" t="n"/>
      <c r="L49" s="27" t="inlineStr">
        <is>
          <t>$237,29</t>
        </is>
      </c>
      <c r="M49" s="38" t="n"/>
      <c r="N49" s="26" t="n">
        <v>0</v>
      </c>
    </row>
    <row r="50">
      <c r="A50" s="21" t="n">
        <v>518</v>
      </c>
      <c r="B50" s="13" t="inlineStr">
        <is>
          <t>Caja por 600 servilletas Celsoft 40x40 Tasca Lino Avorio</t>
        </is>
      </c>
      <c r="D50" s="23" t="n">
        <v>201.24</v>
      </c>
      <c r="E50" s="23">
        <f>Round(D50*1.3*1.105,-1)</f>
        <v/>
      </c>
      <c r="F50" s="23">
        <f>E50/0.9</f>
        <v/>
      </c>
      <c r="G50" s="23">
        <f>F50*1.21</f>
        <v/>
      </c>
      <c r="H50" s="23">
        <f>round(G50,0)</f>
        <v/>
      </c>
      <c r="I50" s="13" t="n"/>
      <c r="J50" s="24" t="inlineStr">
        <is>
          <t>$201,24</t>
        </is>
      </c>
      <c r="K50" s="13" t="n"/>
      <c r="L50" s="27" t="inlineStr">
        <is>
          <t>$201,24</t>
        </is>
      </c>
      <c r="M50" s="38" t="n"/>
      <c r="N50" s="26" t="n">
        <v>0</v>
      </c>
    </row>
    <row r="51">
      <c r="A51" s="21" t="n">
        <v>519</v>
      </c>
      <c r="B51" s="13" t="inlineStr">
        <is>
          <t>Caja por 600 servilletas Celsoft 40x40 Taca Iuta Grigio</t>
        </is>
      </c>
      <c r="D51" s="23" t="n">
        <v>201.24</v>
      </c>
      <c r="E51" s="23">
        <f>Round(D51*1.3*1.105,-1)</f>
        <v/>
      </c>
      <c r="F51" s="23">
        <f>E51/0.9</f>
        <v/>
      </c>
      <c r="G51" s="23">
        <f>F51*1.21</f>
        <v/>
      </c>
      <c r="H51" s="23">
        <f>round(G51,0)</f>
        <v/>
      </c>
      <c r="I51" s="13" t="n"/>
      <c r="J51" s="24" t="inlineStr">
        <is>
          <t>$201,24</t>
        </is>
      </c>
      <c r="K51" s="13" t="n"/>
      <c r="L51" s="27" t="inlineStr">
        <is>
          <t>$201,24</t>
        </is>
      </c>
      <c r="M51" s="38" t="n"/>
      <c r="N51" s="26" t="n">
        <v>0</v>
      </c>
    </row>
    <row r="52">
      <c r="A52" s="21" t="n">
        <v>520</v>
      </c>
      <c r="B52" s="13" t="inlineStr">
        <is>
          <t>Caja de servilletas Celsoft 40 x 40 SAMPLER 300 Unid</t>
        </is>
      </c>
      <c r="D52" s="23" t="n">
        <v>106.52</v>
      </c>
      <c r="E52" s="23">
        <f>Round(D52*1.3*1.105,-1)</f>
        <v/>
      </c>
      <c r="F52" s="23">
        <f>E52/0.9</f>
        <v/>
      </c>
      <c r="G52" s="23">
        <f>F52*1.21</f>
        <v/>
      </c>
      <c r="H52" s="23">
        <f>round(G52,0)</f>
        <v/>
      </c>
      <c r="I52" s="13" t="n"/>
      <c r="J52" s="24" t="inlineStr">
        <is>
          <t>$106,52</t>
        </is>
      </c>
      <c r="K52" s="13" t="n"/>
      <c r="L52" s="27" t="inlineStr">
        <is>
          <t>$106,52</t>
        </is>
      </c>
      <c r="M52" s="38" t="n"/>
      <c r="N52" s="26" t="n">
        <v>0</v>
      </c>
    </row>
    <row r="53">
      <c r="A53" s="21" t="n"/>
      <c r="B53" s="13" t="n"/>
      <c r="C53" s="13" t="n"/>
      <c r="D53" s="2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38" t="n"/>
      <c r="N53" s="15" t="n"/>
    </row>
    <row r="54">
      <c r="A54" s="59" t="inlineStr">
        <is>
          <t>PAPEL HIGIENICO</t>
        </is>
      </c>
      <c r="B54" s="271" t="n"/>
      <c r="C54" s="13" t="n"/>
      <c r="D54" s="2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>
      <c r="A55" s="9" t="n"/>
      <c r="B55" s="13" t="n"/>
      <c r="C55" s="13" t="n"/>
      <c r="D55" s="2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40" t="n"/>
      <c r="N55" s="15" t="n"/>
    </row>
    <row r="56">
      <c r="A56" s="64" t="n">
        <v>211</v>
      </c>
      <c r="B56" s="61" t="inlineStr">
        <is>
          <t>Pack x18 Rollos Higienico Racional D/H x 60 mts</t>
        </is>
      </c>
      <c r="D56" s="60" t="n">
        <v>17267.51</v>
      </c>
      <c r="E56" s="60">
        <f>Round(D56*1.3*1.105,-2)</f>
        <v/>
      </c>
      <c r="F56" s="60">
        <f>E56/0.9</f>
        <v/>
      </c>
      <c r="G56" s="60">
        <f>F56*1.21</f>
        <v/>
      </c>
      <c r="H56" s="60">
        <f>round(G56,-2)</f>
        <v/>
      </c>
      <c r="I56" s="61" t="n"/>
      <c r="J56" s="62" t="inlineStr">
        <is>
          <t>$8.372,11</t>
        </is>
      </c>
      <c r="K56" s="61" t="n"/>
      <c r="L56" s="63" t="inlineStr">
        <is>
          <t>$7.824,41</t>
        </is>
      </c>
      <c r="M56" s="64" t="n"/>
      <c r="N56" s="65" t="n">
        <v>-0.0654</v>
      </c>
    </row>
    <row r="57">
      <c r="A57" s="21" t="n">
        <v>213</v>
      </c>
      <c r="B57" s="13" t="inlineStr">
        <is>
          <t>Pack x 4 Rollos Higienico Racional x 500 mts Buje 7,5</t>
        </is>
      </c>
      <c r="D57" s="23" t="n">
        <v>13382.59</v>
      </c>
      <c r="E57" s="23">
        <f>Round(D57*1.3*1.105,-2)</f>
        <v/>
      </c>
      <c r="F57" s="23">
        <f>E57/0.9</f>
        <v/>
      </c>
      <c r="G57" s="23">
        <f>F57*1.21</f>
        <v/>
      </c>
      <c r="H57" s="23">
        <f>round(G57,-2)</f>
        <v/>
      </c>
      <c r="I57" s="13" t="n"/>
      <c r="J57" s="24" t="inlineStr">
        <is>
          <t>$6.488,53</t>
        </is>
      </c>
      <c r="K57" s="13" t="n"/>
      <c r="L57" s="27" t="inlineStr">
        <is>
          <t>$6.064,05</t>
        </is>
      </c>
      <c r="M57" s="38" t="n"/>
      <c r="N57" s="26" t="n">
        <v>-0.0654</v>
      </c>
    </row>
    <row r="58">
      <c r="A58" s="64" t="n">
        <v>214</v>
      </c>
      <c r="B58" s="61" t="inlineStr">
        <is>
          <t>Pack x 18 rollos Papel Higienico Racional x 122 mts</t>
        </is>
      </c>
      <c r="D58" s="60" t="n">
        <v>16441.32</v>
      </c>
      <c r="E58" s="60">
        <f>Round(D58*1.3*1.105,-2)</f>
        <v/>
      </c>
      <c r="F58" s="60">
        <f>E58/0.9</f>
        <v/>
      </c>
      <c r="G58" s="60">
        <f>F58*1.21</f>
        <v/>
      </c>
      <c r="H58" s="60">
        <f>round(G58,-2)</f>
        <v/>
      </c>
      <c r="I58" s="61" t="n"/>
      <c r="J58" s="62" t="inlineStr">
        <is>
          <t>$7.971,55</t>
        </is>
      </c>
      <c r="K58" s="61" t="n"/>
      <c r="L58" s="66" t="inlineStr">
        <is>
          <t>$7.450,06</t>
        </is>
      </c>
      <c r="M58" s="64" t="n"/>
      <c r="N58" s="65" t="n">
        <v>-0.0654</v>
      </c>
    </row>
    <row r="59">
      <c r="A59" s="21" t="n">
        <v>218</v>
      </c>
      <c r="B59" s="13" t="inlineStr">
        <is>
          <t>Pack x 8 rollos Higienico Racional x 265 mts buje 7,5</t>
        </is>
      </c>
      <c r="D59" s="23" t="n">
        <v>15132.29</v>
      </c>
      <c r="E59" s="23">
        <f>Round(D59*1.3*1.105,-2)</f>
        <v/>
      </c>
      <c r="F59" s="23">
        <f>E59/0.9</f>
        <v/>
      </c>
      <c r="G59" s="23">
        <f>F59*1.21</f>
        <v/>
      </c>
      <c r="H59" s="23">
        <f>round(G59,-2)</f>
        <v/>
      </c>
      <c r="I59" s="13" t="n"/>
      <c r="J59" s="24" t="inlineStr">
        <is>
          <t>$7.336,87</t>
        </is>
      </c>
      <c r="K59" s="13" t="n"/>
      <c r="L59" s="27" t="inlineStr">
        <is>
          <t>$6.856,90</t>
        </is>
      </c>
      <c r="M59" s="38" t="n"/>
      <c r="N59" s="26" t="n">
        <v>-0.0654</v>
      </c>
    </row>
    <row r="60">
      <c r="A60" s="64" t="n">
        <v>220</v>
      </c>
      <c r="B60" s="61" t="inlineStr">
        <is>
          <t>Pack x 8 Rollos Papel Higienico Racional x 300 mts</t>
        </is>
      </c>
      <c r="D60" s="60" t="n">
        <v>17208.11</v>
      </c>
      <c r="E60" s="60">
        <f>Round(D60*1.3*1.105,-2)</f>
        <v/>
      </c>
      <c r="F60" s="60">
        <f>E60/0.9</f>
        <v/>
      </c>
      <c r="G60" s="60">
        <f>F60*1.21</f>
        <v/>
      </c>
      <c r="H60" s="60">
        <f>round(G60,-2)</f>
        <v/>
      </c>
      <c r="I60" s="61" t="n"/>
      <c r="J60" s="62" t="inlineStr">
        <is>
          <t>$8.360,60</t>
        </is>
      </c>
      <c r="K60" s="61" t="n"/>
      <c r="L60" s="66" t="inlineStr">
        <is>
          <t>$7.813,65</t>
        </is>
      </c>
      <c r="M60" s="64" t="n"/>
      <c r="N60" s="65" t="n">
        <v>-0.0654</v>
      </c>
    </row>
    <row r="61">
      <c r="A61" s="21" t="n">
        <v>222</v>
      </c>
      <c r="B61" s="13" t="inlineStr">
        <is>
          <t>Pack x 8 Rollos Papel Higienico x 260 mts Buje4,5</t>
        </is>
      </c>
      <c r="D61" s="23" t="n">
        <v>14638.8</v>
      </c>
      <c r="E61" s="23">
        <f>Round(D61*1.3*1.105,-2)</f>
        <v/>
      </c>
      <c r="F61" s="23">
        <f>E61/0.9</f>
        <v/>
      </c>
      <c r="G61" s="23">
        <f>F61*1.21</f>
        <v/>
      </c>
      <c r="H61" s="23">
        <f>round(G61,-2)</f>
        <v/>
      </c>
      <c r="I61" s="13" t="n"/>
      <c r="J61" s="24" t="inlineStr">
        <is>
          <t>$7.097,54</t>
        </is>
      </c>
      <c r="K61" s="13" t="n"/>
      <c r="L61" s="27" t="inlineStr">
        <is>
          <t>$6.633,22</t>
        </is>
      </c>
      <c r="M61" s="38" t="n"/>
      <c r="N61" s="26" t="n">
        <v>-0.0654</v>
      </c>
    </row>
    <row r="62">
      <c r="A62" s="21" t="n">
        <v>909</v>
      </c>
      <c r="B62" s="13" t="inlineStr">
        <is>
          <t>Papel Higiénico 20 x 14,5 8000 h. 4000 usos</t>
        </is>
      </c>
      <c r="D62" s="23" t="n">
        <v>22608.23</v>
      </c>
      <c r="E62" s="23">
        <f>Round(D62*1.3*1.105,-2)</f>
        <v/>
      </c>
      <c r="F62" s="23">
        <f>E62/0.9</f>
        <v/>
      </c>
      <c r="G62" s="23">
        <f>F62*1.21</f>
        <v/>
      </c>
      <c r="H62" s="23">
        <f>round(G62,-2)</f>
        <v/>
      </c>
      <c r="I62" s="13" t="n"/>
      <c r="J62" s="24" t="inlineStr">
        <is>
          <t>$10.961,55</t>
        </is>
      </c>
      <c r="K62" s="13" t="n"/>
      <c r="L62" s="27" t="inlineStr">
        <is>
          <t>$10.244,45</t>
        </is>
      </c>
      <c r="M62" s="38" t="n"/>
      <c r="N62" s="26" t="n">
        <v>-0.0654</v>
      </c>
    </row>
    <row r="63">
      <c r="A63" s="21" t="n">
        <v>912</v>
      </c>
      <c r="B63" s="13" t="inlineStr">
        <is>
          <t>Papel Higienico UNITAS(18x14,5cm) 8000 h/4000 usos</t>
        </is>
      </c>
      <c r="D63" s="23" t="n">
        <v>18165.12</v>
      </c>
      <c r="E63" s="23">
        <f>Round(D63*1.3*1.105,-2)</f>
        <v/>
      </c>
      <c r="F63" s="23">
        <f>E63/0.9</f>
        <v/>
      </c>
      <c r="G63" s="23">
        <f>F63*1.21</f>
        <v/>
      </c>
      <c r="H63" s="23">
        <f>round(G63,-2)</f>
        <v/>
      </c>
      <c r="I63" s="24" t="n"/>
      <c r="J63" s="24" t="inlineStr">
        <is>
          <t>$8.807,34</t>
        </is>
      </c>
      <c r="K63" s="13" t="n"/>
      <c r="L63" s="27" t="inlineStr">
        <is>
          <t>$8.231,16</t>
        </is>
      </c>
      <c r="M63" s="38" t="n"/>
      <c r="N63" s="26" t="n">
        <v>-0.0654</v>
      </c>
    </row>
    <row r="64">
      <c r="A64" s="21" t="n"/>
      <c r="B64" s="13" t="n"/>
      <c r="C64" s="13" t="n"/>
      <c r="D64" s="2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38" t="n"/>
      <c r="N64" s="15" t="n"/>
    </row>
    <row r="65">
      <c r="A65" s="21" t="n"/>
      <c r="B65" s="67" t="n">
        <v>44896</v>
      </c>
      <c r="C65" s="13" t="n"/>
      <c r="D65" s="2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38" t="n"/>
      <c r="N65" s="68" t="n"/>
    </row>
    <row r="66">
      <c r="A66" s="21" t="n"/>
      <c r="B66" s="13" t="n"/>
      <c r="C66" s="13" t="n"/>
      <c r="D66" s="2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38" t="n"/>
      <c r="N66" s="15" t="n"/>
    </row>
    <row r="67">
      <c r="A67" s="16" t="inlineStr">
        <is>
          <t>CAMILLEROS</t>
        </is>
      </c>
      <c r="B67" s="13" t="n"/>
      <c r="C67" s="13" t="n"/>
      <c r="D67" s="2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4" t="n"/>
      <c r="N67" s="15" t="n"/>
    </row>
    <row r="68">
      <c r="A68" s="28" t="n"/>
      <c r="B68" s="13" t="n"/>
      <c r="C68" s="13" t="n"/>
      <c r="D68" s="23" t="n">
        <v>8867.99</v>
      </c>
      <c r="E68" s="13" t="n"/>
      <c r="F68" s="13" t="n"/>
      <c r="G68" s="13" t="n"/>
      <c r="H68" s="13" t="n"/>
      <c r="I68" s="13" t="n"/>
      <c r="J68" s="24" t="inlineStr">
        <is>
          <t>$6.630,27</t>
        </is>
      </c>
      <c r="K68" s="13" t="n"/>
      <c r="L68" s="13" t="n"/>
      <c r="M68" s="14" t="n"/>
      <c r="N68" s="15" t="n"/>
    </row>
    <row r="69">
      <c r="A69" s="21" t="n">
        <v>301</v>
      </c>
      <c r="B69" s="13" t="inlineStr">
        <is>
          <t>Pack x 2 Rollos Camilleros bco s/h 54x100mts Prec</t>
        </is>
      </c>
      <c r="D69" s="23">
        <f>D68*1.65</f>
        <v/>
      </c>
      <c r="E69" s="23">
        <f>Round(D69*1.3*1.105,-2)</f>
        <v/>
      </c>
      <c r="F69" s="23">
        <f>E69/0.9</f>
        <v/>
      </c>
      <c r="G69" s="23">
        <f>F69*1.21</f>
        <v/>
      </c>
      <c r="H69" s="23">
        <f>round(G69,-2)</f>
        <v/>
      </c>
      <c r="I69" s="13" t="n"/>
      <c r="J69" s="24" t="inlineStr">
        <is>
          <t>$7.094,39</t>
        </is>
      </c>
      <c r="K69" s="13" t="n"/>
      <c r="L69" s="13" t="n"/>
      <c r="M69" s="38" t="n"/>
      <c r="N69" s="26" t="n">
        <v>0.1</v>
      </c>
    </row>
    <row r="70">
      <c r="A70" s="21" t="n"/>
      <c r="B70" s="155" t="n"/>
      <c r="C70" s="13" t="n"/>
      <c r="D70" s="2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38" t="n"/>
      <c r="N70" s="68" t="n"/>
    </row>
    <row r="71">
      <c r="A71" s="59" t="inlineStr">
        <is>
          <t>DISPENSERS</t>
        </is>
      </c>
      <c r="B71" s="13" t="n"/>
      <c r="C71" s="13" t="n"/>
      <c r="D71" s="23">
        <f>D69*8</f>
        <v/>
      </c>
      <c r="E71" s="13" t="n"/>
      <c r="F71" s="13" t="n"/>
      <c r="G71" s="13" t="n"/>
      <c r="H71" s="13" t="n"/>
      <c r="I71" s="13" t="n"/>
      <c r="J71" s="13" t="n"/>
      <c r="K71" s="13" t="n"/>
      <c r="L71" s="13" t="n"/>
      <c r="M71" s="40" t="n"/>
      <c r="N71" s="15" t="n"/>
    </row>
    <row r="72">
      <c r="A72" s="9" t="n"/>
      <c r="B72" s="13" t="n"/>
      <c r="C72" s="13" t="n"/>
      <c r="D72" s="2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40" t="n"/>
      <c r="N72" s="15" t="n"/>
    </row>
    <row r="73">
      <c r="A73" s="21" t="n">
        <v>403</v>
      </c>
      <c r="B73" s="13" t="inlineStr">
        <is>
          <t>Portabobina de Pared</t>
        </is>
      </c>
      <c r="C73" s="13" t="n"/>
      <c r="D73" s="70" t="n">
        <v>29618.49</v>
      </c>
      <c r="E73" s="23">
        <f>Round(D73*1.3*1.105,-2)</f>
        <v/>
      </c>
      <c r="F73" s="23">
        <f>E73/0.9</f>
        <v/>
      </c>
      <c r="G73" s="23">
        <f>F73*1.21</f>
        <v/>
      </c>
      <c r="H73" s="23">
        <f>round(G73,-2)</f>
        <v/>
      </c>
      <c r="I73" s="13" t="n"/>
      <c r="J73" s="24" t="inlineStr">
        <is>
          <t>$14.360,46</t>
        </is>
      </c>
      <c r="K73" s="13" t="n"/>
      <c r="L73" s="25" t="inlineStr">
        <is>
          <t>$13.421,00</t>
        </is>
      </c>
      <c r="M73" s="38" t="n"/>
      <c r="N73" s="26" t="n">
        <v>-0.0654</v>
      </c>
    </row>
    <row r="74">
      <c r="A74" s="21" t="n">
        <v>418</v>
      </c>
      <c r="B74" s="13" t="inlineStr">
        <is>
          <t>Portabobina de Piso</t>
        </is>
      </c>
      <c r="C74" s="13" t="n"/>
      <c r="D74" s="71" t="n">
        <v>32579.59</v>
      </c>
      <c r="E74" s="23">
        <f>Round(D74*1.3*1.105,-2)</f>
        <v/>
      </c>
      <c r="F74" s="23">
        <f>E74/0.9</f>
        <v/>
      </c>
      <c r="G74" s="23">
        <f>F74*1.21</f>
        <v/>
      </c>
      <c r="H74" s="23">
        <f>round(G74,-2)</f>
        <v/>
      </c>
      <c r="I74" s="13" t="n"/>
      <c r="J74" s="24" t="inlineStr">
        <is>
          <t>$15.796,17</t>
        </is>
      </c>
      <c r="K74" s="13" t="n"/>
      <c r="L74" s="27" t="inlineStr">
        <is>
          <t>$14.762,78</t>
        </is>
      </c>
      <c r="M74" s="38" t="n"/>
      <c r="N74" s="26" t="n">
        <v>-0.0654</v>
      </c>
    </row>
    <row r="75">
      <c r="A75" s="21" t="n">
        <v>422</v>
      </c>
      <c r="B75" s="13" t="inlineStr">
        <is>
          <t>Dispenser Celmatic Due</t>
        </is>
      </c>
      <c r="C75" s="13" t="n"/>
      <c r="D75" s="71" t="n">
        <v>41745.33</v>
      </c>
      <c r="E75" s="23">
        <f>Round(D75*1.3*1.105,-2)</f>
        <v/>
      </c>
      <c r="F75" s="23">
        <f>E75/0.9</f>
        <v/>
      </c>
      <c r="G75" s="23">
        <f>F75*1.21</f>
        <v/>
      </c>
      <c r="H75" s="23">
        <f>round(G75,-2)</f>
        <v/>
      </c>
      <c r="I75" s="13" t="n"/>
      <c r="J75" s="24" t="inlineStr">
        <is>
          <t>$20.240,16</t>
        </is>
      </c>
      <c r="K75" s="13" t="n"/>
      <c r="L75" s="27" t="inlineStr">
        <is>
          <t>$18.916,04</t>
        </is>
      </c>
      <c r="M75" s="38" t="n"/>
      <c r="N75" s="26" t="n">
        <v>-0.0654</v>
      </c>
    </row>
    <row r="76">
      <c r="A76" s="21" t="n">
        <v>425</v>
      </c>
      <c r="B76" s="13" t="inlineStr">
        <is>
          <t>Dosificador para Jabón Líquido Recargable</t>
        </is>
      </c>
      <c r="D76" s="71" t="n">
        <v>15659.75</v>
      </c>
      <c r="E76" s="23">
        <f>Round(D76*1.3*1.105,-2)</f>
        <v/>
      </c>
      <c r="F76" s="23">
        <f>E76/0.9</f>
        <v/>
      </c>
      <c r="G76" s="23">
        <f>F76*1.21</f>
        <v/>
      </c>
      <c r="H76" s="23">
        <f>round(G76,-2)</f>
        <v/>
      </c>
      <c r="I76" s="13" t="n"/>
      <c r="J76" s="24" t="inlineStr">
        <is>
          <t>$7.592,61</t>
        </is>
      </c>
      <c r="K76" s="13" t="n"/>
      <c r="L76" s="27" t="inlineStr">
        <is>
          <t>$7.095,90</t>
        </is>
      </c>
      <c r="M76" s="38" t="n"/>
      <c r="N76" s="26" t="n">
        <v>-0.0654</v>
      </c>
    </row>
    <row r="77">
      <c r="A77" s="21" t="n">
        <v>427</v>
      </c>
      <c r="B77" s="13" t="inlineStr">
        <is>
          <t>Dispenser Para Papel Higienico Racional 350</t>
        </is>
      </c>
      <c r="D77" s="71" t="n">
        <v>19128.65</v>
      </c>
      <c r="E77" s="23">
        <f>Round(D77*1.3*1.105,-2)</f>
        <v/>
      </c>
      <c r="F77" s="23">
        <f>E77/0.9</f>
        <v/>
      </c>
      <c r="G77" s="23">
        <f>F77*1.21</f>
        <v/>
      </c>
      <c r="H77" s="23">
        <f>round(G77,-2)</f>
        <v/>
      </c>
      <c r="I77" s="13" t="n"/>
      <c r="J77" s="24" t="inlineStr">
        <is>
          <t>$9.274,50</t>
        </is>
      </c>
      <c r="K77" s="13" t="n"/>
      <c r="L77" s="27" t="inlineStr">
        <is>
          <t>$8.667,76</t>
        </is>
      </c>
      <c r="M77" s="38" t="n"/>
      <c r="N77" s="26" t="n">
        <v>-0.0654</v>
      </c>
    </row>
    <row r="78">
      <c r="A78" s="21" t="n">
        <v>428</v>
      </c>
      <c r="B78" s="13" t="inlineStr">
        <is>
          <t>Dispenser para Papel Higiénico</t>
        </is>
      </c>
      <c r="C78" s="13" t="n"/>
      <c r="D78" s="71" t="n">
        <v>21874.26</v>
      </c>
      <c r="E78" s="23">
        <f>Round(D78*1.3*1.105,-2)</f>
        <v/>
      </c>
      <c r="F78" s="23">
        <f>E78/0.9</f>
        <v/>
      </c>
      <c r="G78" s="23">
        <f>F78*1.21</f>
        <v/>
      </c>
      <c r="H78" s="23">
        <f>round(G78,-2)</f>
        <v/>
      </c>
      <c r="I78" s="13" t="n"/>
      <c r="J78" s="24" t="inlineStr">
        <is>
          <t>$10.605,70</t>
        </is>
      </c>
      <c r="K78" s="13" t="n"/>
      <c r="L78" s="27" t="inlineStr">
        <is>
          <t>$9.911,88</t>
        </is>
      </c>
      <c r="M78" s="38" t="n"/>
      <c r="N78" s="26" t="n">
        <v>-0.0654</v>
      </c>
    </row>
    <row r="79">
      <c r="A79" s="21" t="n">
        <v>429</v>
      </c>
      <c r="B79" s="13" t="inlineStr">
        <is>
          <t>Dispenser para Toallas de Papel</t>
        </is>
      </c>
      <c r="C79" s="13" t="n"/>
      <c r="D79" s="71" t="n">
        <v>15693.2</v>
      </c>
      <c r="E79" s="23">
        <f>Round(D79*1.3*1.105,-2)</f>
        <v/>
      </c>
      <c r="F79" s="23">
        <f>E79/0.9</f>
        <v/>
      </c>
      <c r="G79" s="23">
        <f>F79*1.21</f>
        <v/>
      </c>
      <c r="H79" s="23">
        <f>round(G79,-2)</f>
        <v/>
      </c>
      <c r="I79" s="13" t="n"/>
      <c r="J79" s="24" t="inlineStr">
        <is>
          <t>$7.608,82</t>
        </is>
      </c>
      <c r="K79" s="13" t="n"/>
      <c r="L79" s="27" t="inlineStr">
        <is>
          <t>$7.111,06</t>
        </is>
      </c>
      <c r="M79" s="38" t="n"/>
      <c r="N79" s="26" t="n">
        <v>-0.0654</v>
      </c>
    </row>
    <row r="80">
      <c r="A80" s="21" t="n">
        <v>430</v>
      </c>
      <c r="B80" s="13" t="inlineStr">
        <is>
          <t>Dispenser Para Papel Higienico Racional 600</t>
        </is>
      </c>
      <c r="D80" s="71" t="n">
        <v>30791.35</v>
      </c>
      <c r="E80" s="23">
        <f>Round(D80*1.3*1.105,-2)</f>
        <v/>
      </c>
      <c r="F80" s="23">
        <f>E80/0.9</f>
        <v/>
      </c>
      <c r="G80" s="23">
        <f>F80*1.21</f>
        <v/>
      </c>
      <c r="H80" s="23">
        <f>round(G80,-2)</f>
        <v/>
      </c>
      <c r="I80" s="13" t="n"/>
      <c r="J80" s="24" t="inlineStr">
        <is>
          <t>$14.929,14</t>
        </is>
      </c>
      <c r="K80" s="13" t="n"/>
      <c r="L80" s="27" t="inlineStr">
        <is>
          <t>$13.952,46</t>
        </is>
      </c>
      <c r="M80" s="38" t="n"/>
      <c r="N80" s="26" t="n">
        <v>-0.0654</v>
      </c>
    </row>
    <row r="81">
      <c r="A81" s="21" t="n"/>
      <c r="B81" s="13" t="n"/>
      <c r="C81" s="13" t="n"/>
      <c r="D81" s="2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38" t="n"/>
      <c r="N81" s="15" t="n"/>
    </row>
    <row r="82">
      <c r="A82" s="21" t="n"/>
      <c r="B82" s="13" t="n"/>
      <c r="C82" s="13" t="n"/>
      <c r="D82" s="2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38" t="n"/>
      <c r="N82" s="15" t="n"/>
    </row>
    <row r="83">
      <c r="A83" s="21" t="n"/>
      <c r="B83" s="13" t="n"/>
      <c r="C83" s="13" t="n"/>
      <c r="D83" s="2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38" t="n"/>
      <c r="N83" s="15" t="n"/>
    </row>
    <row r="84">
      <c r="A84" s="16" t="inlineStr">
        <is>
          <t>LIMPIEZA INDUSTRIAL</t>
        </is>
      </c>
      <c r="B84" s="271" t="n"/>
      <c r="C84" s="13" t="n"/>
      <c r="D84" s="2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>
      <c r="A85" s="28" t="n"/>
      <c r="B85" s="13" t="n"/>
      <c r="C85" s="13" t="n"/>
      <c r="D85" s="2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4" t="n"/>
      <c r="N85" s="15" t="n"/>
    </row>
    <row r="86">
      <c r="A86" s="64" t="n">
        <v>101</v>
      </c>
      <c r="B86" s="61" t="inlineStr">
        <is>
          <t>Pack x 6 bobinas 22,5 cm x 300 porciones</t>
        </is>
      </c>
      <c r="D86" s="70" t="n">
        <v>23542.2</v>
      </c>
      <c r="E86" s="60">
        <f>Round(D86*1.3*1.105,-2)</f>
        <v/>
      </c>
      <c r="F86" s="60">
        <f>E86/0.9</f>
        <v/>
      </c>
      <c r="G86" s="60">
        <f>F86*1.21</f>
        <v/>
      </c>
      <c r="H86" s="60">
        <f>round(G86,-2)</f>
        <v/>
      </c>
      <c r="I86" s="61" t="n"/>
      <c r="J86" s="62" t="inlineStr">
        <is>
          <t>$11.414,34</t>
        </is>
      </c>
      <c r="K86" s="61" t="n"/>
      <c r="L86" s="63" t="inlineStr">
        <is>
          <t>$10.667,62</t>
        </is>
      </c>
      <c r="M86" s="64" t="n"/>
      <c r="N86" s="65" t="n">
        <v>-0.0654</v>
      </c>
    </row>
    <row r="87">
      <c r="A87" s="21" t="n">
        <v>109</v>
      </c>
      <c r="B87" s="13" t="inlineStr">
        <is>
          <t>Pack x 2 bobinas papel original 22,5 cm x 270 mts</t>
        </is>
      </c>
      <c r="D87" s="71" t="n">
        <v>18373.41</v>
      </c>
      <c r="E87" s="23">
        <f>Round(D87*1.3*1.105,-2)</f>
        <v/>
      </c>
      <c r="F87" s="23">
        <f>E87/0.9</f>
        <v/>
      </c>
      <c r="G87" s="23">
        <f>F87*1.21</f>
        <v/>
      </c>
      <c r="H87" s="23">
        <f>round(G87,-2)</f>
        <v/>
      </c>
      <c r="I87" s="13" t="n"/>
      <c r="J87" s="24" t="inlineStr">
        <is>
          <t>$8.908,31</t>
        </is>
      </c>
      <c r="K87" s="13" t="n"/>
      <c r="L87" s="27" t="inlineStr">
        <is>
          <t>$8.325,53</t>
        </is>
      </c>
      <c r="M87" s="38" t="n"/>
      <c r="N87" s="26" t="n">
        <v>-0.0654</v>
      </c>
    </row>
    <row r="88">
      <c r="A88" s="64" t="n">
        <v>123</v>
      </c>
      <c r="B88" s="61" t="inlineStr">
        <is>
          <t>Pack x 2 bobinas Papel Original 900 hjs/360 mts.</t>
        </is>
      </c>
      <c r="D88" s="71" t="n">
        <v>26901.74</v>
      </c>
      <c r="E88" s="60">
        <f>Round(D88*1.3*1.105,-2)</f>
        <v/>
      </c>
      <c r="F88" s="60">
        <f>E88/0.9</f>
        <v/>
      </c>
      <c r="G88" s="60">
        <f>F88*1.21</f>
        <v/>
      </c>
      <c r="H88" s="60">
        <f>round(G88,-2)</f>
        <v/>
      </c>
      <c r="I88" s="61" t="n"/>
      <c r="J88" s="62" t="inlineStr">
        <is>
          <t>$13.043,26</t>
        </is>
      </c>
      <c r="K88" s="61" t="n"/>
      <c r="L88" s="66" t="inlineStr">
        <is>
          <t>$12.189,96</t>
        </is>
      </c>
      <c r="M88" s="64" t="n"/>
      <c r="N88" s="65" t="n">
        <v>-0.0654</v>
      </c>
    </row>
    <row r="89">
      <c r="A89" s="21" t="n">
        <v>809</v>
      </c>
      <c r="B89" s="13" t="inlineStr">
        <is>
          <t>Pack x 4 Rollos 600 porc 25x25 Rep Tambo</t>
        </is>
      </c>
      <c r="D89" s="71" t="n">
        <v>28036.67</v>
      </c>
      <c r="E89" s="23">
        <f>Round(D89*1.3*1.105,-2)</f>
        <v/>
      </c>
      <c r="F89" s="23">
        <f>E89/0.9</f>
        <v/>
      </c>
      <c r="G89" s="23">
        <f>F89*1.21</f>
        <v/>
      </c>
      <c r="H89" s="23">
        <f>round(G89,-2)</f>
        <v/>
      </c>
      <c r="I89" s="13" t="n"/>
      <c r="J89" s="24" t="inlineStr">
        <is>
          <t>$13.593,46</t>
        </is>
      </c>
      <c r="K89" s="13" t="n"/>
      <c r="L89" s="27" t="inlineStr">
        <is>
          <t>$12.704,18</t>
        </is>
      </c>
      <c r="M89" s="38" t="n"/>
      <c r="N89" s="26" t="n">
        <v>-0.0654</v>
      </c>
    </row>
    <row r="90">
      <c r="A90" s="21" t="n"/>
      <c r="B90" s="13" t="n"/>
      <c r="C90" s="13" t="n"/>
      <c r="D90" s="2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38" t="n"/>
      <c r="N90" s="15" t="n"/>
    </row>
    <row r="91">
      <c r="A91" s="21" t="n"/>
      <c r="B91" s="13" t="n"/>
      <c r="C91" s="13" t="n"/>
      <c r="D91" s="2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38" t="n"/>
      <c r="N91" s="15" t="n"/>
    </row>
    <row r="92">
      <c r="A92" s="16" t="inlineStr">
        <is>
          <t>PAÑOS DE LIMPIEZA DE ALTA PERFORMANCE</t>
        </is>
      </c>
      <c r="B92" s="13" t="n"/>
      <c r="C92" s="13" t="n"/>
      <c r="D92" s="2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4" t="n"/>
      <c r="N92" s="15" t="n"/>
    </row>
    <row r="93">
      <c r="A93" s="28" t="n"/>
      <c r="B93" s="13" t="n"/>
      <c r="C93" s="13" t="n"/>
      <c r="D93" s="2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4" t="n"/>
      <c r="N93" s="15" t="n"/>
    </row>
    <row r="94">
      <c r="A94" s="72" t="inlineStr">
        <is>
          <t>Linea Softclean</t>
        </is>
      </c>
      <c r="C94" s="55" t="n"/>
      <c r="D94" s="56" t="n"/>
      <c r="E94" s="13" t="n"/>
      <c r="F94" s="13" t="n"/>
      <c r="G94" s="13" t="n"/>
      <c r="H94" s="13" t="n"/>
      <c r="I94" s="13" t="n"/>
      <c r="J94" s="13" t="n"/>
      <c r="K94" s="13" t="n"/>
      <c r="L94" s="13" t="n"/>
    </row>
    <row r="95">
      <c r="A95" s="78" t="n">
        <v>601</v>
      </c>
      <c r="B95" s="13" t="inlineStr">
        <is>
          <t>Rollo Softclean Maxi Bco prec 30 x 38 x 500</t>
        </is>
      </c>
      <c r="D95" s="96" t="n">
        <v>78.98999999999999</v>
      </c>
      <c r="E95" s="23">
        <f>Round(D95*1.3*1.105,-1)</f>
        <v/>
      </c>
      <c r="F95" s="23">
        <f>E95/0.9</f>
        <v/>
      </c>
      <c r="G95" s="23">
        <f>F95*1.21</f>
        <v/>
      </c>
      <c r="H95" s="23">
        <f>round(G95,0)</f>
        <v/>
      </c>
      <c r="I95" s="13" t="n"/>
      <c r="J95" s="24" t="inlineStr">
        <is>
          <t>$223,78</t>
        </is>
      </c>
      <c r="K95" s="13" t="n"/>
      <c r="L95" s="73" t="inlineStr">
        <is>
          <t>$245,53</t>
        </is>
      </c>
      <c r="M95" s="74" t="n"/>
      <c r="N95" s="26" t="n">
        <v>0.09719999999999999</v>
      </c>
    </row>
    <row r="96">
      <c r="A96" s="78" t="n">
        <v>606</v>
      </c>
      <c r="B96" s="61" t="inlineStr">
        <is>
          <t>Caja x 300 Paños Ultratex de 45,7cm x 53,3cm</t>
        </is>
      </c>
      <c r="D96" s="97" t="n">
        <v>347.37</v>
      </c>
      <c r="E96" s="60">
        <f>Round(D96*1.3*1.105,-1)</f>
        <v/>
      </c>
      <c r="F96" s="60">
        <f>E96/0.9</f>
        <v/>
      </c>
      <c r="G96" s="60">
        <f>F96*1.21</f>
        <v/>
      </c>
      <c r="H96" s="60">
        <f>round(G96,0)</f>
        <v/>
      </c>
      <c r="I96" s="61" t="n"/>
      <c r="J96" s="62" t="inlineStr">
        <is>
          <t>$347,37</t>
        </is>
      </c>
      <c r="K96" s="61" t="n"/>
      <c r="L96" s="75" t="inlineStr">
        <is>
          <t>$347,37</t>
        </is>
      </c>
      <c r="M96" s="76" t="n"/>
      <c r="N96" s="65" t="n">
        <v>0</v>
      </c>
    </row>
    <row r="97">
      <c r="A97" s="78" t="n">
        <v>608</v>
      </c>
      <c r="B97" s="13" t="inlineStr">
        <is>
          <t>Repuesto x 2 rollos Softclean x 350 mts</t>
        </is>
      </c>
      <c r="D97" s="98" t="n">
        <v>71.73999999999999</v>
      </c>
      <c r="E97" s="23">
        <f>Round(D97*1.3*1.105,-1)</f>
        <v/>
      </c>
      <c r="F97" s="23">
        <f>E97/0.9</f>
        <v/>
      </c>
      <c r="G97" s="23">
        <f>F97*1.21</f>
        <v/>
      </c>
      <c r="H97" s="23">
        <f>round(G97,0)</f>
        <v/>
      </c>
      <c r="I97" s="13" t="n"/>
      <c r="J97" s="24" t="inlineStr">
        <is>
          <t>$71,74</t>
        </is>
      </c>
      <c r="K97" s="13" t="n"/>
      <c r="L97" s="77" t="inlineStr">
        <is>
          <t>$53,14</t>
        </is>
      </c>
      <c r="M97" s="74" t="n"/>
      <c r="N97" s="26" t="n">
        <v>-0.2593</v>
      </c>
    </row>
    <row r="98">
      <c r="A98" s="78" t="n">
        <v>614</v>
      </c>
      <c r="B98" s="13" t="inlineStr">
        <is>
          <t>Rollo SoftClean S 70x 875 Porciones de 30x 25</t>
        </is>
      </c>
      <c r="D98" s="96" t="n">
        <v>86.42</v>
      </c>
      <c r="E98" s="23">
        <f>Round(D98*1.3*1.105,-1)</f>
        <v/>
      </c>
      <c r="F98" s="23">
        <f>E98/0.9</f>
        <v/>
      </c>
      <c r="G98" s="23">
        <f>F98*1.21</f>
        <v/>
      </c>
      <c r="H98" s="23">
        <f>round(G98,0)</f>
        <v/>
      </c>
      <c r="I98" s="13" t="n"/>
      <c r="J98" s="24" t="inlineStr">
        <is>
          <t>$86,42</t>
        </is>
      </c>
      <c r="K98" s="13" t="n"/>
      <c r="L98" s="77" t="inlineStr">
        <is>
          <t>$64,02</t>
        </is>
      </c>
      <c r="M98" s="74" t="n"/>
      <c r="N98" s="26" t="n">
        <v>-0.2592</v>
      </c>
    </row>
    <row r="99">
      <c r="A99" s="78" t="n">
        <v>615</v>
      </c>
      <c r="B99" s="13" t="inlineStr">
        <is>
          <t>Contenedor Center Softclean x 350 22,5 x26,5</t>
        </is>
      </c>
      <c r="D99" s="96" t="n">
        <v>37.59</v>
      </c>
      <c r="E99" s="23">
        <f>Round(D99*1.3*1.105,-1)</f>
        <v/>
      </c>
      <c r="F99" s="23">
        <f>E99/0.9</f>
        <v/>
      </c>
      <c r="G99" s="23">
        <f>F99*1.21</f>
        <v/>
      </c>
      <c r="H99" s="23">
        <f>round(G99,0)</f>
        <v/>
      </c>
      <c r="I99" s="13" t="n"/>
      <c r="J99" s="24" t="inlineStr">
        <is>
          <t>$37,59</t>
        </is>
      </c>
      <c r="K99" s="13" t="n"/>
      <c r="L99" s="77" t="inlineStr">
        <is>
          <t>$27,84</t>
        </is>
      </c>
      <c r="M99" s="74" t="n"/>
      <c r="N99" s="26" t="n">
        <v>-0.2594</v>
      </c>
    </row>
    <row r="100">
      <c r="A100" s="78" t="n">
        <v>616</v>
      </c>
      <c r="B100" s="13" t="inlineStr">
        <is>
          <t>Rollo Mini Sofclean x 190 porciones de 22,5 x 26,5</t>
        </is>
      </c>
      <c r="D100" s="96" t="n">
        <v>18.8</v>
      </c>
      <c r="E100" s="23">
        <f>Round(D100*1.3*1.105,-1)</f>
        <v/>
      </c>
      <c r="F100" s="23">
        <f>E100/0.9</f>
        <v/>
      </c>
      <c r="G100" s="23">
        <f>F100*1.21</f>
        <v/>
      </c>
      <c r="H100" s="23">
        <f>round(G100,0)</f>
        <v/>
      </c>
      <c r="I100" s="13" t="n"/>
      <c r="J100" s="24" t="inlineStr">
        <is>
          <t>$18,80</t>
        </is>
      </c>
      <c r="K100" s="13" t="n"/>
      <c r="L100" s="77" t="inlineStr">
        <is>
          <t>$13,91</t>
        </is>
      </c>
      <c r="M100" s="74" t="n"/>
      <c r="N100" s="26" t="n">
        <v>-0.2601</v>
      </c>
    </row>
    <row r="101">
      <c r="A101" s="78" t="n">
        <v>617</v>
      </c>
      <c r="B101" s="61" t="inlineStr">
        <is>
          <t>Caja 1/4 Folded Softclean 500 30 x 30 cm Celeste</t>
        </is>
      </c>
      <c r="D101" s="99" t="n">
        <v>62.34</v>
      </c>
      <c r="E101" s="60">
        <f>Round(D101*1.3*1.105,-1)</f>
        <v/>
      </c>
      <c r="F101" s="60">
        <f>E101/0.9</f>
        <v/>
      </c>
      <c r="G101" s="60">
        <f>F101*1.21</f>
        <v/>
      </c>
      <c r="H101" s="60">
        <f>round(G101,0)</f>
        <v/>
      </c>
      <c r="I101" s="61" t="n"/>
      <c r="J101" s="62" t="inlineStr">
        <is>
          <t>$62,34</t>
        </is>
      </c>
      <c r="K101" s="61" t="n"/>
      <c r="L101" s="75" t="inlineStr">
        <is>
          <t>$46,18</t>
        </is>
      </c>
      <c r="M101" s="76" t="n"/>
      <c r="N101" s="65" t="n">
        <v>-0.2592</v>
      </c>
    </row>
    <row r="102">
      <c r="A102" s="78" t="n">
        <v>618</v>
      </c>
      <c r="B102" s="13" t="inlineStr">
        <is>
          <t>Rollo Precortado Softclean 600 porciones de 30x 26,5</t>
        </is>
      </c>
      <c r="D102" s="96" t="n">
        <v>62.34</v>
      </c>
      <c r="E102" s="23">
        <f>Round(D102*1.3*1.105,-1)</f>
        <v/>
      </c>
      <c r="F102" s="23">
        <f>E102/0.9</f>
        <v/>
      </c>
      <c r="G102" s="23">
        <f>F102*1.21</f>
        <v/>
      </c>
      <c r="H102" s="23">
        <f>round(G102,0)</f>
        <v/>
      </c>
      <c r="I102" s="13" t="n"/>
      <c r="J102" s="24" t="inlineStr">
        <is>
          <t>$62,34</t>
        </is>
      </c>
      <c r="K102" s="13" t="n"/>
      <c r="L102" s="77" t="inlineStr">
        <is>
          <t>$46,18</t>
        </is>
      </c>
      <c r="M102" s="74" t="n"/>
      <c r="N102" s="26" t="n">
        <v>-0.2592</v>
      </c>
    </row>
    <row r="103">
      <c r="A103" s="78" t="n"/>
      <c r="B103" s="13" t="n"/>
      <c r="C103" s="13" t="n"/>
      <c r="D103" s="96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74" t="n"/>
      <c r="N103" s="15" t="n"/>
    </row>
    <row r="104">
      <c r="A104" s="72" t="inlineStr">
        <is>
          <t>Linea Sontara</t>
        </is>
      </c>
      <c r="C104" s="55" t="n"/>
      <c r="D104" s="56" t="n"/>
      <c r="E104" s="13" t="n"/>
      <c r="F104" s="13" t="n"/>
      <c r="G104" s="13" t="n"/>
      <c r="H104" s="13" t="n"/>
      <c r="I104" s="13" t="n"/>
      <c r="J104" s="13" t="n"/>
      <c r="K104" s="13" t="n"/>
      <c r="L104" s="13" t="n"/>
    </row>
    <row r="105">
      <c r="A105" s="78" t="n">
        <v>604</v>
      </c>
      <c r="B105" s="13" t="inlineStr">
        <is>
          <t>Rollo precortado Maxi de 30 x38 blanco</t>
        </is>
      </c>
      <c r="D105" s="97" t="n">
        <v>121.94</v>
      </c>
      <c r="E105" s="23">
        <f>Round(D105*1.3*1.105,-1)</f>
        <v/>
      </c>
      <c r="F105" s="23">
        <f>E105/0.9</f>
        <v/>
      </c>
      <c r="G105" s="23">
        <f>F105*1.21</f>
        <v/>
      </c>
      <c r="H105" s="23">
        <f>round(G105,0)</f>
        <v/>
      </c>
      <c r="I105" s="13" t="n"/>
      <c r="J105" s="24" t="inlineStr">
        <is>
          <t>$121,94</t>
        </is>
      </c>
      <c r="K105" s="13" t="n"/>
      <c r="L105" s="73" t="inlineStr">
        <is>
          <t>$121,94</t>
        </is>
      </c>
      <c r="M105" s="74" t="n"/>
      <c r="N105" s="26" t="n">
        <v>0</v>
      </c>
    </row>
    <row r="106">
      <c r="A106" s="78" t="n">
        <v>619</v>
      </c>
      <c r="B106" s="13" t="inlineStr">
        <is>
          <t>Centerfeed Sontara Celeste 350 porc22,5 x 26,5</t>
        </is>
      </c>
      <c r="D106" s="98" t="n">
        <v>61.85</v>
      </c>
      <c r="E106" s="23">
        <f>Round(D106*1.3*1.105,-1)</f>
        <v/>
      </c>
      <c r="F106" s="23">
        <f>E106/0.9</f>
        <v/>
      </c>
      <c r="G106" s="23">
        <f>F106*1.21</f>
        <v/>
      </c>
      <c r="H106" s="23">
        <f>round(G106,0)</f>
        <v/>
      </c>
      <c r="I106" s="13" t="n"/>
      <c r="J106" s="24" t="inlineStr">
        <is>
          <t>$61,85</t>
        </is>
      </c>
      <c r="K106" s="13" t="n"/>
      <c r="L106" s="77" t="inlineStr">
        <is>
          <t>$61,85</t>
        </is>
      </c>
      <c r="M106" s="74" t="n"/>
      <c r="N106" s="26" t="n">
        <v>0</v>
      </c>
    </row>
    <row r="107">
      <c r="A107" s="78" t="n">
        <v>620</v>
      </c>
      <c r="B107" s="13" t="inlineStr">
        <is>
          <t>Rollo prec Sontara por 600 porc 30 x26,5 celeste</t>
        </is>
      </c>
      <c r="D107" s="98" t="n">
        <v>116.54</v>
      </c>
      <c r="E107" s="23">
        <f>Round(D107*1.3*1.105,-1)</f>
        <v/>
      </c>
      <c r="F107" s="23">
        <f>E107/0.9</f>
        <v/>
      </c>
      <c r="G107" s="23">
        <f>F107*1.21</f>
        <v/>
      </c>
      <c r="H107" s="23">
        <f>round(G107,0)</f>
        <v/>
      </c>
      <c r="I107" s="13" t="n"/>
      <c r="J107" s="24" t="inlineStr">
        <is>
          <t>$116,54</t>
        </is>
      </c>
      <c r="K107" s="13" t="n"/>
      <c r="L107" s="77" t="inlineStr">
        <is>
          <t>$116,54</t>
        </is>
      </c>
      <c r="M107" s="74" t="n"/>
      <c r="N107" s="26" t="n">
        <v>0</v>
      </c>
    </row>
    <row r="108">
      <c r="A108" s="78" t="n">
        <v>621</v>
      </c>
      <c r="B108" s="13" t="inlineStr">
        <is>
          <t>Rollo Sontara Mini x 190 porc 22,5 x26,5 celeste</t>
        </is>
      </c>
      <c r="D108" s="98" t="n">
        <v>28.1</v>
      </c>
      <c r="E108" s="23">
        <f>Round(D108*1.3*1.105,-1)</f>
        <v/>
      </c>
      <c r="F108" s="23">
        <f>E108/0.9</f>
        <v/>
      </c>
      <c r="G108" s="23">
        <f>F108*1.21</f>
        <v/>
      </c>
      <c r="H108" s="23">
        <f>round(G108,0)</f>
        <v/>
      </c>
      <c r="I108" s="13" t="n"/>
      <c r="J108" s="24" t="inlineStr">
        <is>
          <t>$28,10</t>
        </is>
      </c>
      <c r="K108" s="13" t="n"/>
      <c r="L108" s="77" t="inlineStr">
        <is>
          <t>$28,10</t>
        </is>
      </c>
      <c r="M108" s="74" t="n"/>
      <c r="N108" s="26" t="n">
        <v>0</v>
      </c>
    </row>
    <row r="109">
      <c r="A109" s="78" t="n">
        <v>627</v>
      </c>
      <c r="B109" s="13" t="inlineStr">
        <is>
          <t>SMP 300 Paños de 22,5 cm x 22,5 cm</t>
        </is>
      </c>
      <c r="D109" s="98" t="n">
        <v>74.22</v>
      </c>
      <c r="E109" s="23">
        <f>Round(D109*1.3*1.105,-1)</f>
        <v/>
      </c>
      <c r="F109" s="23">
        <f>E109/0.9</f>
        <v/>
      </c>
      <c r="G109" s="23">
        <f>F109*1.21</f>
        <v/>
      </c>
      <c r="H109" s="23">
        <f>round(G109,0)</f>
        <v/>
      </c>
      <c r="I109" s="13" t="n"/>
      <c r="J109" s="24" t="inlineStr">
        <is>
          <t>$74,22</t>
        </is>
      </c>
      <c r="K109" s="13" t="n"/>
      <c r="L109" s="77" t="inlineStr">
        <is>
          <t>$74,22</t>
        </is>
      </c>
      <c r="M109" s="74" t="n"/>
      <c r="N109" s="26" t="n">
        <v>0</v>
      </c>
    </row>
    <row r="110">
      <c r="A110" s="80" t="n">
        <v>645</v>
      </c>
      <c r="B110" s="84" t="inlineStr">
        <is>
          <t>Caja por 500Paños Sontara de 30 x 30 cm celeste</t>
        </is>
      </c>
      <c r="D110" s="98" t="n">
        <v>124.98</v>
      </c>
      <c r="E110" s="23">
        <f>Round(D110*1.3*1.105,-1)</f>
        <v/>
      </c>
      <c r="F110" s="23">
        <f>E110/0.9</f>
        <v/>
      </c>
      <c r="G110" s="23">
        <f>F110*1.21</f>
        <v/>
      </c>
      <c r="H110" s="23">
        <f>round(G110,0)</f>
        <v/>
      </c>
      <c r="I110" s="13" t="n"/>
      <c r="J110" s="24" t="inlineStr">
        <is>
          <t>$124,98</t>
        </is>
      </c>
      <c r="K110" s="13" t="n"/>
      <c r="L110" s="77" t="inlineStr">
        <is>
          <t>$81,63</t>
        </is>
      </c>
      <c r="M110" s="82" t="n"/>
      <c r="N110" s="83" t="n">
        <v>-0.3469</v>
      </c>
    </row>
    <row r="111">
      <c r="A111" s="78" t="n">
        <v>656</v>
      </c>
      <c r="B111" s="84" t="inlineStr">
        <is>
          <t>Caja por 400 Paños Sontara de 30 x 30 cm Blancos</t>
        </is>
      </c>
      <c r="D111" s="98" t="n">
        <v>79</v>
      </c>
      <c r="E111" s="23">
        <f>Round(D111*1.3*1.105,-1)</f>
        <v/>
      </c>
      <c r="F111" s="23">
        <f>E111/0.9</f>
        <v/>
      </c>
      <c r="G111" s="23">
        <f>F111*1.21</f>
        <v/>
      </c>
      <c r="H111" s="23">
        <f>round(G111,0)</f>
        <v/>
      </c>
      <c r="I111" s="13" t="n"/>
      <c r="J111" s="24" t="inlineStr">
        <is>
          <t>$79,00</t>
        </is>
      </c>
      <c r="K111" s="13" t="n"/>
      <c r="L111" s="77" t="inlineStr">
        <is>
          <t>$79,00</t>
        </is>
      </c>
      <c r="M111" s="74" t="n"/>
      <c r="N111" s="83" t="n">
        <v>0</v>
      </c>
    </row>
    <row r="112">
      <c r="A112" s="13" t="n"/>
      <c r="B112" s="84" t="n"/>
      <c r="C112" s="84" t="n"/>
      <c r="D112" s="10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5" t="n"/>
      <c r="N112" s="85" t="n"/>
    </row>
    <row r="113">
      <c r="A113" s="13" t="n"/>
      <c r="B113" s="84" t="n"/>
      <c r="C113" s="13" t="n"/>
      <c r="D113" s="10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5" t="n"/>
      <c r="N113" s="85" t="n"/>
    </row>
    <row r="114">
      <c r="D114" s="87" t="n"/>
    </row>
    <row r="115">
      <c r="D115" s="87" t="n"/>
    </row>
    <row r="116">
      <c r="A116" s="16" t="inlineStr">
        <is>
          <t>TOALLAS</t>
        </is>
      </c>
      <c r="D116" s="87" t="n"/>
    </row>
    <row r="117">
      <c r="B117" s="13" t="inlineStr">
        <is>
          <t>Toallas Blancas Super 21x25</t>
        </is>
      </c>
      <c r="C117" s="13" t="n"/>
      <c r="D117" s="87" t="n">
        <v>22900</v>
      </c>
    </row>
    <row r="118">
      <c r="B118" s="13" t="inlineStr">
        <is>
          <t>Toallas Blancas Pura Simple</t>
        </is>
      </c>
      <c r="C118" s="13" t="n"/>
      <c r="D118" s="87" t="n">
        <v>25400</v>
      </c>
    </row>
    <row r="119">
      <c r="B119" s="13" t="inlineStr">
        <is>
          <t>Toallas Blancas Pura Doble</t>
        </is>
      </c>
      <c r="C119" s="13" t="n"/>
      <c r="D119" s="87" t="n">
        <v>31500</v>
      </c>
    </row>
    <row r="120">
      <c r="B120" s="13" t="inlineStr">
        <is>
          <t>Toalla Blanca Unitas (17,5x25 cm)</t>
        </is>
      </c>
      <c r="D120" s="87" t="n">
        <v>17500</v>
      </c>
    </row>
    <row r="121">
      <c r="B121" s="13" t="inlineStr">
        <is>
          <t>Toalla Blanca Especial 21 x 25 ( tiza )</t>
        </is>
      </c>
      <c r="D121" s="87" t="n">
        <v>21400</v>
      </c>
    </row>
    <row r="122">
      <c r="B122" s="13" t="inlineStr">
        <is>
          <t>Toalla Blanca Especial 21 x 37 ( tiza )</t>
        </is>
      </c>
      <c r="D122" s="87" t="n">
        <v>29200</v>
      </c>
    </row>
    <row r="123">
      <c r="B123" s="13" t="inlineStr">
        <is>
          <t>Toalla Blanca Especial 17,5 x 25 ( tiza ) Unita</t>
        </is>
      </c>
      <c r="D123" s="87" t="n">
        <v>16800</v>
      </c>
    </row>
    <row r="124">
      <c r="B124" s="13" t="inlineStr">
        <is>
          <t>Cajas x 2500 Toallas Beige 21x37</t>
        </is>
      </c>
      <c r="D124" s="87" t="n">
        <v>24800</v>
      </c>
    </row>
    <row r="125">
      <c r="B125" s="13" t="inlineStr">
        <is>
          <t>Toalla Blanca Super 21x37 cm</t>
        </is>
      </c>
      <c r="C125" s="13" t="n"/>
      <c r="D125" s="87" t="n">
        <v>31600</v>
      </c>
    </row>
    <row r="126">
      <c r="B126" s="13" t="inlineStr">
        <is>
          <t>Caja x 2500 Toallas Beige Unitas 17,5 cm x 25 cm</t>
        </is>
      </c>
      <c r="D126" s="87" t="n">
        <v>15400</v>
      </c>
    </row>
    <row r="127">
      <c r="B127" s="13" t="inlineStr">
        <is>
          <t>Caja x 2500 Toallas Beige 21 cm x 25 cm simple hoja</t>
        </is>
      </c>
      <c r="D127" s="87" t="n">
        <v>17600</v>
      </c>
    </row>
    <row r="128">
      <c r="D128" s="87" t="n"/>
    </row>
    <row r="129">
      <c r="A129" s="16" t="inlineStr">
        <is>
          <t>TOALLAS EN ROLLO</t>
        </is>
      </c>
      <c r="B129" s="271" t="n"/>
      <c r="D129" s="87" t="n"/>
    </row>
    <row r="130">
      <c r="D130" s="87" t="n"/>
    </row>
    <row r="131">
      <c r="B131" s="15" t="inlineStr">
        <is>
          <t>Pack x 6 Rollos de Toallas x 200 mts. Blanca</t>
        </is>
      </c>
      <c r="D131" s="87" t="n">
        <v>34600</v>
      </c>
    </row>
    <row r="132">
      <c r="B132" s="13" t="inlineStr">
        <is>
          <t>Recarga Original P/Dispenser Celmatic 2500 U. Dobles</t>
        </is>
      </c>
      <c r="D132" s="87" t="n">
        <v>44100</v>
      </c>
    </row>
    <row r="133">
      <c r="B133" s="13" t="inlineStr">
        <is>
          <t>Pack x 4 Recarga Celmatic Due 2400 U. Dobles</t>
        </is>
      </c>
      <c r="D133" s="87" t="n">
        <v>34900</v>
      </c>
    </row>
    <row r="134">
      <c r="B134" s="13" t="inlineStr">
        <is>
          <t>Pack X 2 Rollos de toalla x 300 mts Blanca</t>
        </is>
      </c>
      <c r="D134" s="87" t="n">
        <v>16900</v>
      </c>
    </row>
    <row r="135">
      <c r="B135" s="13" t="inlineStr">
        <is>
          <t>Pack X 2 Rollos de toalla x 240 mts Blanca</t>
        </is>
      </c>
      <c r="D135" s="87" t="n">
        <v>13500</v>
      </c>
    </row>
    <row r="136">
      <c r="D136" s="87" t="n"/>
    </row>
    <row r="137">
      <c r="A137" s="59" t="inlineStr">
        <is>
          <t>PAPEL HIGIENICO</t>
        </is>
      </c>
      <c r="B137" s="271" t="n"/>
      <c r="C137" s="13" t="n"/>
      <c r="D137" s="87" t="n"/>
    </row>
    <row r="138">
      <c r="A138" s="9" t="n"/>
      <c r="B138" s="13" t="n"/>
      <c r="C138" s="13" t="n"/>
      <c r="D138" s="87" t="n"/>
    </row>
    <row r="139">
      <c r="A139" s="38" t="n"/>
      <c r="B139" s="15" t="inlineStr">
        <is>
          <t>Pack x18 Rollos Higienico Racional D/H x 60 mts</t>
        </is>
      </c>
      <c r="D139" s="87" t="n">
        <v>24800</v>
      </c>
    </row>
    <row r="140">
      <c r="A140" s="38" t="n"/>
      <c r="B140" s="15" t="inlineStr">
        <is>
          <t>Pack x 4 Rollos Higienico Racional x 500 mts Buje 7,5</t>
        </is>
      </c>
      <c r="D140" s="87" t="n">
        <v>19200</v>
      </c>
    </row>
    <row r="141">
      <c r="A141" s="88" t="n"/>
      <c r="B141" s="15" t="inlineStr">
        <is>
          <t>Pack x 18 rollos Papel Higienico Racional x 122 mts</t>
        </is>
      </c>
      <c r="D141" s="87" t="n">
        <v>23600</v>
      </c>
    </row>
    <row r="142">
      <c r="A142" s="38" t="n"/>
      <c r="B142" s="15" t="inlineStr">
        <is>
          <t>Pack x 8 rollos Higienico Racional x 265 mts buje 7,5</t>
        </is>
      </c>
      <c r="D142" s="87" t="n">
        <v>21700</v>
      </c>
    </row>
    <row r="143">
      <c r="A143" s="38" t="n"/>
      <c r="B143" s="15" t="inlineStr">
        <is>
          <t>Pack x 8 Rollos Papel Higienico Racional x 300 mts</t>
        </is>
      </c>
      <c r="D143" s="87" t="n">
        <v>24700</v>
      </c>
    </row>
    <row r="144">
      <c r="A144" s="21" t="n"/>
      <c r="B144" s="13" t="inlineStr">
        <is>
          <t>Pack x 8 Rollos Papel Higienico x 260 mts Buje4,5</t>
        </is>
      </c>
      <c r="D144" s="87" t="n">
        <v>21000</v>
      </c>
    </row>
    <row r="145">
      <c r="A145" s="21" t="n"/>
      <c r="B145" s="13" t="inlineStr">
        <is>
          <t>Papel Higiénico 20 x 14,5 8000 h. 4000 usos</t>
        </is>
      </c>
      <c r="D145" s="87" t="n">
        <v>32500</v>
      </c>
    </row>
    <row r="146">
      <c r="A146" s="21" t="n"/>
      <c r="B146" s="13" t="inlineStr">
        <is>
          <t>Papel Higienico UNITAS(18x14,5cm) 8000 h/4000 usos</t>
        </is>
      </c>
      <c r="D146" s="87" t="n">
        <v>26100</v>
      </c>
    </row>
    <row r="147">
      <c r="D147" s="87" t="n"/>
    </row>
    <row r="148">
      <c r="A148" s="43" t="inlineStr">
        <is>
          <t>SERVILLETAS LAMINADAS</t>
        </is>
      </c>
      <c r="B148" s="272" t="n"/>
      <c r="C148" s="13" t="n"/>
      <c r="D148" s="23" t="n"/>
      <c r="E148" s="13" t="n"/>
    </row>
    <row r="149">
      <c r="A149" s="21" t="n"/>
      <c r="B149" s="13" t="n"/>
      <c r="C149" s="13" t="n"/>
      <c r="D149" s="23" t="n"/>
      <c r="E149" s="13" t="n"/>
    </row>
    <row r="150">
      <c r="A150" s="45" t="n"/>
      <c r="B150" s="47" t="inlineStr">
        <is>
          <t>CAJA POR 1600 SERV LAMINADAS DE 40 X40 CM</t>
        </is>
      </c>
      <c r="C150" s="47" t="n"/>
      <c r="D150" s="87" t="n">
        <v>126300</v>
      </c>
      <c r="E150" s="24" t="n"/>
    </row>
    <row r="151">
      <c r="A151" s="49" t="n"/>
      <c r="B151" s="51" t="inlineStr">
        <is>
          <t>CAJA POR 1600 SERV ECOLOGICAS LAM DE 40 X40</t>
        </is>
      </c>
      <c r="C151" s="51" t="n"/>
      <c r="D151" s="87" t="n">
        <v>126300</v>
      </c>
      <c r="E151" s="24" t="n"/>
    </row>
    <row r="152">
      <c r="D152" s="87" t="n"/>
    </row>
    <row r="153">
      <c r="A153" s="16" t="inlineStr">
        <is>
          <t>LIMPIEZA INDUSTRIAL</t>
        </is>
      </c>
      <c r="B153" s="271" t="n"/>
      <c r="C153" s="13" t="n"/>
      <c r="D153" s="23" t="n"/>
      <c r="E153" s="13" t="n"/>
    </row>
    <row r="154">
      <c r="A154" s="28" t="n"/>
      <c r="B154" s="13" t="n"/>
      <c r="C154" s="13" t="n"/>
      <c r="D154" s="23" t="n"/>
      <c r="E154" s="13" t="n"/>
    </row>
    <row r="155">
      <c r="A155" s="38" t="n"/>
      <c r="B155" s="15" t="inlineStr">
        <is>
          <t>Pack x 6 bobinas 22,5 cm x 300 porciones</t>
        </is>
      </c>
      <c r="D155" s="87" t="n">
        <v>33800</v>
      </c>
      <c r="E155" s="89" t="n"/>
    </row>
    <row r="156">
      <c r="A156" s="38" t="n"/>
      <c r="B156" s="15" t="inlineStr">
        <is>
          <t>Pack x 2 bobinas papel original 22,5 cm x 270 mts</t>
        </is>
      </c>
      <c r="D156" s="87" t="n">
        <v>26400</v>
      </c>
      <c r="E156" s="89" t="n"/>
    </row>
    <row r="157">
      <c r="A157" s="38" t="n"/>
      <c r="B157" s="15" t="inlineStr">
        <is>
          <t>Pack x 2 bobinas Papel Original 900 hjs/360 mts.</t>
        </is>
      </c>
      <c r="D157" s="87" t="n">
        <v>38600</v>
      </c>
      <c r="E157" s="89" t="n"/>
    </row>
    <row r="158">
      <c r="A158" s="38" t="n"/>
      <c r="B158" s="15" t="inlineStr">
        <is>
          <t>Pack x 4 Rollos 600 porc 25x25 Rep Tambo</t>
        </is>
      </c>
      <c r="D158" s="87" t="n">
        <v>40300</v>
      </c>
      <c r="E158" s="89" t="n"/>
    </row>
    <row r="159">
      <c r="D159" s="87" t="n"/>
    </row>
    <row r="160">
      <c r="D160" s="87" t="n"/>
    </row>
    <row r="161">
      <c r="D161" s="87" t="n"/>
    </row>
    <row r="162">
      <c r="D162" s="87" t="n"/>
    </row>
    <row r="163">
      <c r="D163" s="87" t="n"/>
    </row>
    <row r="164">
      <c r="D164" s="87" t="n"/>
    </row>
    <row r="165">
      <c r="A165" s="91" t="inlineStr">
        <is>
          <t>Código</t>
        </is>
      </c>
      <c r="B165" s="91" t="inlineStr">
        <is>
          <t>Artículo</t>
        </is>
      </c>
      <c r="C165" s="91" t="n"/>
      <c r="D165" s="92" t="n"/>
      <c r="E165" s="91" t="inlineStr">
        <is>
          <t>Precio Mayor</t>
        </is>
      </c>
    </row>
    <row r="166">
      <c r="A166" s="21" t="n">
        <v>901</v>
      </c>
      <c r="B166" s="13" t="inlineStr">
        <is>
          <t>Toallas Blancas Super 21x25</t>
        </is>
      </c>
      <c r="C166" s="13" t="n"/>
      <c r="D166" s="87" t="n"/>
      <c r="E166" s="23" t="n">
        <v>22900</v>
      </c>
    </row>
    <row r="167">
      <c r="A167" s="21" t="n">
        <v>902</v>
      </c>
      <c r="B167" s="13" t="inlineStr">
        <is>
          <t>Toallas Blancas Pura Simple</t>
        </is>
      </c>
      <c r="C167" s="13" t="n"/>
      <c r="D167" s="87" t="n"/>
      <c r="E167" s="23" t="n">
        <v>25400</v>
      </c>
    </row>
    <row r="168">
      <c r="A168" s="21" t="n">
        <v>903</v>
      </c>
      <c r="B168" s="13" t="inlineStr">
        <is>
          <t>Toallas Blancas Pura Doble</t>
        </is>
      </c>
      <c r="C168" s="13" t="n"/>
      <c r="D168" s="87" t="n"/>
      <c r="E168" s="23" t="n">
        <v>31500</v>
      </c>
    </row>
    <row r="169">
      <c r="A169" s="21" t="n">
        <v>914</v>
      </c>
      <c r="B169" s="13" t="inlineStr">
        <is>
          <t>Toalla Blanca Unitas (17,5x25 cm)</t>
        </is>
      </c>
      <c r="D169" s="87" t="n"/>
      <c r="E169" s="23" t="n">
        <v>17500</v>
      </c>
    </row>
    <row r="170">
      <c r="A170" s="21" t="n">
        <v>916</v>
      </c>
      <c r="B170" s="13" t="inlineStr">
        <is>
          <t>Toalla Blanca Especial 21 x 25 ( tiza )</t>
        </is>
      </c>
      <c r="D170" s="87" t="n"/>
      <c r="E170" s="23" t="n">
        <v>21400</v>
      </c>
    </row>
    <row r="171">
      <c r="A171" s="21" t="n">
        <v>920</v>
      </c>
      <c r="B171" s="13" t="inlineStr">
        <is>
          <t>Toalla Blanca Especial 21 x 37 ( tiza )</t>
        </is>
      </c>
      <c r="D171" s="87" t="n"/>
      <c r="E171" s="23" t="n">
        <v>29200</v>
      </c>
    </row>
    <row r="172">
      <c r="A172" s="21" t="n">
        <v>927</v>
      </c>
      <c r="B172" s="13" t="inlineStr">
        <is>
          <t>Toalla Blanca Especial 17,5 x 25 ( tiza ) Unita</t>
        </is>
      </c>
      <c r="D172" s="87" t="n"/>
      <c r="E172" s="23" t="n">
        <v>16800</v>
      </c>
    </row>
    <row r="173">
      <c r="A173" s="21" t="n">
        <v>928</v>
      </c>
      <c r="B173" s="13" t="inlineStr">
        <is>
          <t>Cajas x 2500 Toallas Beige 21x37</t>
        </is>
      </c>
      <c r="D173" s="87" t="n"/>
      <c r="E173" s="23" t="n">
        <v>24800</v>
      </c>
    </row>
    <row r="174">
      <c r="A174" s="21" t="n">
        <v>930</v>
      </c>
      <c r="B174" s="13" t="inlineStr">
        <is>
          <t>Toalla Blanca Super 21x37 cm</t>
        </is>
      </c>
      <c r="C174" s="13" t="n"/>
      <c r="D174" s="87" t="n"/>
      <c r="E174" s="23" t="n">
        <v>31600</v>
      </c>
    </row>
    <row r="175">
      <c r="A175" s="21" t="n">
        <v>931</v>
      </c>
      <c r="B175" s="13" t="inlineStr">
        <is>
          <t>Caja x 2500 Toallas Beige Unitas 17,5 cm x 25 cm</t>
        </is>
      </c>
      <c r="D175" s="87" t="n"/>
      <c r="E175" s="23" t="n">
        <v>15400</v>
      </c>
    </row>
    <row r="176">
      <c r="A176" s="21" t="n">
        <v>932</v>
      </c>
      <c r="B176" s="13" t="inlineStr">
        <is>
          <t>Caja x 2500 Toallas Beige 21 cm x 25 cm simple hoja</t>
        </is>
      </c>
      <c r="D176" s="87" t="n"/>
      <c r="E176" s="23" t="n">
        <v>17600</v>
      </c>
    </row>
    <row r="177">
      <c r="D177" s="87" t="n"/>
    </row>
    <row r="178">
      <c r="A178" s="100" t="inlineStr">
        <is>
          <t xml:space="preserve">Los valores son más IVA. </t>
        </is>
      </c>
      <c r="D178" s="87" t="n"/>
    </row>
    <row r="179">
      <c r="A179" s="100" t="inlineStr">
        <is>
          <t>Entrega en CABA</t>
        </is>
      </c>
      <c r="D179" s="87" t="n"/>
    </row>
    <row r="180">
      <c r="D180" s="87" t="n"/>
    </row>
    <row r="181">
      <c r="D181" s="87" t="n"/>
    </row>
    <row r="182">
      <c r="D182" s="87" t="n"/>
    </row>
    <row r="183">
      <c r="D183" s="87" t="n"/>
    </row>
    <row r="184">
      <c r="D184" s="87" t="n"/>
    </row>
    <row r="185">
      <c r="D185" s="87" t="n"/>
    </row>
    <row r="186">
      <c r="D186" s="87" t="n"/>
    </row>
    <row r="187">
      <c r="D187" s="87" t="n"/>
    </row>
    <row r="188">
      <c r="D188" s="87" t="n"/>
    </row>
    <row r="189">
      <c r="D189" s="87" t="n"/>
    </row>
    <row r="190">
      <c r="D190" s="87" t="n"/>
    </row>
    <row r="191">
      <c r="D191" s="87" t="n"/>
    </row>
    <row r="192">
      <c r="D192" s="87" t="n"/>
    </row>
    <row r="193">
      <c r="D193" s="87" t="n"/>
    </row>
    <row r="194">
      <c r="D194" s="87" t="n"/>
    </row>
    <row r="195">
      <c r="D195" s="87" t="n"/>
    </row>
    <row r="196">
      <c r="D196" s="87" t="n"/>
    </row>
    <row r="197">
      <c r="D197" s="87" t="n"/>
    </row>
    <row r="198">
      <c r="D198" s="87" t="n"/>
    </row>
    <row r="199">
      <c r="D199" s="87" t="n"/>
    </row>
    <row r="200">
      <c r="D200" s="87" t="n"/>
    </row>
    <row r="201">
      <c r="D201" s="87" t="n"/>
    </row>
    <row r="202">
      <c r="D202" s="87" t="n"/>
    </row>
    <row r="203">
      <c r="D203" s="87" t="n"/>
    </row>
    <row r="204">
      <c r="D204" s="87" t="n"/>
    </row>
    <row r="205">
      <c r="D205" s="87" t="n"/>
    </row>
    <row r="206">
      <c r="D206" s="87" t="n"/>
    </row>
    <row r="207">
      <c r="D207" s="87" t="n"/>
    </row>
    <row r="208">
      <c r="D208" s="87" t="n"/>
    </row>
    <row r="209">
      <c r="D209" s="87" t="n"/>
    </row>
    <row r="210">
      <c r="D210" s="87" t="n"/>
    </row>
    <row r="211">
      <c r="D211" s="87" t="n"/>
    </row>
    <row r="212">
      <c r="D212" s="87" t="n"/>
    </row>
    <row r="213">
      <c r="D213" s="87" t="n"/>
    </row>
    <row r="214">
      <c r="D214" s="87" t="n"/>
    </row>
    <row r="215">
      <c r="D215" s="87" t="n"/>
    </row>
    <row r="216">
      <c r="D216" s="87" t="n"/>
    </row>
    <row r="217">
      <c r="D217" s="87" t="n"/>
    </row>
    <row r="218">
      <c r="D218" s="87" t="n"/>
    </row>
    <row r="219">
      <c r="D219" s="87" t="n"/>
    </row>
    <row r="220">
      <c r="D220" s="87" t="n"/>
    </row>
    <row r="221">
      <c r="D221" s="87" t="n"/>
    </row>
    <row r="222">
      <c r="D222" s="87" t="n"/>
    </row>
    <row r="223">
      <c r="D223" s="87" t="n"/>
    </row>
    <row r="224">
      <c r="D224" s="87" t="n"/>
    </row>
    <row r="225">
      <c r="D225" s="87" t="n"/>
    </row>
    <row r="226">
      <c r="D226" s="87" t="n"/>
    </row>
    <row r="227">
      <c r="D227" s="87" t="n"/>
    </row>
    <row r="228">
      <c r="D228" s="87" t="n"/>
    </row>
    <row r="229">
      <c r="D229" s="87" t="n"/>
    </row>
    <row r="230">
      <c r="D230" s="87" t="n"/>
    </row>
    <row r="231">
      <c r="D231" s="87" t="n"/>
    </row>
    <row r="232">
      <c r="D232" s="87" t="n"/>
    </row>
    <row r="233">
      <c r="D233" s="87" t="n"/>
    </row>
    <row r="234">
      <c r="D234" s="87" t="n"/>
    </row>
    <row r="235">
      <c r="D235" s="87" t="n"/>
    </row>
    <row r="236">
      <c r="D236" s="87" t="n"/>
    </row>
    <row r="237">
      <c r="D237" s="87" t="n"/>
    </row>
    <row r="238">
      <c r="D238" s="87" t="n"/>
    </row>
    <row r="239">
      <c r="D239" s="87" t="n"/>
    </row>
    <row r="240">
      <c r="D240" s="87" t="n"/>
    </row>
    <row r="241">
      <c r="D241" s="87" t="n"/>
    </row>
    <row r="242">
      <c r="D242" s="87" t="n"/>
    </row>
    <row r="243">
      <c r="D243" s="87" t="n"/>
    </row>
    <row r="244">
      <c r="D244" s="87" t="n"/>
    </row>
    <row r="245">
      <c r="D245" s="87" t="n"/>
    </row>
    <row r="246">
      <c r="D246" s="87" t="n"/>
    </row>
    <row r="247">
      <c r="D247" s="87" t="n"/>
    </row>
    <row r="248">
      <c r="D248" s="87" t="n"/>
    </row>
    <row r="249">
      <c r="D249" s="87" t="n"/>
    </row>
    <row r="250">
      <c r="D250" s="87" t="n"/>
    </row>
    <row r="251">
      <c r="D251" s="87" t="n"/>
    </row>
    <row r="252">
      <c r="D252" s="87" t="n"/>
    </row>
    <row r="253">
      <c r="D253" s="87" t="n"/>
    </row>
    <row r="254">
      <c r="D254" s="87" t="n"/>
    </row>
    <row r="255">
      <c r="D255" s="87" t="n"/>
    </row>
    <row r="256">
      <c r="D256" s="87" t="n"/>
    </row>
    <row r="257">
      <c r="D257" s="87" t="n"/>
    </row>
    <row r="258">
      <c r="D258" s="87" t="n"/>
    </row>
    <row r="259">
      <c r="D259" s="87" t="n"/>
    </row>
    <row r="260">
      <c r="D260" s="87" t="n"/>
    </row>
    <row r="261">
      <c r="D261" s="87" t="n"/>
    </row>
    <row r="262">
      <c r="D262" s="87" t="n"/>
    </row>
    <row r="263">
      <c r="D263" s="87" t="n"/>
    </row>
    <row r="264">
      <c r="D264" s="87" t="n"/>
    </row>
    <row r="265">
      <c r="D265" s="87" t="n"/>
    </row>
    <row r="266">
      <c r="D266" s="87" t="n"/>
    </row>
    <row r="267">
      <c r="D267" s="87" t="n"/>
    </row>
    <row r="268">
      <c r="D268" s="87" t="n"/>
    </row>
    <row r="269">
      <c r="D269" s="87" t="n"/>
    </row>
    <row r="270">
      <c r="D270" s="87" t="n"/>
    </row>
    <row r="271">
      <c r="D271" s="87" t="n"/>
    </row>
    <row r="272">
      <c r="D272" s="87" t="n"/>
    </row>
    <row r="273">
      <c r="D273" s="87" t="n"/>
    </row>
    <row r="274">
      <c r="D274" s="87" t="n"/>
    </row>
    <row r="275">
      <c r="D275" s="87" t="n"/>
    </row>
    <row r="276">
      <c r="D276" s="87" t="n"/>
    </row>
    <row r="277">
      <c r="D277" s="87" t="n"/>
    </row>
    <row r="278">
      <c r="D278" s="87" t="n"/>
    </row>
    <row r="279">
      <c r="D279" s="87" t="n"/>
    </row>
    <row r="280">
      <c r="D280" s="87" t="n"/>
    </row>
    <row r="281">
      <c r="D281" s="87" t="n"/>
    </row>
    <row r="282">
      <c r="D282" s="87" t="n"/>
    </row>
    <row r="283">
      <c r="D283" s="87" t="n"/>
    </row>
    <row r="284">
      <c r="D284" s="87" t="n"/>
    </row>
    <row r="285">
      <c r="D285" s="87" t="n"/>
    </row>
    <row r="286">
      <c r="D286" s="87" t="n"/>
    </row>
    <row r="287">
      <c r="D287" s="87" t="n"/>
    </row>
    <row r="288">
      <c r="D288" s="87" t="n"/>
    </row>
    <row r="289">
      <c r="D289" s="87" t="n"/>
    </row>
    <row r="290">
      <c r="D290" s="87" t="n"/>
    </row>
    <row r="291">
      <c r="D291" s="87" t="n"/>
    </row>
    <row r="292">
      <c r="D292" s="87" t="n"/>
    </row>
    <row r="293">
      <c r="D293" s="87" t="n"/>
    </row>
    <row r="294">
      <c r="D294" s="87" t="n"/>
    </row>
    <row r="295">
      <c r="D295" s="87" t="n"/>
    </row>
    <row r="296">
      <c r="D296" s="87" t="n"/>
    </row>
    <row r="297">
      <c r="D297" s="87" t="n"/>
    </row>
    <row r="298">
      <c r="D298" s="87" t="n"/>
    </row>
    <row r="299">
      <c r="D299" s="87" t="n"/>
    </row>
    <row r="300">
      <c r="D300" s="87" t="n"/>
    </row>
    <row r="301">
      <c r="D301" s="87" t="n"/>
    </row>
    <row r="302">
      <c r="D302" s="87" t="n"/>
    </row>
    <row r="303">
      <c r="D303" s="87" t="n"/>
    </row>
    <row r="304">
      <c r="D304" s="87" t="n"/>
    </row>
    <row r="305">
      <c r="D305" s="87" t="n"/>
    </row>
    <row r="306">
      <c r="D306" s="87" t="n"/>
    </row>
    <row r="307">
      <c r="D307" s="87" t="n"/>
    </row>
    <row r="308">
      <c r="D308" s="87" t="n"/>
    </row>
    <row r="309">
      <c r="D309" s="87" t="n"/>
    </row>
    <row r="310">
      <c r="D310" s="87" t="n"/>
    </row>
    <row r="311">
      <c r="D311" s="87" t="n"/>
    </row>
    <row r="312">
      <c r="D312" s="87" t="n"/>
    </row>
    <row r="313">
      <c r="D313" s="87" t="n"/>
    </row>
    <row r="314">
      <c r="D314" s="87" t="n"/>
    </row>
    <row r="315">
      <c r="D315" s="87" t="n"/>
    </row>
    <row r="316">
      <c r="D316" s="87" t="n"/>
    </row>
    <row r="317">
      <c r="D317" s="87" t="n"/>
    </row>
    <row r="318">
      <c r="D318" s="87" t="n"/>
    </row>
    <row r="319">
      <c r="D319" s="87" t="n"/>
    </row>
    <row r="320">
      <c r="D320" s="87" t="n"/>
    </row>
    <row r="321">
      <c r="D321" s="87" t="n"/>
    </row>
    <row r="322">
      <c r="D322" s="87" t="n"/>
    </row>
    <row r="323">
      <c r="D323" s="87" t="n"/>
    </row>
    <row r="324">
      <c r="D324" s="87" t="n"/>
    </row>
    <row r="325">
      <c r="D325" s="87" t="n"/>
    </row>
    <row r="326">
      <c r="D326" s="87" t="n"/>
    </row>
    <row r="327">
      <c r="D327" s="87" t="n"/>
    </row>
    <row r="328">
      <c r="D328" s="87" t="n"/>
    </row>
    <row r="329">
      <c r="D329" s="87" t="n"/>
    </row>
    <row r="330">
      <c r="D330" s="87" t="n"/>
    </row>
    <row r="331">
      <c r="D331" s="87" t="n"/>
    </row>
    <row r="332">
      <c r="D332" s="87" t="n"/>
    </row>
    <row r="333">
      <c r="D333" s="87" t="n"/>
    </row>
    <row r="334">
      <c r="D334" s="87" t="n"/>
    </row>
    <row r="335">
      <c r="D335" s="87" t="n"/>
    </row>
    <row r="336">
      <c r="D336" s="87" t="n"/>
    </row>
    <row r="337">
      <c r="D337" s="87" t="n"/>
    </row>
    <row r="338">
      <c r="D338" s="87" t="n"/>
    </row>
    <row r="339">
      <c r="D339" s="87" t="n"/>
    </row>
    <row r="340">
      <c r="D340" s="87" t="n"/>
    </row>
    <row r="341">
      <c r="D341" s="87" t="n"/>
    </row>
    <row r="342">
      <c r="D342" s="87" t="n"/>
    </row>
    <row r="343">
      <c r="D343" s="87" t="n"/>
    </row>
    <row r="344">
      <c r="D344" s="87" t="n"/>
    </row>
    <row r="345">
      <c r="D345" s="87" t="n"/>
    </row>
    <row r="346">
      <c r="D346" s="87" t="n"/>
    </row>
    <row r="347">
      <c r="D347" s="87" t="n"/>
    </row>
    <row r="348">
      <c r="D348" s="87" t="n"/>
    </row>
    <row r="349">
      <c r="D349" s="87" t="n"/>
    </row>
    <row r="350">
      <c r="D350" s="87" t="n"/>
    </row>
    <row r="351">
      <c r="D351" s="87" t="n"/>
    </row>
    <row r="352">
      <c r="D352" s="87" t="n"/>
    </row>
    <row r="353">
      <c r="D353" s="87" t="n"/>
    </row>
    <row r="354">
      <c r="D354" s="87" t="n"/>
    </row>
    <row r="355">
      <c r="D355" s="87" t="n"/>
    </row>
    <row r="356">
      <c r="D356" s="87" t="n"/>
    </row>
    <row r="357">
      <c r="D357" s="87" t="n"/>
    </row>
    <row r="358">
      <c r="D358" s="87" t="n"/>
    </row>
    <row r="359">
      <c r="D359" s="87" t="n"/>
    </row>
    <row r="360">
      <c r="D360" s="87" t="n"/>
    </row>
    <row r="361">
      <c r="D361" s="87" t="n"/>
    </row>
    <row r="362">
      <c r="D362" s="87" t="n"/>
    </row>
    <row r="363">
      <c r="D363" s="87" t="n"/>
    </row>
    <row r="364">
      <c r="D364" s="87" t="n"/>
    </row>
    <row r="365">
      <c r="D365" s="87" t="n"/>
    </row>
    <row r="366">
      <c r="D366" s="87" t="n"/>
    </row>
    <row r="367">
      <c r="D367" s="87" t="n"/>
    </row>
    <row r="368">
      <c r="D368" s="87" t="n"/>
    </row>
    <row r="369">
      <c r="D369" s="87" t="n"/>
    </row>
    <row r="370">
      <c r="D370" s="87" t="n"/>
    </row>
    <row r="371">
      <c r="D371" s="87" t="n"/>
    </row>
    <row r="372">
      <c r="D372" s="87" t="n"/>
    </row>
    <row r="373">
      <c r="D373" s="87" t="n"/>
    </row>
    <row r="374">
      <c r="D374" s="87" t="n"/>
    </row>
    <row r="375">
      <c r="D375" s="87" t="n"/>
    </row>
    <row r="376">
      <c r="D376" s="87" t="n"/>
    </row>
    <row r="377">
      <c r="D377" s="87" t="n"/>
    </row>
    <row r="378">
      <c r="D378" s="87" t="n"/>
    </row>
    <row r="379">
      <c r="D379" s="87" t="n"/>
    </row>
    <row r="380">
      <c r="D380" s="87" t="n"/>
    </row>
    <row r="381">
      <c r="D381" s="87" t="n"/>
    </row>
    <row r="382">
      <c r="D382" s="87" t="n"/>
    </row>
    <row r="383">
      <c r="D383" s="87" t="n"/>
    </row>
    <row r="384">
      <c r="D384" s="87" t="n"/>
    </row>
    <row r="385">
      <c r="D385" s="87" t="n"/>
    </row>
    <row r="386">
      <c r="D386" s="87" t="n"/>
    </row>
    <row r="387">
      <c r="D387" s="87" t="n"/>
    </row>
    <row r="388">
      <c r="D388" s="87" t="n"/>
    </row>
    <row r="389">
      <c r="D389" s="87" t="n"/>
    </row>
    <row r="390">
      <c r="D390" s="87" t="n"/>
    </row>
    <row r="391">
      <c r="D391" s="87" t="n"/>
    </row>
    <row r="392">
      <c r="D392" s="87" t="n"/>
    </row>
    <row r="393">
      <c r="D393" s="87" t="n"/>
    </row>
    <row r="394">
      <c r="D394" s="87" t="n"/>
    </row>
    <row r="395">
      <c r="D395" s="87" t="n"/>
    </row>
    <row r="396">
      <c r="D396" s="87" t="n"/>
    </row>
    <row r="397">
      <c r="D397" s="87" t="n"/>
    </row>
    <row r="398">
      <c r="D398" s="87" t="n"/>
    </row>
    <row r="399">
      <c r="D399" s="87" t="n"/>
    </row>
    <row r="400">
      <c r="D400" s="87" t="n"/>
    </row>
    <row r="401">
      <c r="D401" s="87" t="n"/>
    </row>
    <row r="402">
      <c r="D402" s="87" t="n"/>
    </row>
    <row r="403">
      <c r="D403" s="87" t="n"/>
    </row>
    <row r="404">
      <c r="D404" s="87" t="n"/>
    </row>
    <row r="405">
      <c r="D405" s="87" t="n"/>
    </row>
    <row r="406">
      <c r="D406" s="87" t="n"/>
    </row>
    <row r="407">
      <c r="D407" s="87" t="n"/>
    </row>
    <row r="408">
      <c r="D408" s="87" t="n"/>
    </row>
    <row r="409">
      <c r="D409" s="87" t="n"/>
    </row>
    <row r="410">
      <c r="D410" s="87" t="n"/>
    </row>
    <row r="411">
      <c r="D411" s="87" t="n"/>
    </row>
    <row r="412">
      <c r="D412" s="87" t="n"/>
    </row>
    <row r="413">
      <c r="D413" s="87" t="n"/>
    </row>
    <row r="414">
      <c r="D414" s="87" t="n"/>
    </row>
    <row r="415">
      <c r="D415" s="87" t="n"/>
    </row>
    <row r="416">
      <c r="D416" s="87" t="n"/>
    </row>
    <row r="417">
      <c r="D417" s="87" t="n"/>
    </row>
    <row r="418">
      <c r="D418" s="87" t="n"/>
    </row>
    <row r="419">
      <c r="D419" s="87" t="n"/>
    </row>
    <row r="420">
      <c r="D420" s="87" t="n"/>
    </row>
    <row r="421">
      <c r="D421" s="87" t="n"/>
    </row>
    <row r="422">
      <c r="D422" s="87" t="n"/>
    </row>
    <row r="423">
      <c r="D423" s="87" t="n"/>
    </row>
    <row r="424">
      <c r="D424" s="87" t="n"/>
    </row>
    <row r="425">
      <c r="D425" s="87" t="n"/>
    </row>
    <row r="426">
      <c r="D426" s="87" t="n"/>
    </row>
    <row r="427">
      <c r="D427" s="87" t="n"/>
    </row>
    <row r="428">
      <c r="D428" s="87" t="n"/>
    </row>
    <row r="429">
      <c r="D429" s="87" t="n"/>
    </row>
    <row r="430">
      <c r="D430" s="87" t="n"/>
    </row>
    <row r="431">
      <c r="D431" s="87" t="n"/>
    </row>
    <row r="432">
      <c r="D432" s="87" t="n"/>
    </row>
    <row r="433">
      <c r="D433" s="87" t="n"/>
    </row>
    <row r="434">
      <c r="D434" s="87" t="n"/>
    </row>
    <row r="435">
      <c r="D435" s="87" t="n"/>
    </row>
    <row r="436">
      <c r="D436" s="87" t="n"/>
    </row>
    <row r="437">
      <c r="D437" s="87" t="n"/>
    </row>
    <row r="438">
      <c r="D438" s="87" t="n"/>
    </row>
    <row r="439">
      <c r="D439" s="87" t="n"/>
    </row>
    <row r="440">
      <c r="D440" s="87" t="n"/>
    </row>
    <row r="441">
      <c r="D441" s="87" t="n"/>
    </row>
    <row r="442">
      <c r="D442" s="87" t="n"/>
    </row>
    <row r="443">
      <c r="D443" s="87" t="n"/>
    </row>
    <row r="444">
      <c r="D444" s="87" t="n"/>
    </row>
    <row r="445">
      <c r="D445" s="87" t="n"/>
    </row>
    <row r="446">
      <c r="D446" s="87" t="n"/>
    </row>
    <row r="447">
      <c r="D447" s="87" t="n"/>
    </row>
    <row r="448">
      <c r="D448" s="87" t="n"/>
    </row>
    <row r="449">
      <c r="D449" s="87" t="n"/>
    </row>
    <row r="450">
      <c r="D450" s="87" t="n"/>
    </row>
    <row r="451">
      <c r="D451" s="87" t="n"/>
    </row>
    <row r="452">
      <c r="D452" s="87" t="n"/>
    </row>
    <row r="453">
      <c r="D453" s="87" t="n"/>
    </row>
    <row r="454">
      <c r="D454" s="87" t="n"/>
    </row>
    <row r="455">
      <c r="D455" s="87" t="n"/>
    </row>
    <row r="456">
      <c r="D456" s="87" t="n"/>
    </row>
    <row r="457">
      <c r="D457" s="87" t="n"/>
    </row>
    <row r="458">
      <c r="D458" s="87" t="n"/>
    </row>
    <row r="459">
      <c r="D459" s="87" t="n"/>
    </row>
    <row r="460">
      <c r="D460" s="87" t="n"/>
    </row>
    <row r="461">
      <c r="D461" s="87" t="n"/>
    </row>
    <row r="462">
      <c r="D462" s="87" t="n"/>
    </row>
    <row r="463">
      <c r="D463" s="87" t="n"/>
    </row>
    <row r="464">
      <c r="D464" s="87" t="n"/>
    </row>
    <row r="465">
      <c r="D465" s="87" t="n"/>
    </row>
    <row r="466">
      <c r="D466" s="87" t="n"/>
    </row>
    <row r="467">
      <c r="D467" s="87" t="n"/>
    </row>
    <row r="468">
      <c r="D468" s="87" t="n"/>
    </row>
    <row r="469">
      <c r="D469" s="87" t="n"/>
    </row>
    <row r="470">
      <c r="D470" s="87" t="n"/>
    </row>
    <row r="471">
      <c r="D471" s="87" t="n"/>
    </row>
    <row r="472">
      <c r="D472" s="87" t="n"/>
    </row>
    <row r="473">
      <c r="D473" s="87" t="n"/>
    </row>
    <row r="474">
      <c r="D474" s="87" t="n"/>
    </row>
    <row r="475">
      <c r="D475" s="87" t="n"/>
    </row>
    <row r="476">
      <c r="D476" s="87" t="n"/>
    </row>
    <row r="477">
      <c r="D477" s="87" t="n"/>
    </row>
    <row r="478">
      <c r="D478" s="87" t="n"/>
    </row>
    <row r="479">
      <c r="D479" s="87" t="n"/>
    </row>
    <row r="480">
      <c r="D480" s="87" t="n"/>
    </row>
    <row r="481">
      <c r="D481" s="87" t="n"/>
    </row>
    <row r="482">
      <c r="D482" s="87" t="n"/>
    </row>
    <row r="483">
      <c r="D483" s="87" t="n"/>
    </row>
    <row r="484">
      <c r="D484" s="87" t="n"/>
    </row>
    <row r="485">
      <c r="D485" s="87" t="n"/>
    </row>
    <row r="486">
      <c r="D486" s="87" t="n"/>
    </row>
    <row r="487">
      <c r="D487" s="87" t="n"/>
    </row>
    <row r="488">
      <c r="D488" s="87" t="n"/>
    </row>
    <row r="489">
      <c r="D489" s="87" t="n"/>
    </row>
    <row r="490">
      <c r="D490" s="87" t="n"/>
    </row>
    <row r="491">
      <c r="D491" s="87" t="n"/>
    </row>
    <row r="492">
      <c r="D492" s="87" t="n"/>
    </row>
    <row r="493">
      <c r="D493" s="87" t="n"/>
    </row>
    <row r="494">
      <c r="D494" s="87" t="n"/>
    </row>
    <row r="495">
      <c r="D495" s="87" t="n"/>
    </row>
    <row r="496">
      <c r="D496" s="87" t="n"/>
    </row>
    <row r="497">
      <c r="D497" s="87" t="n"/>
    </row>
    <row r="498">
      <c r="D498" s="87" t="n"/>
    </row>
    <row r="499">
      <c r="D499" s="87" t="n"/>
    </row>
    <row r="500">
      <c r="D500" s="87" t="n"/>
    </row>
    <row r="501">
      <c r="D501" s="87" t="n"/>
    </row>
    <row r="502">
      <c r="D502" s="87" t="n"/>
    </row>
    <row r="503">
      <c r="D503" s="87" t="n"/>
    </row>
    <row r="504">
      <c r="D504" s="87" t="n"/>
    </row>
    <row r="505">
      <c r="D505" s="87" t="n"/>
    </row>
    <row r="506">
      <c r="D506" s="87" t="n"/>
    </row>
    <row r="507">
      <c r="D507" s="87" t="n"/>
    </row>
    <row r="508">
      <c r="D508" s="87" t="n"/>
    </row>
    <row r="509">
      <c r="D509" s="87" t="n"/>
    </row>
    <row r="510">
      <c r="D510" s="87" t="n"/>
    </row>
    <row r="511">
      <c r="D511" s="87" t="n"/>
    </row>
    <row r="512">
      <c r="D512" s="87" t="n"/>
    </row>
    <row r="513">
      <c r="D513" s="87" t="n"/>
    </row>
    <row r="514">
      <c r="D514" s="87" t="n"/>
    </row>
    <row r="515">
      <c r="D515" s="87" t="n"/>
    </row>
    <row r="516">
      <c r="D516" s="87" t="n"/>
    </row>
    <row r="517">
      <c r="D517" s="87" t="n"/>
    </row>
    <row r="518">
      <c r="D518" s="87" t="n"/>
    </row>
    <row r="519">
      <c r="D519" s="87" t="n"/>
    </row>
    <row r="520">
      <c r="D520" s="87" t="n"/>
    </row>
    <row r="521">
      <c r="D521" s="87" t="n"/>
    </row>
    <row r="522">
      <c r="D522" s="87" t="n"/>
    </row>
    <row r="523">
      <c r="D523" s="87" t="n"/>
    </row>
    <row r="524">
      <c r="D524" s="87" t="n"/>
    </row>
    <row r="525">
      <c r="D525" s="87" t="n"/>
    </row>
    <row r="526">
      <c r="D526" s="87" t="n"/>
    </row>
    <row r="527">
      <c r="D527" s="87" t="n"/>
    </row>
    <row r="528">
      <c r="D528" s="87" t="n"/>
    </row>
    <row r="529">
      <c r="D529" s="87" t="n"/>
    </row>
    <row r="530">
      <c r="D530" s="87" t="n"/>
    </row>
    <row r="531">
      <c r="D531" s="87" t="n"/>
    </row>
    <row r="532">
      <c r="D532" s="87" t="n"/>
    </row>
    <row r="533">
      <c r="D533" s="87" t="n"/>
    </row>
    <row r="534">
      <c r="D534" s="87" t="n"/>
    </row>
    <row r="535">
      <c r="D535" s="87" t="n"/>
    </row>
    <row r="536">
      <c r="D536" s="87" t="n"/>
    </row>
    <row r="537">
      <c r="D537" s="87" t="n"/>
    </row>
    <row r="538">
      <c r="D538" s="87" t="n"/>
    </row>
    <row r="539">
      <c r="D539" s="87" t="n"/>
    </row>
    <row r="540">
      <c r="D540" s="87" t="n"/>
    </row>
    <row r="541">
      <c r="D541" s="87" t="n"/>
    </row>
    <row r="542">
      <c r="D542" s="87" t="n"/>
    </row>
    <row r="543">
      <c r="D543" s="87" t="n"/>
    </row>
    <row r="544">
      <c r="D544" s="87" t="n"/>
    </row>
    <row r="545">
      <c r="D545" s="87" t="n"/>
    </row>
    <row r="546">
      <c r="D546" s="87" t="n"/>
    </row>
    <row r="547">
      <c r="D547" s="87" t="n"/>
    </row>
    <row r="548">
      <c r="D548" s="87" t="n"/>
    </row>
    <row r="549">
      <c r="D549" s="87" t="n"/>
    </row>
    <row r="550">
      <c r="D550" s="87" t="n"/>
    </row>
    <row r="551">
      <c r="D551" s="87" t="n"/>
    </row>
    <row r="552">
      <c r="D552" s="87" t="n"/>
    </row>
    <row r="553">
      <c r="D553" s="87" t="n"/>
    </row>
    <row r="554">
      <c r="D554" s="87" t="n"/>
    </row>
    <row r="555">
      <c r="D555" s="87" t="n"/>
    </row>
    <row r="556">
      <c r="D556" s="87" t="n"/>
    </row>
    <row r="557">
      <c r="D557" s="87" t="n"/>
    </row>
    <row r="558">
      <c r="D558" s="87" t="n"/>
    </row>
    <row r="559">
      <c r="D559" s="87" t="n"/>
    </row>
    <row r="560">
      <c r="D560" s="87" t="n"/>
    </row>
    <row r="561">
      <c r="D561" s="87" t="n"/>
    </row>
    <row r="562">
      <c r="D562" s="87" t="n"/>
    </row>
    <row r="563">
      <c r="D563" s="87" t="n"/>
    </row>
    <row r="564">
      <c r="D564" s="87" t="n"/>
    </row>
    <row r="565">
      <c r="D565" s="87" t="n"/>
    </row>
    <row r="566">
      <c r="D566" s="87" t="n"/>
    </row>
    <row r="567">
      <c r="D567" s="87" t="n"/>
    </row>
    <row r="568">
      <c r="D568" s="87" t="n"/>
    </row>
    <row r="569">
      <c r="D569" s="87" t="n"/>
    </row>
    <row r="570">
      <c r="D570" s="87" t="n"/>
    </row>
    <row r="571">
      <c r="D571" s="87" t="n"/>
    </row>
    <row r="572">
      <c r="D572" s="87" t="n"/>
    </row>
    <row r="573">
      <c r="D573" s="87" t="n"/>
    </row>
    <row r="574">
      <c r="D574" s="87" t="n"/>
    </row>
    <row r="575">
      <c r="D575" s="87" t="n"/>
    </row>
    <row r="576">
      <c r="D576" s="87" t="n"/>
    </row>
    <row r="577">
      <c r="D577" s="87" t="n"/>
    </row>
    <row r="578">
      <c r="D578" s="87" t="n"/>
    </row>
    <row r="579">
      <c r="D579" s="87" t="n"/>
    </row>
    <row r="580">
      <c r="D580" s="87" t="n"/>
    </row>
    <row r="581">
      <c r="D581" s="87" t="n"/>
    </row>
    <row r="582">
      <c r="D582" s="87" t="n"/>
    </row>
    <row r="583">
      <c r="D583" s="87" t="n"/>
    </row>
    <row r="584">
      <c r="D584" s="87" t="n"/>
    </row>
    <row r="585">
      <c r="D585" s="87" t="n"/>
    </row>
    <row r="586">
      <c r="D586" s="87" t="n"/>
    </row>
    <row r="587">
      <c r="D587" s="87" t="n"/>
    </row>
    <row r="588">
      <c r="D588" s="87" t="n"/>
    </row>
    <row r="589">
      <c r="D589" s="87" t="n"/>
    </row>
    <row r="590">
      <c r="D590" s="87" t="n"/>
    </row>
    <row r="591">
      <c r="D591" s="87" t="n"/>
    </row>
    <row r="592">
      <c r="D592" s="87" t="n"/>
    </row>
    <row r="593">
      <c r="D593" s="87" t="n"/>
    </row>
    <row r="594">
      <c r="D594" s="87" t="n"/>
    </row>
    <row r="595">
      <c r="D595" s="87" t="n"/>
    </row>
    <row r="596">
      <c r="D596" s="87" t="n"/>
    </row>
    <row r="597">
      <c r="D597" s="87" t="n"/>
    </row>
    <row r="598">
      <c r="D598" s="87" t="n"/>
    </row>
    <row r="599">
      <c r="D599" s="87" t="n"/>
    </row>
    <row r="600">
      <c r="D600" s="87" t="n"/>
    </row>
    <row r="601">
      <c r="D601" s="87" t="n"/>
    </row>
    <row r="602">
      <c r="D602" s="87" t="n"/>
    </row>
    <row r="603">
      <c r="D603" s="87" t="n"/>
    </row>
    <row r="604">
      <c r="D604" s="87" t="n"/>
    </row>
    <row r="605">
      <c r="D605" s="87" t="n"/>
    </row>
    <row r="606">
      <c r="D606" s="87" t="n"/>
    </row>
    <row r="607">
      <c r="D607" s="87" t="n"/>
    </row>
    <row r="608">
      <c r="D608" s="87" t="n"/>
    </row>
    <row r="609">
      <c r="D609" s="87" t="n"/>
    </row>
    <row r="610">
      <c r="D610" s="87" t="n"/>
    </row>
    <row r="611">
      <c r="D611" s="87" t="n"/>
    </row>
    <row r="612">
      <c r="D612" s="87" t="n"/>
    </row>
    <row r="613">
      <c r="D613" s="87" t="n"/>
    </row>
    <row r="614">
      <c r="D614" s="87" t="n"/>
    </row>
    <row r="615">
      <c r="D615" s="87" t="n"/>
    </row>
    <row r="616">
      <c r="D616" s="87" t="n"/>
    </row>
    <row r="617">
      <c r="D617" s="87" t="n"/>
    </row>
    <row r="618">
      <c r="D618" s="87" t="n"/>
    </row>
    <row r="619">
      <c r="D619" s="87" t="n"/>
    </row>
    <row r="620">
      <c r="D620" s="87" t="n"/>
    </row>
    <row r="621">
      <c r="D621" s="87" t="n"/>
    </row>
    <row r="622">
      <c r="D622" s="87" t="n"/>
    </row>
    <row r="623">
      <c r="D623" s="87" t="n"/>
    </row>
    <row r="624">
      <c r="D624" s="87" t="n"/>
    </row>
    <row r="625">
      <c r="D625" s="87" t="n"/>
    </row>
    <row r="626">
      <c r="D626" s="87" t="n"/>
    </row>
    <row r="627">
      <c r="D627" s="87" t="n"/>
    </row>
    <row r="628">
      <c r="D628" s="87" t="n"/>
    </row>
    <row r="629">
      <c r="D629" s="87" t="n"/>
    </row>
    <row r="630">
      <c r="D630" s="87" t="n"/>
    </row>
    <row r="631">
      <c r="D631" s="87" t="n"/>
    </row>
    <row r="632">
      <c r="D632" s="87" t="n"/>
    </row>
    <row r="633">
      <c r="D633" s="87" t="n"/>
    </row>
    <row r="634">
      <c r="D634" s="87" t="n"/>
    </row>
    <row r="635">
      <c r="D635" s="87" t="n"/>
    </row>
    <row r="636">
      <c r="D636" s="87" t="n"/>
    </row>
    <row r="637">
      <c r="D637" s="87" t="n"/>
    </row>
    <row r="638">
      <c r="D638" s="87" t="n"/>
    </row>
    <row r="639">
      <c r="D639" s="87" t="n"/>
    </row>
    <row r="640">
      <c r="D640" s="87" t="n"/>
    </row>
    <row r="641">
      <c r="D641" s="87" t="n"/>
    </row>
    <row r="642">
      <c r="D642" s="87" t="n"/>
    </row>
    <row r="643">
      <c r="D643" s="87" t="n"/>
    </row>
    <row r="644">
      <c r="D644" s="87" t="n"/>
    </row>
    <row r="645">
      <c r="D645" s="87" t="n"/>
    </row>
    <row r="646">
      <c r="D646" s="87" t="n"/>
    </row>
    <row r="647">
      <c r="D647" s="87" t="n"/>
    </row>
    <row r="648">
      <c r="D648" s="87" t="n"/>
    </row>
    <row r="649">
      <c r="D649" s="87" t="n"/>
    </row>
    <row r="650">
      <c r="D650" s="87" t="n"/>
    </row>
    <row r="651">
      <c r="D651" s="87" t="n"/>
    </row>
    <row r="652">
      <c r="D652" s="87" t="n"/>
    </row>
    <row r="653">
      <c r="D653" s="87" t="n"/>
    </row>
    <row r="654">
      <c r="D654" s="87" t="n"/>
    </row>
    <row r="655">
      <c r="D655" s="87" t="n"/>
    </row>
    <row r="656">
      <c r="D656" s="87" t="n"/>
    </row>
    <row r="657">
      <c r="D657" s="87" t="n"/>
    </row>
    <row r="658">
      <c r="D658" s="87" t="n"/>
    </row>
    <row r="659">
      <c r="D659" s="87" t="n"/>
    </row>
    <row r="660">
      <c r="D660" s="87" t="n"/>
    </row>
    <row r="661">
      <c r="D661" s="87" t="n"/>
    </row>
    <row r="662">
      <c r="D662" s="87" t="n"/>
    </row>
    <row r="663">
      <c r="D663" s="87" t="n"/>
    </row>
    <row r="664">
      <c r="D664" s="87" t="n"/>
    </row>
    <row r="665">
      <c r="D665" s="87" t="n"/>
    </row>
    <row r="666">
      <c r="D666" s="87" t="n"/>
    </row>
    <row r="667">
      <c r="D667" s="87" t="n"/>
    </row>
    <row r="668">
      <c r="D668" s="87" t="n"/>
    </row>
    <row r="669">
      <c r="D669" s="87" t="n"/>
    </row>
    <row r="670">
      <c r="D670" s="87" t="n"/>
    </row>
    <row r="671">
      <c r="D671" s="87" t="n"/>
    </row>
    <row r="672">
      <c r="D672" s="87" t="n"/>
    </row>
    <row r="673">
      <c r="D673" s="87" t="n"/>
    </row>
    <row r="674">
      <c r="D674" s="87" t="n"/>
    </row>
    <row r="675">
      <c r="D675" s="87" t="n"/>
    </row>
    <row r="676">
      <c r="D676" s="87" t="n"/>
    </row>
    <row r="677">
      <c r="D677" s="87" t="n"/>
    </row>
    <row r="678">
      <c r="D678" s="87" t="n"/>
    </row>
    <row r="679">
      <c r="D679" s="87" t="n"/>
    </row>
    <row r="680">
      <c r="D680" s="87" t="n"/>
    </row>
    <row r="681">
      <c r="D681" s="87" t="n"/>
    </row>
    <row r="682">
      <c r="D682" s="87" t="n"/>
    </row>
    <row r="683">
      <c r="D683" s="87" t="n"/>
    </row>
    <row r="684">
      <c r="D684" s="87" t="n"/>
    </row>
    <row r="685">
      <c r="D685" s="87" t="n"/>
    </row>
    <row r="686">
      <c r="D686" s="87" t="n"/>
    </row>
    <row r="687">
      <c r="D687" s="87" t="n"/>
    </row>
    <row r="688">
      <c r="D688" s="87" t="n"/>
    </row>
    <row r="689">
      <c r="D689" s="87" t="n"/>
    </row>
    <row r="690">
      <c r="D690" s="87" t="n"/>
    </row>
    <row r="691">
      <c r="D691" s="87" t="n"/>
    </row>
    <row r="692">
      <c r="D692" s="87" t="n"/>
    </row>
    <row r="693">
      <c r="D693" s="87" t="n"/>
    </row>
    <row r="694">
      <c r="D694" s="87" t="n"/>
    </row>
    <row r="695">
      <c r="D695" s="87" t="n"/>
    </row>
    <row r="696">
      <c r="D696" s="87" t="n"/>
    </row>
    <row r="697">
      <c r="D697" s="87" t="n"/>
    </row>
    <row r="698">
      <c r="D698" s="87" t="n"/>
    </row>
    <row r="699">
      <c r="D699" s="87" t="n"/>
    </row>
    <row r="700">
      <c r="D700" s="87" t="n"/>
    </row>
    <row r="701">
      <c r="D701" s="87" t="n"/>
    </row>
    <row r="702">
      <c r="D702" s="87" t="n"/>
    </row>
    <row r="703">
      <c r="D703" s="87" t="n"/>
    </row>
    <row r="704">
      <c r="D704" s="87" t="n"/>
    </row>
    <row r="705">
      <c r="D705" s="87" t="n"/>
    </row>
    <row r="706">
      <c r="D706" s="87" t="n"/>
    </row>
    <row r="707">
      <c r="D707" s="87" t="n"/>
    </row>
    <row r="708">
      <c r="D708" s="87" t="n"/>
    </row>
    <row r="709">
      <c r="D709" s="87" t="n"/>
    </row>
    <row r="710">
      <c r="D710" s="87" t="n"/>
    </row>
    <row r="711">
      <c r="D711" s="87" t="n"/>
    </row>
    <row r="712">
      <c r="D712" s="87" t="n"/>
    </row>
    <row r="713">
      <c r="D713" s="87" t="n"/>
    </row>
    <row r="714">
      <c r="D714" s="87" t="n"/>
    </row>
    <row r="715">
      <c r="D715" s="87" t="n"/>
    </row>
    <row r="716">
      <c r="D716" s="87" t="n"/>
    </row>
    <row r="717">
      <c r="D717" s="87" t="n"/>
    </row>
    <row r="718">
      <c r="D718" s="87" t="n"/>
    </row>
    <row r="719">
      <c r="D719" s="87" t="n"/>
    </row>
    <row r="720">
      <c r="D720" s="87" t="n"/>
    </row>
    <row r="721">
      <c r="D721" s="87" t="n"/>
    </row>
    <row r="722">
      <c r="D722" s="87" t="n"/>
    </row>
    <row r="723">
      <c r="D723" s="87" t="n"/>
    </row>
    <row r="724">
      <c r="D724" s="87" t="n"/>
    </row>
    <row r="725">
      <c r="D725" s="87" t="n"/>
    </row>
    <row r="726">
      <c r="D726" s="87" t="n"/>
    </row>
    <row r="727">
      <c r="D727" s="87" t="n"/>
    </row>
    <row r="728">
      <c r="D728" s="87" t="n"/>
    </row>
    <row r="729">
      <c r="D729" s="87" t="n"/>
    </row>
    <row r="730">
      <c r="D730" s="87" t="n"/>
    </row>
    <row r="731">
      <c r="D731" s="87" t="n"/>
    </row>
    <row r="732">
      <c r="D732" s="87" t="n"/>
    </row>
    <row r="733">
      <c r="D733" s="87" t="n"/>
    </row>
    <row r="734">
      <c r="D734" s="87" t="n"/>
    </row>
    <row r="735">
      <c r="D735" s="87" t="n"/>
    </row>
    <row r="736">
      <c r="D736" s="87" t="n"/>
    </row>
    <row r="737">
      <c r="D737" s="87" t="n"/>
    </row>
    <row r="738">
      <c r="D738" s="87" t="n"/>
    </row>
    <row r="739">
      <c r="D739" s="87" t="n"/>
    </row>
    <row r="740">
      <c r="D740" s="87" t="n"/>
    </row>
    <row r="741">
      <c r="D741" s="87" t="n"/>
    </row>
    <row r="742">
      <c r="D742" s="87" t="n"/>
    </row>
    <row r="743">
      <c r="D743" s="87" t="n"/>
    </row>
    <row r="744">
      <c r="D744" s="87" t="n"/>
    </row>
    <row r="745">
      <c r="D745" s="87" t="n"/>
    </row>
    <row r="746">
      <c r="D746" s="87" t="n"/>
    </row>
    <row r="747">
      <c r="D747" s="87" t="n"/>
    </row>
    <row r="748">
      <c r="D748" s="87" t="n"/>
    </row>
    <row r="749">
      <c r="D749" s="87" t="n"/>
    </row>
    <row r="750">
      <c r="D750" s="87" t="n"/>
    </row>
    <row r="751">
      <c r="D751" s="87" t="n"/>
    </row>
    <row r="752">
      <c r="D752" s="87" t="n"/>
    </row>
    <row r="753">
      <c r="D753" s="87" t="n"/>
    </row>
    <row r="754">
      <c r="D754" s="87" t="n"/>
    </row>
    <row r="755">
      <c r="D755" s="87" t="n"/>
    </row>
    <row r="756">
      <c r="D756" s="87" t="n"/>
    </row>
    <row r="757">
      <c r="D757" s="87" t="n"/>
    </row>
    <row r="758">
      <c r="D758" s="87" t="n"/>
    </row>
    <row r="759">
      <c r="D759" s="87" t="n"/>
    </row>
    <row r="760">
      <c r="D760" s="87" t="n"/>
    </row>
    <row r="761">
      <c r="D761" s="87" t="n"/>
    </row>
    <row r="762">
      <c r="D762" s="87" t="n"/>
    </row>
    <row r="763">
      <c r="D763" s="87" t="n"/>
    </row>
    <row r="764">
      <c r="D764" s="87" t="n"/>
    </row>
    <row r="765">
      <c r="D765" s="87" t="n"/>
    </row>
    <row r="766">
      <c r="D766" s="87" t="n"/>
    </row>
    <row r="767">
      <c r="D767" s="87" t="n"/>
    </row>
    <row r="768">
      <c r="D768" s="87" t="n"/>
    </row>
    <row r="769">
      <c r="D769" s="87" t="n"/>
    </row>
    <row r="770">
      <c r="D770" s="87" t="n"/>
    </row>
    <row r="771">
      <c r="D771" s="87" t="n"/>
    </row>
    <row r="772">
      <c r="D772" s="87" t="n"/>
    </row>
    <row r="773">
      <c r="D773" s="87" t="n"/>
    </row>
    <row r="774">
      <c r="D774" s="87" t="n"/>
    </row>
    <row r="775">
      <c r="D775" s="87" t="n"/>
    </row>
    <row r="776">
      <c r="D776" s="87" t="n"/>
    </row>
    <row r="777">
      <c r="D777" s="87" t="n"/>
    </row>
    <row r="778">
      <c r="D778" s="87" t="n"/>
    </row>
    <row r="779">
      <c r="D779" s="87" t="n"/>
    </row>
    <row r="780">
      <c r="D780" s="87" t="n"/>
    </row>
    <row r="781">
      <c r="D781" s="87" t="n"/>
    </row>
    <row r="782">
      <c r="D782" s="87" t="n"/>
    </row>
    <row r="783">
      <c r="D783" s="87" t="n"/>
    </row>
    <row r="784">
      <c r="D784" s="87" t="n"/>
    </row>
    <row r="785">
      <c r="D785" s="87" t="n"/>
    </row>
    <row r="786">
      <c r="D786" s="87" t="n"/>
    </row>
    <row r="787">
      <c r="D787" s="87" t="n"/>
    </row>
    <row r="788">
      <c r="D788" s="87" t="n"/>
    </row>
    <row r="789">
      <c r="D789" s="87" t="n"/>
    </row>
    <row r="790">
      <c r="D790" s="87" t="n"/>
    </row>
    <row r="791">
      <c r="D791" s="87" t="n"/>
    </row>
    <row r="792">
      <c r="D792" s="87" t="n"/>
    </row>
    <row r="793">
      <c r="D793" s="87" t="n"/>
    </row>
    <row r="794">
      <c r="D794" s="87" t="n"/>
    </row>
    <row r="795">
      <c r="D795" s="87" t="n"/>
    </row>
    <row r="796">
      <c r="D796" s="87" t="n"/>
    </row>
    <row r="797">
      <c r="D797" s="87" t="n"/>
    </row>
    <row r="798">
      <c r="D798" s="87" t="n"/>
    </row>
    <row r="799">
      <c r="D799" s="87" t="n"/>
    </row>
    <row r="800">
      <c r="D800" s="87" t="n"/>
    </row>
    <row r="801">
      <c r="D801" s="87" t="n"/>
    </row>
    <row r="802">
      <c r="D802" s="87" t="n"/>
    </row>
    <row r="803">
      <c r="D803" s="87" t="n"/>
    </row>
    <row r="804">
      <c r="D804" s="87" t="n"/>
    </row>
    <row r="805">
      <c r="D805" s="87" t="n"/>
    </row>
    <row r="806">
      <c r="D806" s="87" t="n"/>
    </row>
    <row r="807">
      <c r="D807" s="87" t="n"/>
    </row>
    <row r="808">
      <c r="D808" s="87" t="n"/>
    </row>
    <row r="809">
      <c r="D809" s="87" t="n"/>
    </row>
    <row r="810">
      <c r="D810" s="87" t="n"/>
    </row>
    <row r="811">
      <c r="D811" s="87" t="n"/>
    </row>
    <row r="812">
      <c r="D812" s="87" t="n"/>
    </row>
    <row r="813">
      <c r="D813" s="87" t="n"/>
    </row>
    <row r="814">
      <c r="D814" s="87" t="n"/>
    </row>
    <row r="815">
      <c r="D815" s="87" t="n"/>
    </row>
    <row r="816">
      <c r="D816" s="87" t="n"/>
    </row>
    <row r="817">
      <c r="D817" s="87" t="n"/>
    </row>
    <row r="818">
      <c r="D818" s="87" t="n"/>
    </row>
    <row r="819">
      <c r="D819" s="87" t="n"/>
    </row>
    <row r="820">
      <c r="D820" s="87" t="n"/>
    </row>
    <row r="821">
      <c r="D821" s="87" t="n"/>
    </row>
    <row r="822">
      <c r="D822" s="87" t="n"/>
    </row>
    <row r="823">
      <c r="D823" s="87" t="n"/>
    </row>
    <row r="824">
      <c r="D824" s="87" t="n"/>
    </row>
    <row r="825">
      <c r="D825" s="87" t="n"/>
    </row>
    <row r="826">
      <c r="D826" s="87" t="n"/>
    </row>
    <row r="827">
      <c r="D827" s="87" t="n"/>
    </row>
    <row r="828">
      <c r="D828" s="87" t="n"/>
    </row>
    <row r="829">
      <c r="D829" s="87" t="n"/>
    </row>
    <row r="830">
      <c r="D830" s="87" t="n"/>
    </row>
    <row r="831">
      <c r="D831" s="87" t="n"/>
    </row>
    <row r="832">
      <c r="D832" s="87" t="n"/>
    </row>
    <row r="833">
      <c r="D833" s="87" t="n"/>
    </row>
    <row r="834">
      <c r="D834" s="87" t="n"/>
    </row>
    <row r="835">
      <c r="D835" s="87" t="n"/>
    </row>
    <row r="836">
      <c r="D836" s="87" t="n"/>
    </row>
    <row r="837">
      <c r="D837" s="87" t="n"/>
    </row>
    <row r="838">
      <c r="D838" s="87" t="n"/>
    </row>
    <row r="839">
      <c r="D839" s="87" t="n"/>
    </row>
    <row r="840">
      <c r="D840" s="87" t="n"/>
    </row>
    <row r="841">
      <c r="D841" s="87" t="n"/>
    </row>
    <row r="842">
      <c r="D842" s="87" t="n"/>
    </row>
    <row r="843">
      <c r="D843" s="87" t="n"/>
    </row>
    <row r="844">
      <c r="D844" s="87" t="n"/>
    </row>
    <row r="845">
      <c r="D845" s="87" t="n"/>
    </row>
    <row r="846">
      <c r="D846" s="87" t="n"/>
    </row>
    <row r="847">
      <c r="D847" s="87" t="n"/>
    </row>
    <row r="848">
      <c r="D848" s="87" t="n"/>
    </row>
    <row r="849">
      <c r="D849" s="87" t="n"/>
    </row>
    <row r="850">
      <c r="D850" s="87" t="n"/>
    </row>
    <row r="851">
      <c r="D851" s="87" t="n"/>
    </row>
    <row r="852">
      <c r="D852" s="87" t="n"/>
    </row>
    <row r="853">
      <c r="D853" s="87" t="n"/>
    </row>
    <row r="854">
      <c r="D854" s="87" t="n"/>
    </row>
    <row r="855">
      <c r="D855" s="87" t="n"/>
    </row>
    <row r="856">
      <c r="D856" s="87" t="n"/>
    </row>
    <row r="857">
      <c r="D857" s="87" t="n"/>
    </row>
    <row r="858">
      <c r="D858" s="87" t="n"/>
    </row>
    <row r="859">
      <c r="D859" s="87" t="n"/>
    </row>
    <row r="860">
      <c r="D860" s="87" t="n"/>
    </row>
    <row r="861">
      <c r="D861" s="87" t="n"/>
    </row>
    <row r="862">
      <c r="D862" s="87" t="n"/>
    </row>
    <row r="863">
      <c r="D863" s="87" t="n"/>
    </row>
    <row r="864">
      <c r="D864" s="87" t="n"/>
    </row>
    <row r="865">
      <c r="D865" s="87" t="n"/>
    </row>
    <row r="866">
      <c r="D866" s="87" t="n"/>
    </row>
    <row r="867">
      <c r="D867" s="87" t="n"/>
    </row>
    <row r="868">
      <c r="D868" s="87" t="n"/>
    </row>
    <row r="869">
      <c r="D869" s="87" t="n"/>
    </row>
    <row r="870">
      <c r="D870" s="87" t="n"/>
    </row>
    <row r="871">
      <c r="D871" s="87" t="n"/>
    </row>
    <row r="872">
      <c r="D872" s="87" t="n"/>
    </row>
    <row r="873">
      <c r="D873" s="87" t="n"/>
    </row>
    <row r="874">
      <c r="D874" s="87" t="n"/>
    </row>
    <row r="875">
      <c r="D875" s="87" t="n"/>
    </row>
    <row r="876">
      <c r="D876" s="87" t="n"/>
    </row>
    <row r="877">
      <c r="D877" s="87" t="n"/>
    </row>
    <row r="878">
      <c r="D878" s="87" t="n"/>
    </row>
    <row r="879">
      <c r="D879" s="87" t="n"/>
    </row>
    <row r="880">
      <c r="D880" s="87" t="n"/>
    </row>
    <row r="881">
      <c r="D881" s="87" t="n"/>
    </row>
    <row r="882">
      <c r="D882" s="87" t="n"/>
    </row>
    <row r="883">
      <c r="D883" s="87" t="n"/>
    </row>
    <row r="884">
      <c r="D884" s="87" t="n"/>
    </row>
    <row r="885">
      <c r="D885" s="87" t="n"/>
    </row>
    <row r="886">
      <c r="D886" s="87" t="n"/>
    </row>
    <row r="887">
      <c r="D887" s="87" t="n"/>
    </row>
    <row r="888">
      <c r="D888" s="87" t="n"/>
    </row>
    <row r="889">
      <c r="D889" s="87" t="n"/>
    </row>
    <row r="890">
      <c r="D890" s="87" t="n"/>
    </row>
    <row r="891">
      <c r="D891" s="87" t="n"/>
    </row>
    <row r="892">
      <c r="D892" s="87" t="n"/>
    </row>
    <row r="893">
      <c r="D893" s="87" t="n"/>
    </row>
    <row r="894">
      <c r="D894" s="87" t="n"/>
    </row>
    <row r="895">
      <c r="D895" s="87" t="n"/>
    </row>
    <row r="896">
      <c r="D896" s="87" t="n"/>
    </row>
    <row r="897">
      <c r="D897" s="87" t="n"/>
    </row>
    <row r="898">
      <c r="D898" s="87" t="n"/>
    </row>
    <row r="899">
      <c r="D899" s="87" t="n"/>
    </row>
    <row r="900">
      <c r="D900" s="87" t="n"/>
    </row>
    <row r="901">
      <c r="D901" s="87" t="n"/>
    </row>
    <row r="902">
      <c r="D902" s="87" t="n"/>
    </row>
    <row r="903">
      <c r="D903" s="87" t="n"/>
    </row>
    <row r="904">
      <c r="D904" s="87" t="n"/>
    </row>
    <row r="905">
      <c r="D905" s="87" t="n"/>
    </row>
    <row r="906">
      <c r="D906" s="87" t="n"/>
    </row>
    <row r="907">
      <c r="D907" s="87" t="n"/>
    </row>
    <row r="908">
      <c r="D908" s="87" t="n"/>
    </row>
    <row r="909">
      <c r="D909" s="87" t="n"/>
    </row>
    <row r="910">
      <c r="D910" s="87" t="n"/>
    </row>
    <row r="911">
      <c r="D911" s="87" t="n"/>
    </row>
    <row r="912">
      <c r="D912" s="87" t="n"/>
    </row>
    <row r="913">
      <c r="D913" s="87" t="n"/>
    </row>
    <row r="914">
      <c r="D914" s="87" t="n"/>
    </row>
    <row r="915">
      <c r="D915" s="87" t="n"/>
    </row>
    <row r="916">
      <c r="D916" s="87" t="n"/>
    </row>
    <row r="917">
      <c r="D917" s="87" t="n"/>
    </row>
    <row r="918">
      <c r="D918" s="87" t="n"/>
    </row>
    <row r="919">
      <c r="D919" s="87" t="n"/>
    </row>
    <row r="920">
      <c r="D920" s="87" t="n"/>
    </row>
    <row r="921">
      <c r="D921" s="87" t="n"/>
    </row>
    <row r="922">
      <c r="D922" s="87" t="n"/>
    </row>
    <row r="923">
      <c r="D923" s="87" t="n"/>
    </row>
    <row r="924">
      <c r="D924" s="87" t="n"/>
    </row>
    <row r="925">
      <c r="D925" s="87" t="n"/>
    </row>
    <row r="926">
      <c r="D926" s="87" t="n"/>
    </row>
    <row r="927">
      <c r="D927" s="87" t="n"/>
    </row>
    <row r="928">
      <c r="D928" s="87" t="n"/>
    </row>
    <row r="929">
      <c r="D929" s="87" t="n"/>
    </row>
    <row r="930">
      <c r="D930" s="87" t="n"/>
    </row>
    <row r="931">
      <c r="D931" s="87" t="n"/>
    </row>
    <row r="932">
      <c r="D932" s="87" t="n"/>
    </row>
    <row r="933">
      <c r="D933" s="87" t="n"/>
    </row>
    <row r="934">
      <c r="D934" s="87" t="n"/>
    </row>
    <row r="935">
      <c r="D935" s="87" t="n"/>
    </row>
    <row r="936">
      <c r="D936" s="87" t="n"/>
    </row>
    <row r="937">
      <c r="D937" s="87" t="n"/>
    </row>
    <row r="938">
      <c r="D938" s="87" t="n"/>
    </row>
    <row r="939">
      <c r="D939" s="87" t="n"/>
    </row>
    <row r="940">
      <c r="D940" s="87" t="n"/>
    </row>
    <row r="941">
      <c r="D941" s="87" t="n"/>
    </row>
    <row r="942">
      <c r="D942" s="87" t="n"/>
    </row>
    <row r="943">
      <c r="D943" s="87" t="n"/>
    </row>
    <row r="944">
      <c r="D944" s="87" t="n"/>
    </row>
    <row r="945">
      <c r="D945" s="87" t="n"/>
    </row>
    <row r="946">
      <c r="D946" s="87" t="n"/>
    </row>
    <row r="947">
      <c r="D947" s="87" t="n"/>
    </row>
    <row r="948">
      <c r="D948" s="87" t="n"/>
    </row>
    <row r="949">
      <c r="D949" s="87" t="n"/>
    </row>
    <row r="950">
      <c r="D950" s="87" t="n"/>
    </row>
    <row r="951">
      <c r="D951" s="87" t="n"/>
    </row>
    <row r="952">
      <c r="D952" s="87" t="n"/>
    </row>
    <row r="953">
      <c r="D953" s="87" t="n"/>
    </row>
    <row r="954">
      <c r="D954" s="87" t="n"/>
    </row>
    <row r="955">
      <c r="D955" s="87" t="n"/>
    </row>
    <row r="956">
      <c r="D956" s="87" t="n"/>
    </row>
    <row r="957">
      <c r="D957" s="87" t="n"/>
    </row>
    <row r="958">
      <c r="D958" s="87" t="n"/>
    </row>
    <row r="959">
      <c r="D959" s="87" t="n"/>
    </row>
    <row r="960">
      <c r="D960" s="87" t="n"/>
    </row>
    <row r="961">
      <c r="D961" s="87" t="n"/>
    </row>
    <row r="962">
      <c r="D962" s="87" t="n"/>
    </row>
    <row r="963">
      <c r="D963" s="87" t="n"/>
    </row>
    <row r="964">
      <c r="D964" s="87" t="n"/>
    </row>
    <row r="965">
      <c r="D965" s="87" t="n"/>
    </row>
    <row r="966">
      <c r="D966" s="87" t="n"/>
    </row>
    <row r="967">
      <c r="D967" s="87" t="n"/>
    </row>
    <row r="968">
      <c r="D968" s="87" t="n"/>
    </row>
    <row r="969">
      <c r="D969" s="87" t="n"/>
    </row>
    <row r="970">
      <c r="D970" s="87" t="n"/>
    </row>
    <row r="971">
      <c r="D971" s="87" t="n"/>
    </row>
    <row r="972">
      <c r="D972" s="87" t="n"/>
    </row>
    <row r="973">
      <c r="D973" s="87" t="n"/>
    </row>
    <row r="974">
      <c r="D974" s="87" t="n"/>
    </row>
    <row r="975">
      <c r="D975" s="87" t="n"/>
    </row>
    <row r="976">
      <c r="D976" s="87" t="n"/>
    </row>
    <row r="977">
      <c r="D977" s="87" t="n"/>
    </row>
    <row r="978">
      <c r="D978" s="87" t="n"/>
    </row>
    <row r="979">
      <c r="D979" s="87" t="n"/>
    </row>
    <row r="980">
      <c r="D980" s="87" t="n"/>
    </row>
    <row r="981">
      <c r="D981" s="87" t="n"/>
    </row>
    <row r="982">
      <c r="D982" s="87" t="n"/>
    </row>
    <row r="983">
      <c r="D983" s="87" t="n"/>
    </row>
    <row r="984">
      <c r="D984" s="87" t="n"/>
    </row>
    <row r="985">
      <c r="D985" s="87" t="n"/>
    </row>
    <row r="986">
      <c r="D986" s="87" t="n"/>
    </row>
    <row r="987">
      <c r="D987" s="87" t="n"/>
    </row>
    <row r="988">
      <c r="D988" s="87" t="n"/>
    </row>
    <row r="989">
      <c r="D989" s="87" t="n"/>
    </row>
    <row r="990">
      <c r="D990" s="87" t="n"/>
    </row>
    <row r="991">
      <c r="D991" s="87" t="n"/>
    </row>
    <row r="992">
      <c r="D992" s="87" t="n"/>
    </row>
    <row r="993">
      <c r="D993" s="87" t="n"/>
    </row>
    <row r="994">
      <c r="D994" s="87" t="n"/>
    </row>
    <row r="995">
      <c r="D995" s="87" t="n"/>
    </row>
    <row r="996">
      <c r="D996" s="87" t="n"/>
    </row>
    <row r="997">
      <c r="D997" s="87" t="n"/>
    </row>
    <row r="998">
      <c r="D998" s="87" t="n"/>
    </row>
    <row r="999">
      <c r="D999" s="87" t="n"/>
    </row>
    <row r="1000">
      <c r="D1000" s="87" t="n"/>
    </row>
  </sheetData>
  <mergeCells count="104">
    <mergeCell ref="B100:C100"/>
    <mergeCell ref="B141:C141"/>
    <mergeCell ref="B155:C155"/>
    <mergeCell ref="B22:C22"/>
    <mergeCell ref="B102:C102"/>
    <mergeCell ref="B77:C77"/>
    <mergeCell ref="B21:C21"/>
    <mergeCell ref="B86:C86"/>
    <mergeCell ref="A54:B54"/>
    <mergeCell ref="M54:N54"/>
    <mergeCell ref="B61:C61"/>
    <mergeCell ref="B101:C101"/>
    <mergeCell ref="B69:C69"/>
    <mergeCell ref="J4:K4"/>
    <mergeCell ref="A33:B33"/>
    <mergeCell ref="B127:C127"/>
    <mergeCell ref="B49:C49"/>
    <mergeCell ref="B51:C51"/>
    <mergeCell ref="B63:C63"/>
    <mergeCell ref="B26:C26"/>
    <mergeCell ref="B106:C106"/>
    <mergeCell ref="B16:C16"/>
    <mergeCell ref="B156:C156"/>
    <mergeCell ref="B131:C131"/>
    <mergeCell ref="B140:C140"/>
    <mergeCell ref="B18:C18"/>
    <mergeCell ref="B27:C27"/>
    <mergeCell ref="A153:B153"/>
    <mergeCell ref="A137:B137"/>
    <mergeCell ref="B157:C157"/>
    <mergeCell ref="B132:C132"/>
    <mergeCell ref="B29:C29"/>
    <mergeCell ref="A129:B129"/>
    <mergeCell ref="B158:C158"/>
    <mergeCell ref="M24:N24"/>
    <mergeCell ref="B15:C15"/>
    <mergeCell ref="B142:C142"/>
    <mergeCell ref="B80:C80"/>
    <mergeCell ref="B95:C95"/>
    <mergeCell ref="B89:C89"/>
    <mergeCell ref="B169:C169"/>
    <mergeCell ref="B144:C144"/>
    <mergeCell ref="B97:C97"/>
    <mergeCell ref="B7:C7"/>
    <mergeCell ref="B134:C134"/>
    <mergeCell ref="B121:C121"/>
    <mergeCell ref="A94:B94"/>
    <mergeCell ref="B122:C122"/>
    <mergeCell ref="B96:C96"/>
    <mergeCell ref="B56:C56"/>
    <mergeCell ref="B105:C105"/>
    <mergeCell ref="B176:C176"/>
    <mergeCell ref="B43:C43"/>
    <mergeCell ref="B58:C58"/>
    <mergeCell ref="B52:C52"/>
    <mergeCell ref="B120:C120"/>
    <mergeCell ref="B98:C98"/>
    <mergeCell ref="B42:C42"/>
    <mergeCell ref="B107:C107"/>
    <mergeCell ref="B60:C60"/>
    <mergeCell ref="B17:C17"/>
    <mergeCell ref="B88:C88"/>
    <mergeCell ref="B170:C170"/>
    <mergeCell ref="B57:C57"/>
    <mergeCell ref="B171:C171"/>
    <mergeCell ref="B44:C44"/>
    <mergeCell ref="A104:B104"/>
    <mergeCell ref="B19:C19"/>
    <mergeCell ref="B172:C172"/>
    <mergeCell ref="B146:C146"/>
    <mergeCell ref="B28:C28"/>
    <mergeCell ref="M104:N104"/>
    <mergeCell ref="B99:C99"/>
    <mergeCell ref="B108:C108"/>
    <mergeCell ref="B143:C143"/>
    <mergeCell ref="B30:C30"/>
    <mergeCell ref="B124:C124"/>
    <mergeCell ref="B133:C133"/>
    <mergeCell ref="B76:C76"/>
    <mergeCell ref="B45:C45"/>
    <mergeCell ref="B173:C173"/>
    <mergeCell ref="B126:C126"/>
    <mergeCell ref="B135:C135"/>
    <mergeCell ref="B109:C109"/>
    <mergeCell ref="A24:B24"/>
    <mergeCell ref="B47:C47"/>
    <mergeCell ref="B62:C62"/>
    <mergeCell ref="A148:B148"/>
    <mergeCell ref="B59:C59"/>
    <mergeCell ref="B46:C46"/>
    <mergeCell ref="B48:C48"/>
    <mergeCell ref="B111:C111"/>
    <mergeCell ref="B145:C145"/>
    <mergeCell ref="A84:B84"/>
    <mergeCell ref="M94:N94"/>
    <mergeCell ref="M84:N84"/>
    <mergeCell ref="B8:C8"/>
    <mergeCell ref="B175:C175"/>
    <mergeCell ref="B87:C87"/>
    <mergeCell ref="B139:C139"/>
    <mergeCell ref="A1:C1"/>
    <mergeCell ref="B123:C123"/>
    <mergeCell ref="B50:C50"/>
    <mergeCell ref="B110:C1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O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12.63" customWidth="1" style="270" min="1" max="1"/>
    <col width="30.38" customWidth="1" style="270" min="2" max="2"/>
  </cols>
  <sheetData>
    <row r="1">
      <c r="A1" s="9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13" t="n"/>
      <c r="J1" s="13" t="n"/>
      <c r="K1" s="13" t="n"/>
      <c r="L1" s="13" t="n"/>
      <c r="M1" s="15" t="n"/>
      <c r="N1" s="15" t="n"/>
    </row>
    <row r="2">
      <c r="A2" s="78" t="inlineStr">
        <is>
          <t>VIGENCIA:</t>
        </is>
      </c>
      <c r="B2" s="210" t="n">
        <v>45257</v>
      </c>
      <c r="C2" s="13" t="n"/>
      <c r="D2" s="8" t="n"/>
      <c r="E2" s="9" t="n"/>
      <c r="F2" s="9" t="n"/>
      <c r="G2" s="9" t="n"/>
      <c r="H2" s="9" t="n"/>
      <c r="I2" s="13" t="n"/>
      <c r="J2" s="13" t="n"/>
      <c r="K2" s="13" t="n"/>
      <c r="L2" s="13" t="n"/>
      <c r="M2" s="15" t="n"/>
      <c r="N2" s="15" t="n"/>
    </row>
    <row r="3">
      <c r="A3" s="13" t="n"/>
      <c r="B3" s="13" t="n"/>
      <c r="C3" s="13" t="n"/>
      <c r="D3" s="10" t="n"/>
      <c r="E3" s="13" t="n"/>
      <c r="F3" s="13" t="n"/>
      <c r="G3" s="13" t="n"/>
      <c r="H3" s="13" t="n"/>
      <c r="I3" s="13" t="n"/>
      <c r="J3" s="13" t="n"/>
      <c r="K3" s="13" t="n"/>
      <c r="L3" s="13" t="n"/>
      <c r="M3" s="15" t="n"/>
      <c r="N3" s="15" t="n"/>
    </row>
    <row r="4">
      <c r="A4" s="13" t="n"/>
      <c r="B4" s="13" t="n"/>
      <c r="C4" s="13" t="n"/>
      <c r="D4" s="17" t="inlineStr">
        <is>
          <t>Lista 20 con -7 y -2</t>
        </is>
      </c>
      <c r="E4" s="12" t="inlineStr">
        <is>
          <t>Mayorista</t>
        </is>
      </c>
      <c r="F4" s="12" t="inlineStr">
        <is>
          <t>Minorista</t>
        </is>
      </c>
      <c r="G4" s="12" t="inlineStr">
        <is>
          <t>Minorista con IVA</t>
        </is>
      </c>
      <c r="H4" s="12" t="inlineStr">
        <is>
          <t>Redondeado</t>
        </is>
      </c>
      <c r="I4" s="13" t="n"/>
      <c r="J4" s="13" t="inlineStr">
        <is>
          <t>Antes del 7 + 2% ANTERIOR</t>
        </is>
      </c>
      <c r="L4" s="13" t="inlineStr">
        <is>
          <t>Antes del 7 + 2% ACTUAL</t>
        </is>
      </c>
      <c r="M4" s="14" t="n"/>
      <c r="N4" s="15" t="inlineStr">
        <is>
          <t>% Aumento</t>
        </is>
      </c>
    </row>
    <row r="5">
      <c r="A5" s="16" t="inlineStr">
        <is>
          <t>JABONES</t>
        </is>
      </c>
      <c r="B5" s="13" t="n"/>
      <c r="C5" s="13" t="n"/>
      <c r="D5" s="17" t="n"/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  <c r="N5" s="15" t="n"/>
    </row>
    <row r="6">
      <c r="A6" s="21" t="n"/>
      <c r="B6" s="13" t="n"/>
      <c r="C6" s="13" t="n"/>
      <c r="D6" s="23" t="n"/>
      <c r="E6" s="13" t="n"/>
      <c r="F6" s="13" t="n"/>
      <c r="G6" s="13" t="n"/>
      <c r="H6" s="13" t="n"/>
      <c r="I6" s="13" t="n"/>
      <c r="J6" s="13" t="n"/>
      <c r="K6" s="13" t="n"/>
      <c r="L6" s="13" t="n"/>
      <c r="M6" s="38" t="n"/>
      <c r="N6" s="15" t="n"/>
    </row>
    <row r="7">
      <c r="A7" s="21" t="n">
        <v>701</v>
      </c>
      <c r="B7" s="13" t="inlineStr">
        <is>
          <t>Botella 1 lt. Servicio Dilución DMQ</t>
        </is>
      </c>
      <c r="D7" s="70" t="inlineStr">
        <is>
          <t>$2.601,44</t>
        </is>
      </c>
      <c r="E7" s="24" t="inlineStr">
        <is>
          <t>$3.736,97</t>
        </is>
      </c>
      <c r="F7" s="24" t="inlineStr">
        <is>
          <t>$4.152,19</t>
        </is>
      </c>
      <c r="G7" s="24" t="inlineStr">
        <is>
          <t>$5.024,15</t>
        </is>
      </c>
      <c r="H7" s="24" t="inlineStr">
        <is>
          <t>$5.000,00</t>
        </is>
      </c>
      <c r="I7" s="13" t="n"/>
      <c r="J7" s="24" t="inlineStr">
        <is>
          <t>$2.081,14</t>
        </is>
      </c>
      <c r="K7" s="13" t="n"/>
      <c r="L7" s="25" t="inlineStr">
        <is>
          <t>$1.945,00</t>
        </is>
      </c>
      <c r="M7" s="38" t="n"/>
      <c r="N7" s="26" t="n">
        <v>-0.0654</v>
      </c>
    </row>
    <row r="8">
      <c r="A8" s="21" t="n">
        <v>720</v>
      </c>
      <c r="B8" s="13" t="inlineStr">
        <is>
          <t>Bidon x 5 lts. Jabón Líquido Tocador</t>
        </is>
      </c>
      <c r="D8" s="71" t="inlineStr">
        <is>
          <t>$8.158,46</t>
        </is>
      </c>
      <c r="E8" s="24" t="inlineStr">
        <is>
          <t>$11.719,63</t>
        </is>
      </c>
      <c r="F8" s="24" t="inlineStr">
        <is>
          <t>$13.021,81</t>
        </is>
      </c>
      <c r="G8" s="24" t="inlineStr">
        <is>
          <t>$15.756,39</t>
        </is>
      </c>
      <c r="H8" s="24" t="inlineStr">
        <is>
          <t>$15.800,00</t>
        </is>
      </c>
      <c r="I8" s="13" t="n"/>
      <c r="J8" s="24" t="inlineStr">
        <is>
          <t>$6.526,77</t>
        </is>
      </c>
      <c r="K8" s="13" t="n"/>
      <c r="L8" s="27" t="inlineStr">
        <is>
          <t>$6.099,78</t>
        </is>
      </c>
      <c r="M8" s="38" t="n"/>
      <c r="N8" s="26" t="n">
        <v>-0.0654</v>
      </c>
    </row>
    <row r="9">
      <c r="A9" s="21" t="n"/>
      <c r="B9" s="13" t="n"/>
      <c r="C9" s="13" t="n"/>
      <c r="D9" s="23" t="n"/>
      <c r="E9" s="13" t="n"/>
      <c r="F9" s="13" t="n"/>
      <c r="G9" s="13" t="n"/>
      <c r="H9" s="13" t="n"/>
      <c r="I9" s="13" t="n"/>
      <c r="J9" s="13" t="n"/>
      <c r="K9" s="13" t="n"/>
      <c r="L9" s="13" t="n"/>
      <c r="M9" s="38" t="n"/>
      <c r="N9" s="15" t="n"/>
    </row>
    <row r="10">
      <c r="A10" s="16" t="inlineStr">
        <is>
          <t>TOALLAS</t>
        </is>
      </c>
      <c r="B10" s="13" t="n"/>
      <c r="C10" s="13" t="n"/>
      <c r="D10" s="23" t="n">
        <v>1.650139448</v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4" t="n"/>
      <c r="N10" s="15" t="n"/>
    </row>
    <row r="11">
      <c r="A11" s="28" t="n"/>
      <c r="B11" s="13" t="n"/>
      <c r="C11" s="13" t="n"/>
      <c r="D11" s="2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  <c r="N11" s="15" t="n"/>
    </row>
    <row r="12">
      <c r="A12" s="21" t="n">
        <v>901</v>
      </c>
      <c r="B12" s="13" t="inlineStr">
        <is>
          <t>Toallas Blancas Super 21x25</t>
        </is>
      </c>
      <c r="C12" s="13" t="n"/>
      <c r="D12" s="23" t="inlineStr">
        <is>
          <t>$9.681,85</t>
        </is>
      </c>
      <c r="E12" s="24" t="inlineStr">
        <is>
          <t>$13.907,98</t>
        </is>
      </c>
      <c r="F12" s="24" t="inlineStr">
        <is>
          <t>$15.453,31</t>
        </is>
      </c>
      <c r="G12" s="24" t="inlineStr">
        <is>
          <t>$18.698,50</t>
        </is>
      </c>
      <c r="H12" s="24" t="inlineStr">
        <is>
          <t>$18.700,00</t>
        </is>
      </c>
      <c r="I12" s="13" t="n"/>
      <c r="J12" s="24" t="inlineStr">
        <is>
          <t>$7.745,48</t>
        </is>
      </c>
      <c r="K12" s="13" t="n"/>
      <c r="L12" s="25" t="inlineStr">
        <is>
          <t>$7.238,77</t>
        </is>
      </c>
      <c r="M12" s="38" t="n"/>
      <c r="N12" s="26" t="n">
        <v>-0.0654</v>
      </c>
    </row>
    <row r="13">
      <c r="A13" s="21" t="n">
        <v>902</v>
      </c>
      <c r="B13" s="13" t="inlineStr">
        <is>
          <t>Toallas Blancas Pura Simple</t>
        </is>
      </c>
      <c r="C13" s="13" t="n"/>
      <c r="D13" s="23" t="inlineStr">
        <is>
          <t>$10.736,24</t>
        </is>
      </c>
      <c r="E13" s="24" t="inlineStr">
        <is>
          <t>$15.422,61</t>
        </is>
      </c>
      <c r="F13" s="24" t="inlineStr">
        <is>
          <t>$17.136,23</t>
        </is>
      </c>
      <c r="G13" s="24" t="inlineStr">
        <is>
          <t>$20.734,84</t>
        </is>
      </c>
      <c r="H13" s="24" t="inlineStr">
        <is>
          <t>$20.700,00</t>
        </is>
      </c>
      <c r="I13" s="13" t="n"/>
      <c r="J13" s="24" t="inlineStr">
        <is>
          <t>$8.588,99</t>
        </is>
      </c>
      <c r="K13" s="13" t="n"/>
      <c r="L13" s="27" t="inlineStr">
        <is>
          <t>$8.027,10</t>
        </is>
      </c>
      <c r="M13" s="38" t="n"/>
      <c r="N13" s="26" t="n">
        <v>-0.0654</v>
      </c>
    </row>
    <row r="14">
      <c r="A14" s="21" t="n">
        <v>903</v>
      </c>
      <c r="B14" s="13" t="inlineStr">
        <is>
          <t>Toallas Blancas Pura Doble</t>
        </is>
      </c>
      <c r="C14" s="13" t="n"/>
      <c r="D14" s="23" t="inlineStr">
        <is>
          <t>$13.275,49</t>
        </is>
      </c>
      <c r="E14" s="24" t="inlineStr">
        <is>
          <t>$19.070,24</t>
        </is>
      </c>
      <c r="F14" s="24" t="inlineStr">
        <is>
          <t>$21.189,16</t>
        </is>
      </c>
      <c r="G14" s="24" t="inlineStr">
        <is>
          <t>$25.638,88</t>
        </is>
      </c>
      <c r="H14" s="24" t="inlineStr">
        <is>
          <t>$25.600,00</t>
        </is>
      </c>
      <c r="I14" s="13" t="n"/>
      <c r="J14" s="24" t="inlineStr">
        <is>
          <t>$10.620,39</t>
        </is>
      </c>
      <c r="K14" s="13" t="n"/>
      <c r="L14" s="27" t="inlineStr">
        <is>
          <t>$9.925,60</t>
        </is>
      </c>
      <c r="M14" s="38" t="n"/>
      <c r="N14" s="26" t="n">
        <v>-0.0654</v>
      </c>
    </row>
    <row r="15">
      <c r="A15" s="21" t="n">
        <v>914</v>
      </c>
      <c r="B15" s="13" t="inlineStr">
        <is>
          <t>Toalla Blanca Unitas (17,5x25 cm)</t>
        </is>
      </c>
      <c r="D15" s="23" t="inlineStr">
        <is>
          <t>$7.377,28</t>
        </is>
      </c>
      <c r="E15" s="24" t="inlineStr">
        <is>
          <t>$10.597,46</t>
        </is>
      </c>
      <c r="F15" s="24" t="inlineStr">
        <is>
          <t>$11.774,96</t>
        </is>
      </c>
      <c r="G15" s="24" t="inlineStr">
        <is>
          <t>$14.247,70</t>
        </is>
      </c>
      <c r="H15" s="24" t="inlineStr">
        <is>
          <t>$14.200,00</t>
        </is>
      </c>
      <c r="I15" s="13" t="n"/>
      <c r="J15" s="24" t="inlineStr">
        <is>
          <t>$5.901,82</t>
        </is>
      </c>
      <c r="K15" s="13" t="n"/>
      <c r="L15" s="27" t="inlineStr">
        <is>
          <t>$5.515,72</t>
        </is>
      </c>
      <c r="M15" s="38" t="n"/>
      <c r="N15" s="26" t="n">
        <v>-0.0654</v>
      </c>
    </row>
    <row r="16">
      <c r="A16" s="21" t="n">
        <v>916</v>
      </c>
      <c r="B16" s="13" t="inlineStr">
        <is>
          <t>Toalla Blanca Especial 21 x 25 ( tiza )</t>
        </is>
      </c>
      <c r="D16" s="23" t="inlineStr">
        <is>
          <t>$9.029,40</t>
        </is>
      </c>
      <c r="E16" s="24" t="inlineStr">
        <is>
          <t>$12.970,73</t>
        </is>
      </c>
      <c r="F16" s="24" t="inlineStr">
        <is>
          <t>$14.411,93</t>
        </is>
      </c>
      <c r="G16" s="24" t="inlineStr">
        <is>
          <t>$17.438,43</t>
        </is>
      </c>
      <c r="H16" s="24" t="inlineStr">
        <is>
          <t>$17.400,00</t>
        </is>
      </c>
      <c r="I16" s="13" t="n"/>
      <c r="J16" s="24" t="inlineStr">
        <is>
          <t>$7.223,52</t>
        </is>
      </c>
      <c r="K16" s="13" t="n"/>
      <c r="L16" s="27" t="inlineStr">
        <is>
          <t>$6.750,96</t>
        </is>
      </c>
      <c r="M16" s="38" t="n"/>
      <c r="N16" s="26" t="n">
        <v>-0.0654</v>
      </c>
    </row>
    <row r="17">
      <c r="A17" s="21" t="n">
        <v>920</v>
      </c>
      <c r="B17" s="13" t="inlineStr">
        <is>
          <t>Toalla Blanca Especial 21 x 37 ( tiza )</t>
        </is>
      </c>
      <c r="D17" s="23" t="inlineStr">
        <is>
          <t>$12.317,46</t>
        </is>
      </c>
      <c r="E17" s="24" t="inlineStr">
        <is>
          <t>$17.694,03</t>
        </is>
      </c>
      <c r="F17" s="24" t="inlineStr">
        <is>
          <t>$19.660,03</t>
        </is>
      </c>
      <c r="G17" s="24" t="inlineStr">
        <is>
          <t>$23.788,64</t>
        </is>
      </c>
      <c r="H17" s="24" t="inlineStr">
        <is>
          <t>$23.800,00</t>
        </is>
      </c>
      <c r="I17" s="13" t="n"/>
      <c r="J17" s="24" t="inlineStr">
        <is>
          <t>$9.853,97</t>
        </is>
      </c>
      <c r="K17" s="13" t="n"/>
      <c r="L17" s="27" t="inlineStr">
        <is>
          <t>$9.209,32</t>
        </is>
      </c>
      <c r="M17" s="38" t="n"/>
      <c r="N17" s="26" t="n">
        <v>-0.0654</v>
      </c>
    </row>
    <row r="18">
      <c r="A18" s="21" t="n">
        <v>927</v>
      </c>
      <c r="B18" s="13" t="inlineStr">
        <is>
          <t>Toalla Blanca Especial 17,5 x 25 ( tiza ) Unita</t>
        </is>
      </c>
      <c r="D18" s="23" t="inlineStr">
        <is>
          <t>$7.077,85</t>
        </is>
      </c>
      <c r="E18" s="24" t="inlineStr">
        <is>
          <t>$10.167,33</t>
        </is>
      </c>
      <c r="F18" s="24" t="inlineStr">
        <is>
          <t>$11.297,04</t>
        </is>
      </c>
      <c r="G18" s="24" t="inlineStr">
        <is>
          <t>$13.669,41</t>
        </is>
      </c>
      <c r="H18" s="24" t="inlineStr">
        <is>
          <t>$13.700,00</t>
        </is>
      </c>
      <c r="I18" s="13" t="n"/>
      <c r="J18" s="24" t="inlineStr">
        <is>
          <t>$5.662,28</t>
        </is>
      </c>
      <c r="K18" s="13" t="n"/>
      <c r="L18" s="27" t="inlineStr">
        <is>
          <t>$5.291,86</t>
        </is>
      </c>
      <c r="M18" s="38" t="n"/>
      <c r="N18" s="26" t="n">
        <v>-0.0654</v>
      </c>
    </row>
    <row r="19">
      <c r="A19" s="21" t="n">
        <v>928</v>
      </c>
      <c r="B19" s="13" t="inlineStr">
        <is>
          <t>Cajas x 2500 Toallas Beige 21x37</t>
        </is>
      </c>
      <c r="D19" s="23" t="inlineStr">
        <is>
          <t>$10.445,12</t>
        </is>
      </c>
      <c r="E19" s="24" t="inlineStr">
        <is>
          <t>$15.004,41</t>
        </is>
      </c>
      <c r="F19" s="24" t="inlineStr">
        <is>
          <t>$16.671,57</t>
        </is>
      </c>
      <c r="G19" s="24" t="inlineStr">
        <is>
          <t>$20.172,60</t>
        </is>
      </c>
      <c r="H19" s="24" t="inlineStr">
        <is>
          <t>$20.200,00</t>
        </is>
      </c>
      <c r="I19" s="13" t="n"/>
      <c r="J19" s="24" t="inlineStr">
        <is>
          <t>$8.356,10</t>
        </is>
      </c>
      <c r="K19" s="13" t="n"/>
      <c r="L19" s="27" t="inlineStr">
        <is>
          <t>$7.809,44</t>
        </is>
      </c>
      <c r="M19" s="38" t="n"/>
      <c r="N19" s="26" t="n">
        <v>-0.0654</v>
      </c>
    </row>
    <row r="20">
      <c r="A20" s="21" t="n">
        <v>930</v>
      </c>
      <c r="B20" s="13" t="inlineStr">
        <is>
          <t>Toalla Blanca Super 21x37 cm</t>
        </is>
      </c>
      <c r="C20" s="13" t="n"/>
      <c r="D20" s="23" t="inlineStr">
        <is>
          <t>$13.314,22</t>
        </is>
      </c>
      <c r="E20" s="24" t="inlineStr">
        <is>
          <t>$19.125,88</t>
        </is>
      </c>
      <c r="F20" s="24" t="inlineStr">
        <is>
          <t>$21.250,97</t>
        </is>
      </c>
      <c r="G20" s="24" t="inlineStr">
        <is>
          <t>$25.713,68</t>
        </is>
      </c>
      <c r="H20" s="24" t="inlineStr">
        <is>
          <t>$25.700,00</t>
        </is>
      </c>
      <c r="I20" s="13" t="n"/>
      <c r="J20" s="24" t="inlineStr">
        <is>
          <t>$10.651,38</t>
        </is>
      </c>
      <c r="K20" s="13" t="n"/>
      <c r="L20" s="27" t="inlineStr">
        <is>
          <t>$9.954,56</t>
        </is>
      </c>
      <c r="M20" s="38" t="n"/>
      <c r="N20" s="26" t="n">
        <v>-0.0654</v>
      </c>
    </row>
    <row r="21">
      <c r="A21" s="21" t="n">
        <v>931</v>
      </c>
      <c r="B21" s="13" t="inlineStr">
        <is>
          <t>Caja x 2500 Toallas Beige Unitas 17,5 cm x 25 cm</t>
        </is>
      </c>
      <c r="D21" s="23" t="inlineStr">
        <is>
          <t>$6.511,69</t>
        </is>
      </c>
      <c r="E21" s="24" t="inlineStr">
        <is>
          <t>$9.354,04</t>
        </is>
      </c>
      <c r="F21" s="24" t="inlineStr">
        <is>
          <t>$10.393,38</t>
        </is>
      </c>
      <c r="G21" s="24" t="inlineStr">
        <is>
          <t>$12.575,99</t>
        </is>
      </c>
      <c r="H21" s="24" t="inlineStr">
        <is>
          <t>$12.600,00</t>
        </is>
      </c>
      <c r="I21" s="24" t="inlineStr">
        <is>
          <t>$11.432,72</t>
        </is>
      </c>
      <c r="J21" s="24" t="inlineStr">
        <is>
          <t>$5.209,35</t>
        </is>
      </c>
      <c r="K21" s="13" t="n"/>
      <c r="L21" s="27" t="inlineStr">
        <is>
          <t>$4.868,56</t>
        </is>
      </c>
      <c r="M21" s="38" t="n"/>
      <c r="N21" s="26" t="n">
        <v>-0.0654</v>
      </c>
    </row>
    <row r="22">
      <c r="A22" s="21" t="n">
        <v>932</v>
      </c>
      <c r="B22" s="13" t="inlineStr">
        <is>
          <t>Caja x 2500 Toallas Beige 21 cm x 25 cm simple hoja</t>
        </is>
      </c>
      <c r="D22" s="23" t="inlineStr">
        <is>
          <t>$7.424,46</t>
        </is>
      </c>
      <c r="E22" s="24" t="inlineStr">
        <is>
          <t>$10.665,24</t>
        </is>
      </c>
      <c r="F22" s="24" t="inlineStr">
        <is>
          <t>$11.850,26</t>
        </is>
      </c>
      <c r="G22" s="24" t="inlineStr">
        <is>
          <t>$14.338,82</t>
        </is>
      </c>
      <c r="H22" s="24" t="inlineStr">
        <is>
          <t>$14.300,00</t>
        </is>
      </c>
      <c r="I22" s="13" t="n"/>
      <c r="J22" s="24" t="inlineStr">
        <is>
          <t>$5.939,57</t>
        </is>
      </c>
      <c r="K22" s="13" t="n"/>
      <c r="L22" s="27" t="inlineStr">
        <is>
          <t>$5.551,00</t>
        </is>
      </c>
      <c r="M22" s="38" t="n"/>
      <c r="N22" s="26" t="n">
        <v>-0.0654</v>
      </c>
    </row>
    <row r="23">
      <c r="A23" s="21" t="n"/>
      <c r="B23" s="13" t="n"/>
      <c r="C23" s="13" t="n"/>
      <c r="D23" s="2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38" t="n"/>
      <c r="N23" s="15" t="n"/>
    </row>
    <row r="24">
      <c r="A24" s="16" t="inlineStr">
        <is>
          <t>TOALLAS EN ROLLO</t>
        </is>
      </c>
      <c r="B24" s="271" t="n"/>
      <c r="C24" s="13" t="n"/>
      <c r="D24" s="2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>
      <c r="A25" s="28" t="n"/>
      <c r="B25" s="9" t="n"/>
      <c r="C25" s="13" t="n"/>
      <c r="D25" s="2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4" t="n"/>
      <c r="N25" s="40" t="n"/>
    </row>
    <row r="26">
      <c r="A26" s="64" t="n">
        <v>116</v>
      </c>
      <c r="B26" s="61" t="inlineStr">
        <is>
          <t>Pack x 6 Rollos de Toallas x 200 mts. Blanca</t>
        </is>
      </c>
      <c r="D26" s="60" t="n">
        <v>14612.16</v>
      </c>
      <c r="E26" s="24" t="inlineStr">
        <is>
          <t>$16.792,28</t>
        </is>
      </c>
      <c r="F26" s="24" t="inlineStr">
        <is>
          <t>$18.658,09</t>
        </is>
      </c>
      <c r="G26" s="24" t="inlineStr">
        <is>
          <t>$22.576,29</t>
        </is>
      </c>
      <c r="H26" s="24" t="inlineStr">
        <is>
          <t>$22.600,00</t>
        </is>
      </c>
      <c r="I26" s="13" t="n"/>
      <c r="J26" s="24" t="inlineStr">
        <is>
          <t>$11.689,72</t>
        </is>
      </c>
      <c r="K26" s="13" t="n"/>
      <c r="L26" s="27" t="inlineStr">
        <is>
          <t>$11.014,34</t>
        </is>
      </c>
      <c r="M26" s="38" t="n"/>
      <c r="N26" s="26" t="n">
        <v>-0.0578</v>
      </c>
    </row>
    <row r="27">
      <c r="A27" s="21" t="n">
        <v>135</v>
      </c>
      <c r="B27" s="13" t="inlineStr">
        <is>
          <t>Recarga Original P/Dispenser Celmatic 2500 U. Dobles</t>
        </is>
      </c>
      <c r="D27" s="23" t="n">
        <v>18621.01</v>
      </c>
      <c r="E27" s="24" t="inlineStr">
        <is>
          <t>$21.399,27</t>
        </is>
      </c>
      <c r="F27" s="24" t="inlineStr">
        <is>
          <t>$23.776,96</t>
        </is>
      </c>
      <c r="G27" s="24" t="inlineStr">
        <is>
          <t>$28.770,13</t>
        </is>
      </c>
      <c r="H27" s="24" t="inlineStr">
        <is>
          <t>$28.800,00</t>
        </is>
      </c>
      <c r="I27" s="13" t="n"/>
      <c r="J27" s="24" t="inlineStr">
        <is>
          <t>$14.896,81</t>
        </is>
      </c>
      <c r="K27" s="13" t="n"/>
      <c r="L27" s="27" t="inlineStr">
        <is>
          <t>$5.338,02</t>
        </is>
      </c>
      <c r="M27" s="38" t="n"/>
      <c r="N27" s="26" t="n">
        <v>-0.6417</v>
      </c>
    </row>
    <row r="28">
      <c r="A28" s="21" t="n">
        <v>136</v>
      </c>
      <c r="B28" s="13" t="inlineStr">
        <is>
          <t>Pack x 4 Recarga Celmatic Due 2400 U. Dobles</t>
        </is>
      </c>
      <c r="D28" s="23" t="n">
        <v>14731.68</v>
      </c>
      <c r="E28" s="24" t="inlineStr">
        <is>
          <t>$16.929,64</t>
        </is>
      </c>
      <c r="F28" s="24" t="inlineStr">
        <is>
          <t>$18.810,71</t>
        </is>
      </c>
      <c r="G28" s="24" t="inlineStr">
        <is>
          <t>$22.760,96</t>
        </is>
      </c>
      <c r="H28" s="24" t="inlineStr">
        <is>
          <t>$22.800,00</t>
        </is>
      </c>
      <c r="I28" s="13" t="n"/>
      <c r="J28" s="24" t="inlineStr">
        <is>
          <t>$11.785,34</t>
        </is>
      </c>
      <c r="K28" s="13" t="n"/>
      <c r="L28" s="27" t="inlineStr">
        <is>
          <t>$4.254,18</t>
        </is>
      </c>
      <c r="M28" s="38" t="n"/>
      <c r="N28" s="26" t="n">
        <v>-0.639</v>
      </c>
    </row>
    <row r="29">
      <c r="A29" s="21" t="n">
        <v>204</v>
      </c>
      <c r="B29" s="13" t="inlineStr">
        <is>
          <t>Pack X 2 Rollos de toalla x 300 mts Blanca</t>
        </is>
      </c>
      <c r="D29" s="23" t="n">
        <v>7139.6</v>
      </c>
      <c r="E29" s="24" t="inlineStr">
        <is>
          <t>$8.204,83</t>
        </is>
      </c>
      <c r="F29" s="24" t="inlineStr">
        <is>
          <t>$9.116,48</t>
        </is>
      </c>
      <c r="G29" s="24" t="inlineStr">
        <is>
          <t>$11.030,94</t>
        </is>
      </c>
      <c r="H29" s="24" t="inlineStr">
        <is>
          <t>$11.000,00</t>
        </is>
      </c>
      <c r="I29" s="13" t="n"/>
      <c r="J29" s="24" t="inlineStr">
        <is>
          <t>$5.711,68</t>
        </is>
      </c>
      <c r="K29" s="13" t="n"/>
      <c r="L29" s="27" t="inlineStr">
        <is>
          <t>$10.924,98</t>
        </is>
      </c>
      <c r="M29" s="38" t="n"/>
      <c r="N29" s="26" t="n">
        <v>0.9127</v>
      </c>
    </row>
    <row r="30">
      <c r="A30" s="21" t="n">
        <v>205</v>
      </c>
      <c r="B30" s="13" t="inlineStr">
        <is>
          <t>Pack X 2 Rollos de toalla x 240 mts Blanca</t>
        </is>
      </c>
      <c r="D30" s="23" t="n">
        <v>5689.97</v>
      </c>
      <c r="E30" s="24" t="inlineStr">
        <is>
          <t>$6.538,92</t>
        </is>
      </c>
      <c r="F30" s="24" t="inlineStr">
        <is>
          <t>$7.265,47</t>
        </is>
      </c>
      <c r="G30" s="24" t="inlineStr">
        <is>
          <t>$8.791,21</t>
        </is>
      </c>
      <c r="H30" s="24" t="inlineStr">
        <is>
          <t>$8.800,00</t>
        </is>
      </c>
      <c r="I30" s="13" t="n"/>
      <c r="J30" s="24" t="inlineStr">
        <is>
          <t>$4.551,98</t>
        </is>
      </c>
      <c r="K30" s="13" t="n"/>
      <c r="L30" s="27" t="inlineStr">
        <is>
          <t>$13.922,26</t>
        </is>
      </c>
      <c r="M30" s="38" t="n"/>
      <c r="N30" s="26" t="n">
        <v>2.0585</v>
      </c>
    </row>
    <row r="31">
      <c r="A31" s="13" t="n"/>
      <c r="B31" s="13" t="n"/>
      <c r="C31" s="13" t="n"/>
      <c r="D31" s="10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</row>
    <row r="32">
      <c r="A32" s="13" t="n"/>
      <c r="B32" s="13" t="n"/>
      <c r="C32" s="13" t="n"/>
      <c r="D32" s="10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>
      <c r="A33" s="43" t="inlineStr">
        <is>
          <t>SERVILLETAS LAMINADAS</t>
        </is>
      </c>
      <c r="B33" s="272" t="n"/>
      <c r="C33" s="13" t="n"/>
      <c r="D33" s="2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38" t="n"/>
      <c r="N33" s="15" t="n"/>
    </row>
    <row r="34">
      <c r="A34" s="21" t="n"/>
      <c r="B34" s="13" t="n"/>
      <c r="C34" s="13" t="n"/>
      <c r="D34" s="2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38" t="n"/>
      <c r="N34" s="15" t="n"/>
    </row>
    <row r="35">
      <c r="A35" s="45" t="n">
        <v>550</v>
      </c>
      <c r="B35" s="47" t="inlineStr">
        <is>
          <t>CAJA POR 1600 SERV LAMINADAS DE 40 X40 CM</t>
        </is>
      </c>
      <c r="C35" s="47" t="n"/>
      <c r="D35" s="48" t="inlineStr">
        <is>
          <t>$53.265,24</t>
        </is>
      </c>
      <c r="E35" s="24" t="inlineStr">
        <is>
          <t>$76.515,52</t>
        </is>
      </c>
      <c r="F35" s="24" t="inlineStr">
        <is>
          <t>$85.017,24</t>
        </is>
      </c>
      <c r="G35" s="24" t="inlineStr">
        <is>
          <t>$102.870,86</t>
        </is>
      </c>
      <c r="H35" s="24" t="inlineStr">
        <is>
          <t>$102.900,00</t>
        </is>
      </c>
      <c r="I35" s="13" t="n"/>
      <c r="J35" s="13" t="n"/>
      <c r="K35" s="13" t="n"/>
      <c r="L35" s="13" t="n"/>
      <c r="M35" s="38" t="n"/>
      <c r="N35" s="15" t="n"/>
    </row>
    <row r="36">
      <c r="A36" s="49" t="n">
        <v>551</v>
      </c>
      <c r="B36" s="51" t="inlineStr">
        <is>
          <t>CAJA POR 1600 SERV ECOLOGICAS LAM DE 40 X40</t>
        </is>
      </c>
      <c r="C36" s="51" t="n"/>
      <c r="D36" s="52" t="inlineStr">
        <is>
          <t>$53.265,24</t>
        </is>
      </c>
      <c r="E36" s="24" t="inlineStr">
        <is>
          <t>$76.515,52</t>
        </is>
      </c>
      <c r="F36" s="24" t="inlineStr">
        <is>
          <t>$85.017,24</t>
        </is>
      </c>
      <c r="G36" s="24" t="inlineStr">
        <is>
          <t>$102.870,86</t>
        </is>
      </c>
      <c r="H36" s="24" t="inlineStr">
        <is>
          <t>$102.900,00</t>
        </is>
      </c>
      <c r="I36" s="13" t="n"/>
      <c r="J36" s="13" t="n"/>
      <c r="K36" s="13" t="n"/>
      <c r="L36" s="13" t="n"/>
      <c r="M36" s="38" t="n"/>
      <c r="N36" s="15" t="n"/>
    </row>
    <row r="37">
      <c r="A37" s="21" t="n"/>
      <c r="B37" s="13" t="n"/>
      <c r="C37" s="13" t="n"/>
      <c r="D37" s="2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38" t="n"/>
      <c r="N37" s="15" t="n"/>
    </row>
    <row r="38">
      <c r="A38" s="21" t="n"/>
      <c r="B38" s="13" t="n"/>
      <c r="C38" s="13" t="n"/>
      <c r="D38" s="2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38" t="n"/>
      <c r="N38" s="15" t="n"/>
    </row>
    <row r="39">
      <c r="A39" s="21" t="n"/>
      <c r="B39" s="13" t="n"/>
      <c r="C39" s="13" t="n"/>
      <c r="D39" s="2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38" t="n"/>
      <c r="N39" s="15" t="n"/>
    </row>
    <row r="40">
      <c r="A40" s="16" t="inlineStr">
        <is>
          <t>CELSOFT</t>
        </is>
      </c>
      <c r="B40" s="55" t="inlineStr">
        <is>
          <t>Precios en Dolares</t>
        </is>
      </c>
      <c r="C40" s="13" t="n"/>
      <c r="D40" s="54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4" t="n"/>
      <c r="N40" s="15" t="n"/>
    </row>
    <row r="41">
      <c r="A41" s="28" t="n"/>
      <c r="B41" s="55" t="n"/>
      <c r="C41" s="13" t="n"/>
      <c r="D41" s="56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4" t="n"/>
      <c r="N41" s="15" t="n"/>
    </row>
    <row r="42">
      <c r="A42" s="21" t="n">
        <v>501</v>
      </c>
      <c r="B42" s="57" t="inlineStr">
        <is>
          <t>Pack x 2 rollos Cel-Soft de 22,5 x 150 mts</t>
        </is>
      </c>
      <c r="D42" s="23" t="inlineStr">
        <is>
          <t>$61,27</t>
        </is>
      </c>
      <c r="E42" s="24" t="inlineStr">
        <is>
          <t>$88,01</t>
        </is>
      </c>
      <c r="F42" s="24" t="inlineStr">
        <is>
          <t>$97,79</t>
        </is>
      </c>
      <c r="G42" s="24" t="inlineStr">
        <is>
          <t>$118,33</t>
        </is>
      </c>
      <c r="H42" s="24" t="inlineStr">
        <is>
          <t>$100,00</t>
        </is>
      </c>
      <c r="I42" s="13" t="n"/>
      <c r="J42" s="24" t="inlineStr">
        <is>
          <t>$61,27</t>
        </is>
      </c>
      <c r="K42" s="13" t="n"/>
      <c r="L42" s="25" t="inlineStr">
        <is>
          <t>$61,27</t>
        </is>
      </c>
      <c r="M42" s="38" t="n"/>
      <c r="N42" s="58" t="n">
        <v>0</v>
      </c>
    </row>
    <row r="43">
      <c r="A43" s="21" t="n">
        <v>505</v>
      </c>
      <c r="B43" s="13" t="inlineStr">
        <is>
          <t>Caja x 2000 U. Servilletas Cel-Soft 30 x 40 cm</t>
        </is>
      </c>
      <c r="D43" s="23" t="inlineStr">
        <is>
          <t>$294,28</t>
        </is>
      </c>
      <c r="E43" s="24" t="inlineStr">
        <is>
          <t>$422,73</t>
        </is>
      </c>
      <c r="F43" s="24" t="inlineStr">
        <is>
          <t>$469,70</t>
        </is>
      </c>
      <c r="G43" s="24" t="inlineStr">
        <is>
          <t>$568,34</t>
        </is>
      </c>
      <c r="H43" s="24" t="inlineStr">
        <is>
          <t>$600,00</t>
        </is>
      </c>
      <c r="I43" s="13" t="n"/>
      <c r="J43" s="24" t="inlineStr">
        <is>
          <t>$294,28</t>
        </is>
      </c>
      <c r="K43" s="13" t="n"/>
      <c r="L43" s="27" t="inlineStr">
        <is>
          <t>$294,28</t>
        </is>
      </c>
      <c r="M43" s="38" t="n"/>
      <c r="N43" s="26" t="n">
        <v>0</v>
      </c>
    </row>
    <row r="44">
      <c r="A44" s="21" t="n">
        <v>506</v>
      </c>
      <c r="B44" s="13" t="inlineStr">
        <is>
          <t>Caja x 3500 Toallas Cel-Soft 21 x 25 cm Blancas</t>
        </is>
      </c>
      <c r="D44" s="23" t="inlineStr">
        <is>
          <t>$164,70</t>
        </is>
      </c>
      <c r="E44" s="24" t="inlineStr">
        <is>
          <t>$236,59</t>
        </is>
      </c>
      <c r="F44" s="24" t="inlineStr">
        <is>
          <t>$262,88</t>
        </is>
      </c>
      <c r="G44" s="24" t="inlineStr">
        <is>
          <t>$318,08</t>
        </is>
      </c>
      <c r="H44" s="24" t="inlineStr">
        <is>
          <t>$300,00</t>
        </is>
      </c>
      <c r="I44" s="13" t="n"/>
      <c r="J44" s="24" t="inlineStr">
        <is>
          <t>$164,70</t>
        </is>
      </c>
      <c r="K44" s="13" t="n"/>
      <c r="L44" s="27" t="inlineStr">
        <is>
          <t>$164,70</t>
        </is>
      </c>
      <c r="M44" s="38" t="n"/>
      <c r="N44" s="26" t="n">
        <v>0</v>
      </c>
    </row>
    <row r="45">
      <c r="A45" s="21" t="n">
        <v>512</v>
      </c>
      <c r="B45" s="13" t="inlineStr">
        <is>
          <t>Caja x 2000 U. Servilletas Cel-Soft 30 x 25 cm</t>
        </is>
      </c>
      <c r="D45" s="23" t="inlineStr">
        <is>
          <t>$186,84</t>
        </is>
      </c>
      <c r="E45" s="24" t="inlineStr">
        <is>
          <t>$268,40</t>
        </is>
      </c>
      <c r="F45" s="24" t="inlineStr">
        <is>
          <t>$298,22</t>
        </is>
      </c>
      <c r="G45" s="24" t="inlineStr">
        <is>
          <t>$360,84</t>
        </is>
      </c>
      <c r="H45" s="24" t="inlineStr">
        <is>
          <t>$400,00</t>
        </is>
      </c>
      <c r="I45" s="24" t="inlineStr">
        <is>
          <t>$9.043,06</t>
        </is>
      </c>
      <c r="J45" s="24" t="inlineStr">
        <is>
          <t>$186,84</t>
        </is>
      </c>
      <c r="K45" s="13" t="n"/>
      <c r="L45" s="27" t="inlineStr">
        <is>
          <t>$186,84</t>
        </is>
      </c>
      <c r="M45" s="38" t="n"/>
      <c r="N45" s="26" t="n">
        <v>0</v>
      </c>
    </row>
    <row r="46">
      <c r="A46" s="21" t="n">
        <v>514</v>
      </c>
      <c r="B46" s="13" t="inlineStr">
        <is>
          <t>Caja por 600 servilletas Celsoft 40x40 Victoria Ambra</t>
        </is>
      </c>
      <c r="D46" s="23" t="inlineStr">
        <is>
          <t>$201,24</t>
        </is>
      </c>
      <c r="E46" s="24" t="inlineStr">
        <is>
          <t>$289,08</t>
        </is>
      </c>
      <c r="F46" s="24" t="inlineStr">
        <is>
          <t>$321,20</t>
        </is>
      </c>
      <c r="G46" s="24" t="inlineStr">
        <is>
          <t>$388,65</t>
        </is>
      </c>
      <c r="H46" s="24" t="inlineStr">
        <is>
          <t>$400,00</t>
        </is>
      </c>
      <c r="I46" s="13" t="n"/>
      <c r="J46" s="24" t="inlineStr">
        <is>
          <t>$201,24</t>
        </is>
      </c>
      <c r="K46" s="13" t="n"/>
      <c r="L46" s="27" t="inlineStr">
        <is>
          <t>$201,24</t>
        </is>
      </c>
      <c r="M46" s="38" t="n"/>
      <c r="N46" s="26" t="n">
        <v>0</v>
      </c>
    </row>
    <row r="47">
      <c r="A47" s="21" t="n">
        <v>515</v>
      </c>
      <c r="B47" s="13" t="inlineStr">
        <is>
          <t>Caja por 600 servilletas Celsoft 40x40 Victoria Nero</t>
        </is>
      </c>
      <c r="D47" s="23" t="inlineStr">
        <is>
          <t>$201,24</t>
        </is>
      </c>
      <c r="E47" s="24" t="inlineStr">
        <is>
          <t>$289,08</t>
        </is>
      </c>
      <c r="F47" s="24" t="inlineStr">
        <is>
          <t>$321,20</t>
        </is>
      </c>
      <c r="G47" s="24" t="inlineStr">
        <is>
          <t>$388,65</t>
        </is>
      </c>
      <c r="H47" s="24" t="inlineStr">
        <is>
          <t>$400,00</t>
        </is>
      </c>
      <c r="I47" s="13" t="n"/>
      <c r="J47" s="24" t="inlineStr">
        <is>
          <t>$201,24</t>
        </is>
      </c>
      <c r="K47" s="13" t="n"/>
      <c r="L47" s="27" t="inlineStr">
        <is>
          <t>$201,24</t>
        </is>
      </c>
      <c r="M47" s="38" t="n"/>
      <c r="N47" s="26" t="n">
        <v>0</v>
      </c>
    </row>
    <row r="48">
      <c r="A48" s="21" t="n">
        <v>516</v>
      </c>
      <c r="B48" s="13" t="inlineStr">
        <is>
          <t>Caja por 600 servilletas Celsoft 40x40 Tasca Bordeaux</t>
        </is>
      </c>
      <c r="D48" s="23" t="inlineStr">
        <is>
          <t>$237,29</t>
        </is>
      </c>
      <c r="E48" s="24" t="inlineStr">
        <is>
          <t>$340,87</t>
        </is>
      </c>
      <c r="F48" s="24" t="inlineStr">
        <is>
          <t>$378,74</t>
        </is>
      </c>
      <c r="G48" s="24" t="inlineStr">
        <is>
          <t>$458,28</t>
        </is>
      </c>
      <c r="H48" s="24" t="inlineStr">
        <is>
          <t>$500,00</t>
        </is>
      </c>
      <c r="I48" s="13" t="n"/>
      <c r="J48" s="24" t="inlineStr">
        <is>
          <t>$237,29</t>
        </is>
      </c>
      <c r="K48" s="13" t="n"/>
      <c r="L48" s="27" t="inlineStr">
        <is>
          <t>$237,29</t>
        </is>
      </c>
      <c r="M48" s="38" t="n"/>
      <c r="N48" s="26" t="n">
        <v>0</v>
      </c>
    </row>
    <row r="49">
      <c r="A49" s="21" t="n">
        <v>517</v>
      </c>
      <c r="B49" s="13" t="inlineStr">
        <is>
          <t>Caja por 600 servilletas Celsoft 40x40 Tasca Nero</t>
        </is>
      </c>
      <c r="D49" s="23" t="inlineStr">
        <is>
          <t>$237,29</t>
        </is>
      </c>
      <c r="E49" s="24" t="inlineStr">
        <is>
          <t>$340,87</t>
        </is>
      </c>
      <c r="F49" s="24" t="inlineStr">
        <is>
          <t>$378,74</t>
        </is>
      </c>
      <c r="G49" s="24" t="inlineStr">
        <is>
          <t>$458,28</t>
        </is>
      </c>
      <c r="H49" s="24" t="inlineStr">
        <is>
          <t>$500,00</t>
        </is>
      </c>
      <c r="I49" s="13" t="n"/>
      <c r="J49" s="24" t="inlineStr">
        <is>
          <t>$237,29</t>
        </is>
      </c>
      <c r="K49" s="13" t="n"/>
      <c r="L49" s="27" t="inlineStr">
        <is>
          <t>$237,29</t>
        </is>
      </c>
      <c r="M49" s="38" t="n"/>
      <c r="N49" s="26" t="n">
        <v>0</v>
      </c>
    </row>
    <row r="50">
      <c r="A50" s="21" t="n">
        <v>518</v>
      </c>
      <c r="B50" s="13" t="inlineStr">
        <is>
          <t>Caja por 600 servilletas Celsoft 40x40 Tasca Lino Avorio</t>
        </is>
      </c>
      <c r="D50" s="23" t="inlineStr">
        <is>
          <t>$201,24</t>
        </is>
      </c>
      <c r="E50" s="24" t="inlineStr">
        <is>
          <t>$289,08</t>
        </is>
      </c>
      <c r="F50" s="24" t="inlineStr">
        <is>
          <t>$321,20</t>
        </is>
      </c>
      <c r="G50" s="24" t="inlineStr">
        <is>
          <t>$388,65</t>
        </is>
      </c>
      <c r="H50" s="24" t="inlineStr">
        <is>
          <t>$400,00</t>
        </is>
      </c>
      <c r="I50" s="13" t="n"/>
      <c r="J50" s="24" t="inlineStr">
        <is>
          <t>$201,24</t>
        </is>
      </c>
      <c r="K50" s="13" t="n"/>
      <c r="L50" s="27" t="inlineStr">
        <is>
          <t>$201,24</t>
        </is>
      </c>
      <c r="M50" s="38" t="n"/>
      <c r="N50" s="26" t="n">
        <v>0</v>
      </c>
    </row>
    <row r="51">
      <c r="A51" s="21" t="n">
        <v>519</v>
      </c>
      <c r="B51" s="13" t="inlineStr">
        <is>
          <t>Caja por 600 servilletas Celsoft 40x40 Taca Iuta Grigio</t>
        </is>
      </c>
      <c r="D51" s="23" t="inlineStr">
        <is>
          <t>$201,24</t>
        </is>
      </c>
      <c r="E51" s="24" t="inlineStr">
        <is>
          <t>$289,08</t>
        </is>
      </c>
      <c r="F51" s="24" t="inlineStr">
        <is>
          <t>$321,20</t>
        </is>
      </c>
      <c r="G51" s="24" t="inlineStr">
        <is>
          <t>$388,65</t>
        </is>
      </c>
      <c r="H51" s="24" t="inlineStr">
        <is>
          <t>$400,00</t>
        </is>
      </c>
      <c r="I51" s="13" t="n"/>
      <c r="J51" s="24" t="inlineStr">
        <is>
          <t>$201,24</t>
        </is>
      </c>
      <c r="K51" s="13" t="n"/>
      <c r="L51" s="27" t="inlineStr">
        <is>
          <t>$201,24</t>
        </is>
      </c>
      <c r="M51" s="38" t="n"/>
      <c r="N51" s="26" t="n">
        <v>0</v>
      </c>
    </row>
    <row r="52">
      <c r="A52" s="21" t="n">
        <v>520</v>
      </c>
      <c r="B52" s="13" t="inlineStr">
        <is>
          <t>Caja de servilletas Celsoft 40 x 40 SAMPLER 300 Unid</t>
        </is>
      </c>
      <c r="D52" s="23" t="inlineStr">
        <is>
          <t>$106,52</t>
        </is>
      </c>
      <c r="E52" s="24" t="inlineStr">
        <is>
          <t>$153,02</t>
        </is>
      </c>
      <c r="F52" s="24" t="inlineStr">
        <is>
          <t>$170,02</t>
        </is>
      </c>
      <c r="G52" s="24" t="inlineStr">
        <is>
          <t>$205,72</t>
        </is>
      </c>
      <c r="H52" s="24" t="inlineStr">
        <is>
          <t>$200,00</t>
        </is>
      </c>
      <c r="I52" s="13" t="n"/>
      <c r="J52" s="24" t="inlineStr">
        <is>
          <t>$106,52</t>
        </is>
      </c>
      <c r="K52" s="13" t="n"/>
      <c r="L52" s="27" t="inlineStr">
        <is>
          <t>$106,52</t>
        </is>
      </c>
      <c r="M52" s="38" t="n"/>
      <c r="N52" s="26" t="n">
        <v>0</v>
      </c>
    </row>
    <row r="53">
      <c r="A53" s="21" t="n"/>
      <c r="B53" s="13" t="n"/>
      <c r="C53" s="13" t="n"/>
      <c r="D53" s="2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38" t="n"/>
      <c r="N53" s="15" t="n"/>
    </row>
    <row r="54">
      <c r="A54" s="59" t="inlineStr">
        <is>
          <t>PAPEL HIGIENICO</t>
        </is>
      </c>
      <c r="B54" s="271" t="n"/>
      <c r="C54" s="13" t="n"/>
      <c r="D54" s="2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>
      <c r="A55" s="9" t="n"/>
      <c r="B55" s="13" t="n"/>
      <c r="C55" s="13" t="n"/>
      <c r="D55" s="2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40" t="n"/>
      <c r="N55" s="15" t="n"/>
    </row>
    <row r="56">
      <c r="A56" s="64" t="n">
        <v>211</v>
      </c>
      <c r="B56" s="61" t="inlineStr">
        <is>
          <t>Pack x18 Rollos Higienico Racional D/H x 60 mts</t>
        </is>
      </c>
      <c r="D56" s="60" t="inlineStr">
        <is>
          <t>$10.465,16</t>
        </is>
      </c>
      <c r="E56" s="62" t="inlineStr">
        <is>
          <t>$15.033,20</t>
        </is>
      </c>
      <c r="F56" s="62" t="inlineStr">
        <is>
          <t>$16.703,56</t>
        </is>
      </c>
      <c r="G56" s="62" t="inlineStr">
        <is>
          <t>$20.211,31</t>
        </is>
      </c>
      <c r="H56" s="62" t="inlineStr">
        <is>
          <t>$20.200,00</t>
        </is>
      </c>
      <c r="I56" s="61" t="n"/>
      <c r="J56" s="62" t="inlineStr">
        <is>
          <t>$8.372,11</t>
        </is>
      </c>
      <c r="K56" s="61" t="n"/>
      <c r="L56" s="63" t="inlineStr">
        <is>
          <t>$7.824,41</t>
        </is>
      </c>
      <c r="M56" s="64" t="n"/>
      <c r="N56" s="65" t="n">
        <v>-0.0654</v>
      </c>
    </row>
    <row r="57">
      <c r="A57" s="21" t="n">
        <v>213</v>
      </c>
      <c r="B57" s="13" t="inlineStr">
        <is>
          <t>Pack x 4 Rollos Higienico Racional x 500 mts Buje 7,5</t>
        </is>
      </c>
      <c r="D57" s="23" t="inlineStr">
        <is>
          <t>$8.110,66</t>
        </is>
      </c>
      <c r="E57" s="24" t="inlineStr">
        <is>
          <t>$11.650,96</t>
        </is>
      </c>
      <c r="F57" s="24" t="inlineStr">
        <is>
          <t>$12.945,51</t>
        </is>
      </c>
      <c r="G57" s="24" t="inlineStr">
        <is>
          <t>$15.664,07</t>
        </is>
      </c>
      <c r="H57" s="24" t="inlineStr">
        <is>
          <t>$15.700,00</t>
        </is>
      </c>
      <c r="I57" s="13" t="n"/>
      <c r="J57" s="24" t="inlineStr">
        <is>
          <t>$6.488,53</t>
        </is>
      </c>
      <c r="K57" s="13" t="n"/>
      <c r="L57" s="27" t="inlineStr">
        <is>
          <t>$6.064,05</t>
        </is>
      </c>
      <c r="M57" s="38" t="n"/>
      <c r="N57" s="26" t="n">
        <v>-0.0654</v>
      </c>
    </row>
    <row r="58">
      <c r="A58" s="64" t="n">
        <v>214</v>
      </c>
      <c r="B58" s="61" t="inlineStr">
        <is>
          <t>Pack x 18 rollos Papel Higienico Racional x 122 mts</t>
        </is>
      </c>
      <c r="D58" s="60" t="inlineStr">
        <is>
          <t>$9.964,44</t>
        </is>
      </c>
      <c r="E58" s="62" t="inlineStr">
        <is>
          <t>$14.313,92</t>
        </is>
      </c>
      <c r="F58" s="62" t="inlineStr">
        <is>
          <t>$15.904,35</t>
        </is>
      </c>
      <c r="G58" s="62" t="inlineStr">
        <is>
          <t>$19.244,27</t>
        </is>
      </c>
      <c r="H58" s="62" t="inlineStr">
        <is>
          <t>$19.200,00</t>
        </is>
      </c>
      <c r="I58" s="61" t="n"/>
      <c r="J58" s="62" t="inlineStr">
        <is>
          <t>$7.971,55</t>
        </is>
      </c>
      <c r="K58" s="61" t="n"/>
      <c r="L58" s="66" t="inlineStr">
        <is>
          <t>$7.450,06</t>
        </is>
      </c>
      <c r="M58" s="64" t="n"/>
      <c r="N58" s="65" t="n">
        <v>-0.0654</v>
      </c>
    </row>
    <row r="59">
      <c r="A59" s="21" t="n">
        <v>218</v>
      </c>
      <c r="B59" s="13" t="inlineStr">
        <is>
          <t>Pack x 8 rollos Higienico Racional x 265 mts buje 7,5</t>
        </is>
      </c>
      <c r="D59" s="23" t="inlineStr">
        <is>
          <t>$9.171,09</t>
        </is>
      </c>
      <c r="E59" s="24" t="inlineStr">
        <is>
          <t>$13.174,27</t>
        </is>
      </c>
      <c r="F59" s="24" t="inlineStr">
        <is>
          <t>$14.638,08</t>
        </is>
      </c>
      <c r="G59" s="24" t="inlineStr">
        <is>
          <t>$17.712,08</t>
        </is>
      </c>
      <c r="H59" s="24" t="inlineStr">
        <is>
          <t>$17.700,00</t>
        </is>
      </c>
      <c r="I59" s="13" t="n"/>
      <c r="J59" s="24" t="inlineStr">
        <is>
          <t>$7.336,87</t>
        </is>
      </c>
      <c r="K59" s="13" t="n"/>
      <c r="L59" s="27" t="inlineStr">
        <is>
          <t>$6.856,90</t>
        </is>
      </c>
      <c r="M59" s="38" t="n"/>
      <c r="N59" s="26" t="n">
        <v>-0.0654</v>
      </c>
    </row>
    <row r="60">
      <c r="A60" s="64" t="n">
        <v>220</v>
      </c>
      <c r="B60" s="61" t="inlineStr">
        <is>
          <t>Pack x 8 Rollos Papel Higienico Racional x 300 mts</t>
        </is>
      </c>
      <c r="D60" s="60" t="inlineStr">
        <is>
          <t>$10.450,76</t>
        </is>
      </c>
      <c r="E60" s="62" t="inlineStr">
        <is>
          <t>$15.012,52</t>
        </is>
      </c>
      <c r="F60" s="62" t="inlineStr">
        <is>
          <t>$16.680,57</t>
        </is>
      </c>
      <c r="G60" s="62" t="inlineStr">
        <is>
          <t>$20.183,49</t>
        </is>
      </c>
      <c r="H60" s="62" t="inlineStr">
        <is>
          <t>$20.200,00</t>
        </is>
      </c>
      <c r="I60" s="61" t="n"/>
      <c r="J60" s="62" t="inlineStr">
        <is>
          <t>$8.360,60</t>
        </is>
      </c>
      <c r="K60" s="61" t="n"/>
      <c r="L60" s="66" t="inlineStr">
        <is>
          <t>$7.813,65</t>
        </is>
      </c>
      <c r="M60" s="64" t="n"/>
      <c r="N60" s="65" t="n">
        <v>-0.0654</v>
      </c>
    </row>
    <row r="61">
      <c r="A61" s="21" t="n">
        <v>222</v>
      </c>
      <c r="B61" s="13" t="inlineStr">
        <is>
          <t>Pack x 8 Rollos Papel Higienico x 260 mts Buje4,5</t>
        </is>
      </c>
      <c r="D61" s="23" t="inlineStr">
        <is>
          <t>$8.872,00</t>
        </is>
      </c>
      <c r="E61" s="24" t="inlineStr">
        <is>
          <t>$12.744,63</t>
        </is>
      </c>
      <c r="F61" s="24" t="inlineStr">
        <is>
          <t>$14.160,70</t>
        </is>
      </c>
      <c r="G61" s="24" t="inlineStr">
        <is>
          <t>$17.134,44</t>
        </is>
      </c>
      <c r="H61" s="24" t="inlineStr">
        <is>
          <t>$17.100,00</t>
        </is>
      </c>
      <c r="I61" s="13" t="n"/>
      <c r="J61" s="24" t="inlineStr">
        <is>
          <t>$7.097,54</t>
        </is>
      </c>
      <c r="K61" s="13" t="n"/>
      <c r="L61" s="27" t="inlineStr">
        <is>
          <t>$6.633,22</t>
        </is>
      </c>
      <c r="M61" s="38" t="n"/>
      <c r="N61" s="26" t="n">
        <v>-0.0654</v>
      </c>
    </row>
    <row r="62">
      <c r="A62" s="21" t="n">
        <v>909</v>
      </c>
      <c r="B62" s="13" t="inlineStr">
        <is>
          <t>Papel Higiénico 20 x 14,5 8000 h. 4000 usos</t>
        </is>
      </c>
      <c r="D62" s="23" t="inlineStr">
        <is>
          <t>$13.701,96</t>
        </is>
      </c>
      <c r="E62" s="24" t="inlineStr">
        <is>
          <t>$19.682,87</t>
        </is>
      </c>
      <c r="F62" s="24" t="inlineStr">
        <is>
          <t>$21.869,85</t>
        </is>
      </c>
      <c r="G62" s="24" t="inlineStr">
        <is>
          <t>$26.462,52</t>
        </is>
      </c>
      <c r="H62" s="24" t="inlineStr">
        <is>
          <t>$26.500,00</t>
        </is>
      </c>
      <c r="I62" s="13" t="n"/>
      <c r="J62" s="24" t="inlineStr">
        <is>
          <t>$10.961,55</t>
        </is>
      </c>
      <c r="K62" s="13" t="n"/>
      <c r="L62" s="27" t="inlineStr">
        <is>
          <t>$10.244,45</t>
        </is>
      </c>
      <c r="M62" s="38" t="n"/>
      <c r="N62" s="26" t="n">
        <v>-0.0654</v>
      </c>
    </row>
    <row r="63">
      <c r="A63" s="21" t="n">
        <v>912</v>
      </c>
      <c r="B63" s="13" t="inlineStr">
        <is>
          <t>Papel Higienico UNITAS(18x14,5cm) 8000 h/4000 usos</t>
        </is>
      </c>
      <c r="D63" s="23" t="inlineStr">
        <is>
          <t>$11.009,17</t>
        </is>
      </c>
      <c r="E63" s="24" t="inlineStr">
        <is>
          <t>$15.814,67</t>
        </is>
      </c>
      <c r="F63" s="24" t="inlineStr">
        <is>
          <t>$17.571,86</t>
        </is>
      </c>
      <c r="G63" s="24" t="inlineStr">
        <is>
          <t>$21.261,95</t>
        </is>
      </c>
      <c r="H63" s="24" t="inlineStr">
        <is>
          <t>$21.300,00</t>
        </is>
      </c>
      <c r="I63" s="24" t="inlineStr">
        <is>
          <t>$19.329,04</t>
        </is>
      </c>
      <c r="J63" s="24" t="inlineStr">
        <is>
          <t>$8.807,34</t>
        </is>
      </c>
      <c r="K63" s="13" t="n"/>
      <c r="L63" s="27" t="inlineStr">
        <is>
          <t>$8.231,16</t>
        </is>
      </c>
      <c r="M63" s="38" t="n"/>
      <c r="N63" s="26" t="n">
        <v>-0.0654</v>
      </c>
    </row>
    <row r="64">
      <c r="A64" s="21" t="n"/>
      <c r="B64" s="13" t="n"/>
      <c r="C64" s="13" t="n"/>
      <c r="D64" s="2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38" t="n"/>
      <c r="N64" s="15" t="n"/>
    </row>
    <row r="65">
      <c r="A65" s="21" t="n"/>
      <c r="B65" s="67" t="n">
        <v>44896</v>
      </c>
      <c r="C65" s="13" t="n"/>
      <c r="D65" s="2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38" t="n"/>
      <c r="N65" s="68" t="n"/>
    </row>
    <row r="66">
      <c r="A66" s="21" t="n"/>
      <c r="B66" s="13" t="n"/>
      <c r="C66" s="13" t="n"/>
      <c r="D66" s="2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38" t="n"/>
      <c r="N66" s="15" t="n"/>
    </row>
    <row r="67">
      <c r="A67" s="16" t="inlineStr">
        <is>
          <t>CAMILLEROS</t>
        </is>
      </c>
      <c r="B67" s="13" t="n"/>
      <c r="C67" s="13" t="n"/>
      <c r="D67" s="2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4" t="n"/>
      <c r="N67" s="15" t="n"/>
    </row>
    <row r="68">
      <c r="A68" s="28" t="n"/>
      <c r="B68" s="13" t="n"/>
      <c r="C68" s="13" t="n"/>
      <c r="D68" s="23" t="inlineStr">
        <is>
          <t>$7.094,39</t>
        </is>
      </c>
      <c r="E68" s="13" t="n"/>
      <c r="F68" s="13" t="n"/>
      <c r="G68" s="13" t="n"/>
      <c r="H68" s="13" t="n"/>
      <c r="I68" s="13" t="n"/>
      <c r="J68" s="24" t="inlineStr">
        <is>
          <t>$6.630,27</t>
        </is>
      </c>
      <c r="K68" s="13" t="n"/>
      <c r="L68" s="13" t="n"/>
      <c r="M68" s="14" t="n"/>
      <c r="N68" s="15" t="n"/>
    </row>
    <row r="69">
      <c r="A69" s="21" t="n">
        <v>301</v>
      </c>
      <c r="B69" s="13" t="inlineStr">
        <is>
          <t>Pack x 2 Rollos Camilleros bco s/h 54x100mts Prec</t>
        </is>
      </c>
      <c r="D69" s="23" t="inlineStr">
        <is>
          <t>$8.867,99</t>
        </is>
      </c>
      <c r="E69" s="24" t="inlineStr">
        <is>
          <t>$12.738,86</t>
        </is>
      </c>
      <c r="F69" s="24" t="inlineStr">
        <is>
          <t>$14.154,29</t>
        </is>
      </c>
      <c r="G69" s="24" t="inlineStr">
        <is>
          <t>$17.126,69</t>
        </is>
      </c>
      <c r="H69" s="24" t="inlineStr">
        <is>
          <t>$17.100,00</t>
        </is>
      </c>
      <c r="I69" s="13" t="n"/>
      <c r="J69" s="24" t="inlineStr">
        <is>
          <t>$7.094,39</t>
        </is>
      </c>
      <c r="K69" s="13" t="n"/>
      <c r="L69" s="13" t="n"/>
      <c r="M69" s="38" t="n"/>
      <c r="N69" s="26" t="n">
        <v>0.1</v>
      </c>
    </row>
    <row r="70">
      <c r="A70" s="21" t="n"/>
      <c r="B70" s="155" t="n"/>
      <c r="C70" s="13" t="n"/>
      <c r="D70" s="2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38" t="n"/>
      <c r="N70" s="68" t="n"/>
    </row>
    <row r="71">
      <c r="A71" s="59" t="inlineStr">
        <is>
          <t>DISPENSERS</t>
        </is>
      </c>
      <c r="B71" s="13" t="n"/>
      <c r="C71" s="13" t="n"/>
      <c r="D71" s="2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40" t="n"/>
      <c r="N71" s="15" t="n"/>
    </row>
    <row r="72">
      <c r="A72" s="9" t="n"/>
      <c r="B72" s="13" t="n"/>
      <c r="C72" s="13" t="n"/>
      <c r="D72" s="2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40" t="n"/>
      <c r="N72" s="15" t="n"/>
    </row>
    <row r="73">
      <c r="A73" s="21" t="n">
        <v>403</v>
      </c>
      <c r="B73" s="13" t="inlineStr">
        <is>
          <t>Portabobina de Pared</t>
        </is>
      </c>
      <c r="C73" s="13" t="n"/>
      <c r="D73" s="70" t="inlineStr">
        <is>
          <t>$17.950,60</t>
        </is>
      </c>
      <c r="E73" s="24" t="inlineStr">
        <is>
          <t>$25.786,04</t>
        </is>
      </c>
      <c r="F73" s="24" t="inlineStr">
        <is>
          <t>$28.651,15</t>
        </is>
      </c>
      <c r="G73" s="24" t="inlineStr">
        <is>
          <t>$34.667,89</t>
        </is>
      </c>
      <c r="H73" s="24" t="inlineStr">
        <is>
          <t>$34.700,00</t>
        </is>
      </c>
      <c r="I73" s="13" t="n"/>
      <c r="J73" s="24" t="inlineStr">
        <is>
          <t>$14.360,46</t>
        </is>
      </c>
      <c r="K73" s="13" t="n"/>
      <c r="L73" s="25" t="inlineStr">
        <is>
          <t>$13.421,00</t>
        </is>
      </c>
      <c r="M73" s="38" t="n"/>
      <c r="N73" s="26" t="n">
        <v>-0.0654</v>
      </c>
    </row>
    <row r="74">
      <c r="A74" s="21" t="n">
        <v>418</v>
      </c>
      <c r="B74" s="13" t="inlineStr">
        <is>
          <t>Portabobina de Piso</t>
        </is>
      </c>
      <c r="C74" s="13" t="n"/>
      <c r="D74" s="71" t="inlineStr">
        <is>
          <t>$19.745,21</t>
        </is>
      </c>
      <c r="E74" s="24" t="inlineStr">
        <is>
          <t>$28.363,99</t>
        </is>
      </c>
      <c r="F74" s="24" t="inlineStr">
        <is>
          <t>$31.515,55</t>
        </is>
      </c>
      <c r="G74" s="24" t="inlineStr">
        <is>
          <t>$38.133,81</t>
        </is>
      </c>
      <c r="H74" s="24" t="inlineStr">
        <is>
          <t>$38.100,00</t>
        </is>
      </c>
      <c r="I74" s="13" t="n"/>
      <c r="J74" s="24" t="inlineStr">
        <is>
          <t>$15.796,17</t>
        </is>
      </c>
      <c r="K74" s="13" t="n"/>
      <c r="L74" s="27" t="inlineStr">
        <is>
          <t>$14.762,78</t>
        </is>
      </c>
      <c r="M74" s="38" t="n"/>
      <c r="N74" s="26" t="n">
        <v>-0.0654</v>
      </c>
    </row>
    <row r="75">
      <c r="A75" s="21" t="n">
        <v>422</v>
      </c>
      <c r="B75" s="13" t="inlineStr">
        <is>
          <t>Dispenser Celmatic Due</t>
        </is>
      </c>
      <c r="C75" s="13" t="n"/>
      <c r="D75" s="71" t="inlineStr">
        <is>
          <t>$25.300,20</t>
        </is>
      </c>
      <c r="E75" s="24" t="inlineStr">
        <is>
          <t>$36.343,74</t>
        </is>
      </c>
      <c r="F75" s="24" t="inlineStr">
        <is>
          <t>$40.381,93</t>
        </is>
      </c>
      <c r="G75" s="24" t="inlineStr">
        <is>
          <t>$48.862,14</t>
        </is>
      </c>
      <c r="H75" s="24" t="inlineStr">
        <is>
          <t>$48.900,00</t>
        </is>
      </c>
      <c r="I75" s="13" t="n"/>
      <c r="J75" s="24" t="inlineStr">
        <is>
          <t>$20.240,16</t>
        </is>
      </c>
      <c r="K75" s="13" t="n"/>
      <c r="L75" s="27" t="inlineStr">
        <is>
          <t>$18.916,04</t>
        </is>
      </c>
      <c r="M75" s="38" t="n"/>
      <c r="N75" s="26" t="n">
        <v>-0.0654</v>
      </c>
    </row>
    <row r="76">
      <c r="A76" s="21" t="n">
        <v>425</v>
      </c>
      <c r="B76" s="13" t="inlineStr">
        <is>
          <t>Dosificador para Jabón Líquido Recargable</t>
        </is>
      </c>
      <c r="D76" s="71" t="inlineStr">
        <is>
          <t>$9.490,76</t>
        </is>
      </c>
      <c r="E76" s="24" t="inlineStr">
        <is>
          <t>$13.633,48</t>
        </is>
      </c>
      <c r="F76" s="24" t="inlineStr">
        <is>
          <t>$15.148,31</t>
        </is>
      </c>
      <c r="G76" s="24" t="inlineStr">
        <is>
          <t>$18.329,45</t>
        </is>
      </c>
      <c r="H76" s="24" t="inlineStr">
        <is>
          <t>$18.300,00</t>
        </is>
      </c>
      <c r="I76" s="13" t="n"/>
      <c r="J76" s="24" t="inlineStr">
        <is>
          <t>$7.592,61</t>
        </is>
      </c>
      <c r="K76" s="13" t="n"/>
      <c r="L76" s="27" t="inlineStr">
        <is>
          <t>$7.095,90</t>
        </is>
      </c>
      <c r="M76" s="38" t="n"/>
      <c r="N76" s="26" t="n">
        <v>-0.0654</v>
      </c>
    </row>
    <row r="77">
      <c r="A77" s="21" t="n">
        <v>427</v>
      </c>
      <c r="B77" s="13" t="inlineStr">
        <is>
          <t>Dispenser Para Papel Higienico Racional 350</t>
        </is>
      </c>
      <c r="D77" s="71" t="inlineStr">
        <is>
          <t>$11.593,12</t>
        </is>
      </c>
      <c r="E77" s="24" t="inlineStr">
        <is>
          <t>$16.653,52</t>
        </is>
      </c>
      <c r="F77" s="24" t="inlineStr">
        <is>
          <t>$18.503,91</t>
        </is>
      </c>
      <c r="G77" s="24" t="inlineStr">
        <is>
          <t>$22.389,73</t>
        </is>
      </c>
      <c r="H77" s="24" t="inlineStr">
        <is>
          <t>$22.400,00</t>
        </is>
      </c>
      <c r="I77" s="13" t="n"/>
      <c r="J77" s="24" t="inlineStr">
        <is>
          <t>$9.274,50</t>
        </is>
      </c>
      <c r="K77" s="13" t="n"/>
      <c r="L77" s="27" t="inlineStr">
        <is>
          <t>$8.667,76</t>
        </is>
      </c>
      <c r="M77" s="38" t="n"/>
      <c r="N77" s="26" t="n">
        <v>-0.0654</v>
      </c>
    </row>
    <row r="78">
      <c r="A78" s="21" t="n">
        <v>428</v>
      </c>
      <c r="B78" s="13" t="inlineStr">
        <is>
          <t>Dispenser para Papel Higiénico</t>
        </is>
      </c>
      <c r="C78" s="13" t="n"/>
      <c r="D78" s="71" t="inlineStr">
        <is>
          <t>$13.257,13</t>
        </is>
      </c>
      <c r="E78" s="24" t="inlineStr">
        <is>
          <t>$19.043,87</t>
        </is>
      </c>
      <c r="F78" s="24" t="inlineStr">
        <is>
          <t>$21.159,85</t>
        </is>
      </c>
      <c r="G78" s="24" t="inlineStr">
        <is>
          <t>$25.603,42</t>
        </is>
      </c>
      <c r="H78" s="24" t="inlineStr">
        <is>
          <t>$25.600,00</t>
        </is>
      </c>
      <c r="I78" s="13" t="n"/>
      <c r="J78" s="24" t="inlineStr">
        <is>
          <t>$10.605,70</t>
        </is>
      </c>
      <c r="K78" s="13" t="n"/>
      <c r="L78" s="27" t="inlineStr">
        <is>
          <t>$9.911,88</t>
        </is>
      </c>
      <c r="M78" s="38" t="n"/>
      <c r="N78" s="26" t="n">
        <v>-0.0654</v>
      </c>
    </row>
    <row r="79">
      <c r="A79" s="21" t="n">
        <v>429</v>
      </c>
      <c r="B79" s="13" t="inlineStr">
        <is>
          <t>Dispenser para Toallas de Papel</t>
        </is>
      </c>
      <c r="C79" s="13" t="n"/>
      <c r="D79" s="71" t="inlineStr">
        <is>
          <t>$9.511,03</t>
        </is>
      </c>
      <c r="E79" s="24" t="inlineStr">
        <is>
          <t>$13.662,59</t>
        </is>
      </c>
      <c r="F79" s="24" t="inlineStr">
        <is>
          <t>$15.180,66</t>
        </is>
      </c>
      <c r="G79" s="24" t="inlineStr">
        <is>
          <t>$18.368,60</t>
        </is>
      </c>
      <c r="H79" s="24" t="inlineStr">
        <is>
          <t>$18.400,00</t>
        </is>
      </c>
      <c r="I79" s="13" t="n"/>
      <c r="J79" s="24" t="inlineStr">
        <is>
          <t>$7.608,82</t>
        </is>
      </c>
      <c r="K79" s="13" t="n"/>
      <c r="L79" s="27" t="inlineStr">
        <is>
          <t>$7.111,06</t>
        </is>
      </c>
      <c r="M79" s="38" t="n"/>
      <c r="N79" s="26" t="n">
        <v>-0.0654</v>
      </c>
    </row>
    <row r="80">
      <c r="A80" s="21" t="n">
        <v>430</v>
      </c>
      <c r="B80" s="13" t="inlineStr">
        <is>
          <t>Dispenser Para Papel Higienico Racional 600</t>
        </is>
      </c>
      <c r="D80" s="71" t="inlineStr">
        <is>
          <t>$18.661,42</t>
        </is>
      </c>
      <c r="E80" s="24" t="inlineStr">
        <is>
          <t>$26.807,13</t>
        </is>
      </c>
      <c r="F80" s="24" t="inlineStr">
        <is>
          <t>$29.785,70</t>
        </is>
      </c>
      <c r="G80" s="24" t="inlineStr">
        <is>
          <t>$36.040,70</t>
        </is>
      </c>
      <c r="H80" s="24" t="inlineStr">
        <is>
          <t>$36.000,00</t>
        </is>
      </c>
      <c r="I80" s="13" t="n"/>
      <c r="J80" s="24" t="inlineStr">
        <is>
          <t>$14.929,14</t>
        </is>
      </c>
      <c r="K80" s="13" t="n"/>
      <c r="L80" s="27" t="inlineStr">
        <is>
          <t>$13.952,46</t>
        </is>
      </c>
      <c r="M80" s="38" t="n"/>
      <c r="N80" s="26" t="n">
        <v>-0.0654</v>
      </c>
    </row>
    <row r="81">
      <c r="A81" s="21" t="n"/>
      <c r="B81" s="13" t="n"/>
      <c r="C81" s="13" t="n"/>
      <c r="D81" s="2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38" t="n"/>
      <c r="N81" s="15" t="n"/>
    </row>
    <row r="82">
      <c r="A82" s="21" t="n"/>
      <c r="B82" s="13" t="n"/>
      <c r="C82" s="13" t="n"/>
      <c r="D82" s="2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38" t="n"/>
      <c r="N82" s="15" t="n"/>
    </row>
    <row r="83">
      <c r="A83" s="21" t="n"/>
      <c r="B83" s="13" t="n"/>
      <c r="C83" s="13" t="n"/>
      <c r="D83" s="2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38" t="n"/>
      <c r="N83" s="15" t="n"/>
    </row>
    <row r="84">
      <c r="A84" s="16" t="inlineStr">
        <is>
          <t>LIMPIEZA INDUSTRIAL</t>
        </is>
      </c>
      <c r="B84" s="271" t="n"/>
      <c r="C84" s="13" t="n"/>
      <c r="D84" s="2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>
      <c r="A85" s="28" t="n"/>
      <c r="B85" s="13" t="n"/>
      <c r="C85" s="13" t="n"/>
      <c r="D85" s="2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4" t="n"/>
      <c r="N85" s="15" t="n"/>
    </row>
    <row r="86">
      <c r="A86" s="64" t="n">
        <v>101</v>
      </c>
      <c r="B86" s="61" t="inlineStr">
        <is>
          <t>Pack x 6 bobinas 22,5 cm x 300 porciones</t>
        </is>
      </c>
      <c r="D86" s="70" t="inlineStr">
        <is>
          <t>$14.268,00</t>
        </is>
      </c>
      <c r="E86" s="62" t="inlineStr">
        <is>
          <t>$20.495,98</t>
        </is>
      </c>
      <c r="F86" s="62" t="inlineStr">
        <is>
          <t>$22.773,31</t>
        </is>
      </c>
      <c r="G86" s="62" t="inlineStr">
        <is>
          <t>$27.555,71</t>
        </is>
      </c>
      <c r="H86" s="62" t="inlineStr">
        <is>
          <t>$27.600,00</t>
        </is>
      </c>
      <c r="I86" s="61" t="n"/>
      <c r="J86" s="62" t="inlineStr">
        <is>
          <t>$11.414,34</t>
        </is>
      </c>
      <c r="K86" s="61" t="n"/>
      <c r="L86" s="63" t="inlineStr">
        <is>
          <t>$10.667,62</t>
        </is>
      </c>
      <c r="M86" s="64" t="n"/>
      <c r="N86" s="65" t="n">
        <v>-0.0654</v>
      </c>
    </row>
    <row r="87">
      <c r="A87" s="21" t="n">
        <v>109</v>
      </c>
      <c r="B87" s="13" t="inlineStr">
        <is>
          <t>Pack x 2 bobinas papel original 22,5 cm x 270 mts</t>
        </is>
      </c>
      <c r="D87" s="71" t="inlineStr">
        <is>
          <t>$11.135,40</t>
        </is>
      </c>
      <c r="E87" s="24" t="inlineStr">
        <is>
          <t>$15.996,00</t>
        </is>
      </c>
      <c r="F87" s="24" t="inlineStr">
        <is>
          <t>$17.773,34</t>
        </is>
      </c>
      <c r="G87" s="24" t="inlineStr">
        <is>
          <t>$21.505,74</t>
        </is>
      </c>
      <c r="H87" s="24" t="inlineStr">
        <is>
          <t>$21.500,00</t>
        </is>
      </c>
      <c r="I87" s="13" t="n"/>
      <c r="J87" s="24" t="inlineStr">
        <is>
          <t>$8.908,31</t>
        </is>
      </c>
      <c r="K87" s="13" t="n"/>
      <c r="L87" s="27" t="inlineStr">
        <is>
          <t>$8.325,53</t>
        </is>
      </c>
      <c r="M87" s="38" t="n"/>
      <c r="N87" s="26" t="n">
        <v>-0.0654</v>
      </c>
    </row>
    <row r="88">
      <c r="A88" s="64" t="n">
        <v>123</v>
      </c>
      <c r="B88" s="61" t="inlineStr">
        <is>
          <t>Pack x 2 bobinas Papel Original 900 hjs/360 mts.</t>
        </is>
      </c>
      <c r="D88" s="71" t="inlineStr">
        <is>
          <t>$16.304,08</t>
        </is>
      </c>
      <c r="E88" s="62" t="inlineStr">
        <is>
          <t>$23.420,81</t>
        </is>
      </c>
      <c r="F88" s="62" t="inlineStr">
        <is>
          <t>$26.023,12</t>
        </is>
      </c>
      <c r="G88" s="62" t="inlineStr">
        <is>
          <t>$31.487,98</t>
        </is>
      </c>
      <c r="H88" s="62" t="inlineStr">
        <is>
          <t>$31.500,00</t>
        </is>
      </c>
      <c r="I88" s="61" t="n"/>
      <c r="J88" s="62" t="inlineStr">
        <is>
          <t>$13.043,26</t>
        </is>
      </c>
      <c r="K88" s="61" t="n"/>
      <c r="L88" s="66" t="inlineStr">
        <is>
          <t>$12.189,96</t>
        </is>
      </c>
      <c r="M88" s="64" t="n"/>
      <c r="N88" s="65" t="n">
        <v>-0.0654</v>
      </c>
    </row>
    <row r="89">
      <c r="A89" s="21" t="n">
        <v>809</v>
      </c>
      <c r="B89" s="13" t="inlineStr">
        <is>
          <t>Pack x 4 Rollos 600 porc 25x25 Rep Tambo</t>
        </is>
      </c>
      <c r="D89" s="71" t="inlineStr">
        <is>
          <t>$16.991,92</t>
        </is>
      </c>
      <c r="E89" s="24" t="inlineStr">
        <is>
          <t>$24.408,89</t>
        </is>
      </c>
      <c r="F89" s="24" t="inlineStr">
        <is>
          <t>$27.120,99</t>
        </is>
      </c>
      <c r="G89" s="24" t="inlineStr">
        <is>
          <t>$32.816,40</t>
        </is>
      </c>
      <c r="H89" s="24" t="inlineStr">
        <is>
          <t>$32.800,00</t>
        </is>
      </c>
      <c r="I89" s="13" t="n"/>
      <c r="J89" s="24" t="inlineStr">
        <is>
          <t>$13.593,46</t>
        </is>
      </c>
      <c r="K89" s="13" t="n"/>
      <c r="L89" s="27" t="inlineStr">
        <is>
          <t>$12.704,18</t>
        </is>
      </c>
      <c r="M89" s="38" t="n"/>
      <c r="N89" s="26" t="n">
        <v>-0.0654</v>
      </c>
    </row>
    <row r="90">
      <c r="A90" s="21" t="n"/>
      <c r="B90" s="13" t="n"/>
      <c r="C90" s="13" t="n"/>
      <c r="D90" s="2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38" t="n"/>
      <c r="N90" s="15" t="n"/>
    </row>
    <row r="91">
      <c r="A91" s="21" t="n"/>
      <c r="B91" s="13" t="n"/>
      <c r="C91" s="13" t="n"/>
      <c r="D91" s="2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38" t="n"/>
      <c r="N91" s="15" t="n"/>
    </row>
    <row r="92">
      <c r="A92" s="16" t="inlineStr">
        <is>
          <t>PAÑOS DE LIMPIEZA DE ALTA PERFORMANCE</t>
        </is>
      </c>
      <c r="B92" s="13" t="n"/>
      <c r="C92" s="13" t="n"/>
      <c r="D92" s="2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4" t="n"/>
      <c r="N92" s="15" t="n"/>
    </row>
    <row r="93">
      <c r="A93" s="28" t="n"/>
      <c r="B93" s="13" t="n"/>
      <c r="C93" s="13" t="n"/>
      <c r="D93" s="2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4" t="n"/>
      <c r="N93" s="15" t="n"/>
    </row>
    <row r="94">
      <c r="A94" s="72" t="inlineStr">
        <is>
          <t>Linea Softclean</t>
        </is>
      </c>
      <c r="C94" s="55" t="n"/>
      <c r="D94" s="56" t="n"/>
      <c r="E94" s="13" t="n"/>
      <c r="F94" s="13" t="n"/>
      <c r="G94" s="13" t="n"/>
      <c r="H94" s="13" t="n"/>
      <c r="I94" s="13" t="n"/>
      <c r="J94" s="13" t="n"/>
      <c r="K94" s="13" t="n"/>
      <c r="L94" s="13" t="n"/>
    </row>
    <row r="95">
      <c r="A95" s="78" t="n">
        <v>601</v>
      </c>
      <c r="B95" s="13" t="inlineStr">
        <is>
          <t>Rollo Softclean Maxi Bco prec 30 x 38 x 500</t>
        </is>
      </c>
      <c r="D95" s="96" t="inlineStr">
        <is>
          <t>$78,99</t>
        </is>
      </c>
      <c r="E95" s="24" t="inlineStr">
        <is>
          <t>$113,47</t>
        </is>
      </c>
      <c r="F95" s="24" t="inlineStr">
        <is>
          <t>$126,08</t>
        </is>
      </c>
      <c r="G95" s="24" t="inlineStr">
        <is>
          <t>$152,55</t>
        </is>
      </c>
      <c r="H95" s="24" t="inlineStr">
        <is>
          <t>$200,00</t>
        </is>
      </c>
      <c r="I95" s="13" t="n"/>
      <c r="J95" s="24" t="inlineStr">
        <is>
          <t>$223,78</t>
        </is>
      </c>
      <c r="K95" s="13" t="n"/>
      <c r="L95" s="73" t="inlineStr">
        <is>
          <t>$245,53</t>
        </is>
      </c>
      <c r="M95" s="74" t="n"/>
      <c r="N95" s="26" t="n">
        <v>0.09719999999999999</v>
      </c>
    </row>
    <row r="96">
      <c r="A96" s="78" t="n">
        <v>606</v>
      </c>
      <c r="B96" s="61" t="inlineStr">
        <is>
          <t>Caja x 300 Paños Ultratex de 45,7cm x 53,3cm</t>
        </is>
      </c>
      <c r="D96" s="97" t="inlineStr">
        <is>
          <t>$347,37</t>
        </is>
      </c>
      <c r="E96" s="62" t="inlineStr">
        <is>
          <t>$499,00</t>
        </is>
      </c>
      <c r="F96" s="62" t="inlineStr">
        <is>
          <t>$554,44</t>
        </is>
      </c>
      <c r="G96" s="62" t="inlineStr">
        <is>
          <t>$670,87</t>
        </is>
      </c>
      <c r="H96" s="62" t="inlineStr">
        <is>
          <t>$700,00</t>
        </is>
      </c>
      <c r="I96" s="61" t="n"/>
      <c r="J96" s="62" t="inlineStr">
        <is>
          <t>$347,37</t>
        </is>
      </c>
      <c r="K96" s="61" t="n"/>
      <c r="L96" s="75" t="inlineStr">
        <is>
          <t>$347,37</t>
        </is>
      </c>
      <c r="M96" s="76" t="n"/>
      <c r="N96" s="65" t="n">
        <v>0</v>
      </c>
    </row>
    <row r="97">
      <c r="A97" s="78" t="n">
        <v>608</v>
      </c>
      <c r="B97" s="13" t="inlineStr">
        <is>
          <t>Repuesto x 2 rollos Softclean x 350 mts</t>
        </is>
      </c>
      <c r="D97" s="98" t="inlineStr">
        <is>
          <t>$71,74</t>
        </is>
      </c>
      <c r="E97" s="24" t="inlineStr">
        <is>
          <t>$103,05</t>
        </is>
      </c>
      <c r="F97" s="24" t="inlineStr">
        <is>
          <t>$114,51</t>
        </is>
      </c>
      <c r="G97" s="24" t="inlineStr">
        <is>
          <t>$138,55</t>
        </is>
      </c>
      <c r="H97" s="24" t="inlineStr">
        <is>
          <t>$100,00</t>
        </is>
      </c>
      <c r="I97" s="13" t="n"/>
      <c r="J97" s="24" t="inlineStr">
        <is>
          <t>$71,74</t>
        </is>
      </c>
      <c r="K97" s="13" t="n"/>
      <c r="L97" s="77" t="inlineStr">
        <is>
          <t>$53,14</t>
        </is>
      </c>
      <c r="M97" s="74" t="n"/>
      <c r="N97" s="26" t="n">
        <v>-0.2593</v>
      </c>
    </row>
    <row r="98">
      <c r="A98" s="78" t="n">
        <v>614</v>
      </c>
      <c r="B98" s="13" t="inlineStr">
        <is>
          <t>Rollo SoftClean S 70x 875 Porciones de 30x 25</t>
        </is>
      </c>
      <c r="D98" s="96" t="inlineStr">
        <is>
          <t>$86,42</t>
        </is>
      </c>
      <c r="E98" s="24" t="inlineStr">
        <is>
          <t>$124,14</t>
        </is>
      </c>
      <c r="F98" s="24" t="inlineStr">
        <is>
          <t>$137,94</t>
        </is>
      </c>
      <c r="G98" s="24" t="inlineStr">
        <is>
          <t>$166,90</t>
        </is>
      </c>
      <c r="H98" s="24" t="inlineStr">
        <is>
          <t>$200,00</t>
        </is>
      </c>
      <c r="I98" s="13" t="n"/>
      <c r="J98" s="24" t="inlineStr">
        <is>
          <t>$86,42</t>
        </is>
      </c>
      <c r="K98" s="13" t="n"/>
      <c r="L98" s="77" t="inlineStr">
        <is>
          <t>$64,02</t>
        </is>
      </c>
      <c r="M98" s="74" t="n"/>
      <c r="N98" s="26" t="n">
        <v>-0.2592</v>
      </c>
    </row>
    <row r="99">
      <c r="A99" s="78" t="n">
        <v>615</v>
      </c>
      <c r="B99" s="13" t="inlineStr">
        <is>
          <t>Contenedor Center Softclean x 350 22,5 x26,5</t>
        </is>
      </c>
      <c r="D99" s="96" t="inlineStr">
        <is>
          <t>$37,59</t>
        </is>
      </c>
      <c r="E99" s="24" t="inlineStr">
        <is>
          <t>$54,00</t>
        </is>
      </c>
      <c r="F99" s="24" t="inlineStr">
        <is>
          <t>$60,00</t>
        </is>
      </c>
      <c r="G99" s="24" t="inlineStr">
        <is>
          <t>$72,60</t>
        </is>
      </c>
      <c r="H99" s="24" t="inlineStr">
        <is>
          <t>$100,00</t>
        </is>
      </c>
      <c r="I99" s="13" t="n"/>
      <c r="J99" s="24" t="inlineStr">
        <is>
          <t>$37,59</t>
        </is>
      </c>
      <c r="K99" s="13" t="n"/>
      <c r="L99" s="77" t="inlineStr">
        <is>
          <t>$27,84</t>
        </is>
      </c>
      <c r="M99" s="74" t="n"/>
      <c r="N99" s="26" t="n">
        <v>-0.2594</v>
      </c>
    </row>
    <row r="100">
      <c r="A100" s="78" t="n">
        <v>616</v>
      </c>
      <c r="B100" s="13" t="inlineStr">
        <is>
          <t>Rollo Mini Sofclean x 190 porciones de 22,5 x 26,5</t>
        </is>
      </c>
      <c r="D100" s="96" t="inlineStr">
        <is>
          <t>$18,80</t>
        </is>
      </c>
      <c r="E100" s="24" t="inlineStr">
        <is>
          <t>$27,01</t>
        </is>
      </c>
      <c r="F100" s="24" t="inlineStr">
        <is>
          <t>$30,01</t>
        </is>
      </c>
      <c r="G100" s="24" t="inlineStr">
        <is>
          <t>$36,31</t>
        </is>
      </c>
      <c r="H100" s="24" t="inlineStr">
        <is>
          <t>$0,00</t>
        </is>
      </c>
      <c r="I100" s="13" t="n"/>
      <c r="J100" s="24" t="inlineStr">
        <is>
          <t>$18,80</t>
        </is>
      </c>
      <c r="K100" s="13" t="n"/>
      <c r="L100" s="77" t="inlineStr">
        <is>
          <t>$13,91</t>
        </is>
      </c>
      <c r="M100" s="74" t="n"/>
      <c r="N100" s="26" t="n">
        <v>-0.2601</v>
      </c>
    </row>
    <row r="101">
      <c r="A101" s="78" t="n">
        <v>617</v>
      </c>
      <c r="B101" s="61" t="inlineStr">
        <is>
          <t>Caja 1/4 Folded Softclean 500 30 x 30 cm Celeste</t>
        </is>
      </c>
      <c r="D101" s="99" t="inlineStr">
        <is>
          <t>$62,34</t>
        </is>
      </c>
      <c r="E101" s="62" t="inlineStr">
        <is>
          <t>$89,55</t>
        </is>
      </c>
      <c r="F101" s="62" t="inlineStr">
        <is>
          <t>$99,50</t>
        </is>
      </c>
      <c r="G101" s="62" t="inlineStr">
        <is>
          <t>$120,40</t>
        </is>
      </c>
      <c r="H101" s="62" t="inlineStr">
        <is>
          <t>$100,00</t>
        </is>
      </c>
      <c r="I101" s="61" t="n"/>
      <c r="J101" s="62" t="inlineStr">
        <is>
          <t>$62,34</t>
        </is>
      </c>
      <c r="K101" s="61" t="n"/>
      <c r="L101" s="75" t="inlineStr">
        <is>
          <t>$46,18</t>
        </is>
      </c>
      <c r="M101" s="76" t="n"/>
      <c r="N101" s="65" t="n">
        <v>-0.2592</v>
      </c>
      <c r="O101" s="100">
        <f>62.34*1.21*1.6*400</f>
        <v/>
      </c>
    </row>
    <row r="102">
      <c r="A102" s="78" t="n">
        <v>618</v>
      </c>
      <c r="B102" s="13" t="inlineStr">
        <is>
          <t>Rollo Precortado Softclean 600 porciones de 30x 26,5</t>
        </is>
      </c>
      <c r="D102" s="96" t="inlineStr">
        <is>
          <t>$62,34</t>
        </is>
      </c>
      <c r="E102" s="24" t="inlineStr">
        <is>
          <t>$89,55</t>
        </is>
      </c>
      <c r="F102" s="24" t="inlineStr">
        <is>
          <t>$99,50</t>
        </is>
      </c>
      <c r="G102" s="24" t="inlineStr">
        <is>
          <t>$120,40</t>
        </is>
      </c>
      <c r="H102" s="24" t="inlineStr">
        <is>
          <t>$100,00</t>
        </is>
      </c>
      <c r="I102" s="13" t="n"/>
      <c r="J102" s="24" t="inlineStr">
        <is>
          <t>$62,34</t>
        </is>
      </c>
      <c r="K102" s="13" t="n"/>
      <c r="L102" s="77" t="inlineStr">
        <is>
          <t>$46,18</t>
        </is>
      </c>
      <c r="M102" s="74" t="n"/>
      <c r="N102" s="26" t="n">
        <v>-0.2592</v>
      </c>
    </row>
    <row r="103">
      <c r="A103" s="78" t="n"/>
      <c r="B103" s="13" t="n"/>
      <c r="C103" s="13" t="n"/>
      <c r="D103" s="96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74" t="n"/>
      <c r="N103" s="15" t="n"/>
    </row>
    <row r="104">
      <c r="A104" s="72" t="inlineStr">
        <is>
          <t>Linea Sontara</t>
        </is>
      </c>
      <c r="C104" s="55" t="n"/>
      <c r="D104" s="56" t="n"/>
      <c r="E104" s="13" t="n"/>
      <c r="F104" s="13" t="n"/>
      <c r="G104" s="13" t="n"/>
      <c r="H104" s="13" t="n"/>
      <c r="I104" s="13" t="n"/>
      <c r="J104" s="13" t="n"/>
      <c r="K104" s="13" t="n"/>
      <c r="L104" s="13" t="n"/>
    </row>
    <row r="105">
      <c r="A105" s="78" t="n">
        <v>604</v>
      </c>
      <c r="B105" s="13" t="inlineStr">
        <is>
          <t>Rollo precortado Maxi de 30 x38 blanco</t>
        </is>
      </c>
      <c r="D105" s="97" t="inlineStr">
        <is>
          <t>$121,94</t>
        </is>
      </c>
      <c r="E105" s="24" t="inlineStr">
        <is>
          <t>$175,17</t>
        </is>
      </c>
      <c r="F105" s="24" t="inlineStr">
        <is>
          <t>$194,63</t>
        </is>
      </c>
      <c r="G105" s="24" t="inlineStr">
        <is>
          <t>$235,50</t>
        </is>
      </c>
      <c r="H105" s="24" t="inlineStr">
        <is>
          <t>$200,00</t>
        </is>
      </c>
      <c r="I105" s="13" t="n"/>
      <c r="J105" s="24" t="inlineStr">
        <is>
          <t>$121,94</t>
        </is>
      </c>
      <c r="K105" s="13" t="n"/>
      <c r="L105" s="73" t="inlineStr">
        <is>
          <t>$121,94</t>
        </is>
      </c>
      <c r="M105" s="74" t="n"/>
      <c r="N105" s="26" t="n">
        <v>0</v>
      </c>
    </row>
    <row r="106">
      <c r="A106" s="78" t="n">
        <v>619</v>
      </c>
      <c r="B106" s="13" t="inlineStr">
        <is>
          <t>Centerfeed Sontara Celeste 350 porc22,5 x 26,5</t>
        </is>
      </c>
      <c r="D106" s="98" t="inlineStr">
        <is>
          <t>$61,85</t>
        </is>
      </c>
      <c r="E106" s="24" t="inlineStr">
        <is>
          <t>$88,85</t>
        </is>
      </c>
      <c r="F106" s="24" t="inlineStr">
        <is>
          <t>$98,72</t>
        </is>
      </c>
      <c r="G106" s="24" t="inlineStr">
        <is>
          <t>$119,45</t>
        </is>
      </c>
      <c r="H106" s="24" t="inlineStr">
        <is>
          <t>$100,00</t>
        </is>
      </c>
      <c r="I106" s="13" t="n"/>
      <c r="J106" s="24" t="inlineStr">
        <is>
          <t>$61,85</t>
        </is>
      </c>
      <c r="K106" s="13" t="n"/>
      <c r="L106" s="77" t="inlineStr">
        <is>
          <t>$61,85</t>
        </is>
      </c>
      <c r="M106" s="74" t="n"/>
      <c r="N106" s="26" t="n">
        <v>0</v>
      </c>
    </row>
    <row r="107">
      <c r="A107" s="78" t="n">
        <v>620</v>
      </c>
      <c r="B107" s="13" t="inlineStr">
        <is>
          <t>Rollo prec Sontara por 600 porc 30 x26,5 celeste</t>
        </is>
      </c>
      <c r="D107" s="98" t="inlineStr">
        <is>
          <t>$116,54</t>
        </is>
      </c>
      <c r="E107" s="24" t="inlineStr">
        <is>
          <t>$167,41</t>
        </is>
      </c>
      <c r="F107" s="24" t="inlineStr">
        <is>
          <t>$186,01</t>
        </is>
      </c>
      <c r="G107" s="24" t="inlineStr">
        <is>
          <t>$225,07</t>
        </is>
      </c>
      <c r="H107" s="24" t="inlineStr">
        <is>
          <t>$200,00</t>
        </is>
      </c>
      <c r="I107" s="13" t="n"/>
      <c r="J107" s="24" t="inlineStr">
        <is>
          <t>$116,54</t>
        </is>
      </c>
      <c r="K107" s="13" t="n"/>
      <c r="L107" s="77" t="inlineStr">
        <is>
          <t>$116,54</t>
        </is>
      </c>
      <c r="M107" s="74" t="n"/>
      <c r="N107" s="26" t="n">
        <v>0</v>
      </c>
    </row>
    <row r="108">
      <c r="A108" s="78" t="n">
        <v>621</v>
      </c>
      <c r="B108" s="13" t="inlineStr">
        <is>
          <t>Rollo Sontara Mini x 190 porc 22,5 x26,5 celeste</t>
        </is>
      </c>
      <c r="D108" s="98" t="inlineStr">
        <is>
          <t>$28,10</t>
        </is>
      </c>
      <c r="E108" s="24" t="inlineStr">
        <is>
          <t>$40,37</t>
        </is>
      </c>
      <c r="F108" s="24" t="inlineStr">
        <is>
          <t>$44,85</t>
        </is>
      </c>
      <c r="G108" s="24" t="inlineStr">
        <is>
          <t>$54,27</t>
        </is>
      </c>
      <c r="H108" s="24" t="inlineStr">
        <is>
          <t>$100,00</t>
        </is>
      </c>
      <c r="I108" s="13" t="n"/>
      <c r="J108" s="24" t="inlineStr">
        <is>
          <t>$28,10</t>
        </is>
      </c>
      <c r="K108" s="13" t="n"/>
      <c r="L108" s="77" t="inlineStr">
        <is>
          <t>$28,10</t>
        </is>
      </c>
      <c r="M108" s="74" t="n"/>
      <c r="N108" s="26" t="n">
        <v>0</v>
      </c>
    </row>
    <row r="109">
      <c r="A109" s="78" t="n">
        <v>627</v>
      </c>
      <c r="B109" s="13" t="inlineStr">
        <is>
          <t>SMP 300 Paños de 22,5 cm x 22,5 cm</t>
        </is>
      </c>
      <c r="D109" s="98" t="inlineStr">
        <is>
          <t>$74,22</t>
        </is>
      </c>
      <c r="E109" s="24" t="inlineStr">
        <is>
          <t>$106,62</t>
        </is>
      </c>
      <c r="F109" s="24" t="inlineStr">
        <is>
          <t>$118,46</t>
        </is>
      </c>
      <c r="G109" s="24" t="inlineStr">
        <is>
          <t>$143,34</t>
        </is>
      </c>
      <c r="H109" s="24" t="inlineStr">
        <is>
          <t>$100,00</t>
        </is>
      </c>
      <c r="I109" s="13" t="n"/>
      <c r="J109" s="24" t="inlineStr">
        <is>
          <t>$74,22</t>
        </is>
      </c>
      <c r="K109" s="13" t="n"/>
      <c r="L109" s="77" t="inlineStr">
        <is>
          <t>$74,22</t>
        </is>
      </c>
      <c r="M109" s="74" t="n"/>
      <c r="N109" s="26" t="n">
        <v>0</v>
      </c>
    </row>
    <row r="110">
      <c r="A110" s="80" t="n">
        <v>645</v>
      </c>
      <c r="B110" s="84" t="inlineStr">
        <is>
          <t>Caja por 500Paños Sontara de 30 x 30 cm celeste</t>
        </is>
      </c>
      <c r="D110" s="98" t="inlineStr">
        <is>
          <t>$124,98</t>
        </is>
      </c>
      <c r="E110" s="24" t="inlineStr">
        <is>
          <t>$179,53</t>
        </is>
      </c>
      <c r="F110" s="24" t="inlineStr">
        <is>
          <t>$199,48</t>
        </is>
      </c>
      <c r="G110" s="24" t="inlineStr">
        <is>
          <t>$241,37</t>
        </is>
      </c>
      <c r="H110" s="24" t="inlineStr">
        <is>
          <t>$200,00</t>
        </is>
      </c>
      <c r="I110" s="13" t="n"/>
      <c r="J110" s="24" t="inlineStr">
        <is>
          <t>$124,98</t>
        </is>
      </c>
      <c r="K110" s="13" t="n"/>
      <c r="L110" s="77" t="inlineStr">
        <is>
          <t>$81,63</t>
        </is>
      </c>
      <c r="M110" s="82" t="n"/>
      <c r="N110" s="83" t="n">
        <v>-0.3469</v>
      </c>
    </row>
    <row r="111">
      <c r="A111" s="78" t="n">
        <v>656</v>
      </c>
      <c r="B111" s="84" t="inlineStr">
        <is>
          <t>Caja por 400 Paños Sontara de 30 x 30 cm Blancos</t>
        </is>
      </c>
      <c r="D111" s="98" t="inlineStr">
        <is>
          <t>$79,00</t>
        </is>
      </c>
      <c r="E111" s="24" t="inlineStr">
        <is>
          <t>$113,48</t>
        </is>
      </c>
      <c r="F111" s="24" t="inlineStr">
        <is>
          <t>$126,09</t>
        </is>
      </c>
      <c r="G111" s="24" t="inlineStr">
        <is>
          <t>$152,57</t>
        </is>
      </c>
      <c r="H111" s="24" t="inlineStr">
        <is>
          <t>$200,00</t>
        </is>
      </c>
      <c r="I111" s="13" t="n"/>
      <c r="J111" s="24" t="inlineStr">
        <is>
          <t>$79,00</t>
        </is>
      </c>
      <c r="K111" s="13" t="n"/>
      <c r="L111" s="77" t="inlineStr">
        <is>
          <t>$79,00</t>
        </is>
      </c>
      <c r="M111" s="74" t="n"/>
      <c r="N111" s="83" t="n">
        <v>0</v>
      </c>
    </row>
    <row r="112">
      <c r="A112" s="13" t="n"/>
      <c r="B112" s="84" t="n"/>
      <c r="C112" s="84" t="n"/>
      <c r="D112" s="10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5" t="n"/>
      <c r="N112" s="85" t="n"/>
    </row>
    <row r="113">
      <c r="A113" s="13" t="n"/>
      <c r="B113" s="84" t="n"/>
      <c r="C113" s="13" t="n"/>
      <c r="D113" s="10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5" t="n"/>
      <c r="N113" s="85" t="n"/>
    </row>
    <row r="114">
      <c r="D114" s="87" t="n"/>
    </row>
    <row r="115">
      <c r="D115" s="87" t="n"/>
    </row>
    <row r="116">
      <c r="D116" s="87" t="n"/>
    </row>
    <row r="117">
      <c r="D117" s="87" t="n"/>
    </row>
    <row r="118">
      <c r="D118" s="87" t="n"/>
    </row>
    <row r="119">
      <c r="D119" s="87" t="n"/>
    </row>
    <row r="120">
      <c r="D120" s="87" t="n"/>
    </row>
    <row r="121">
      <c r="D121" s="87" t="n"/>
    </row>
    <row r="122">
      <c r="D122" s="87" t="n"/>
    </row>
    <row r="123">
      <c r="D123" s="87" t="n"/>
    </row>
    <row r="124">
      <c r="D124" s="87" t="n"/>
    </row>
    <row r="125">
      <c r="D125" s="87" t="n"/>
    </row>
    <row r="126">
      <c r="D126" s="87" t="n"/>
    </row>
    <row r="127">
      <c r="D127" s="87" t="n"/>
    </row>
    <row r="128">
      <c r="D128" s="87" t="n"/>
    </row>
    <row r="129">
      <c r="D129" s="87" t="n"/>
    </row>
    <row r="130">
      <c r="D130" s="87" t="n"/>
    </row>
    <row r="131">
      <c r="D131" s="87" t="n"/>
    </row>
    <row r="132">
      <c r="D132" s="87" t="n"/>
    </row>
    <row r="133">
      <c r="D133" s="87" t="n"/>
    </row>
    <row r="134">
      <c r="D134" s="87" t="n"/>
    </row>
    <row r="135">
      <c r="D135" s="87" t="n"/>
    </row>
    <row r="136">
      <c r="D136" s="87" t="n"/>
    </row>
    <row r="137">
      <c r="D137" s="87" t="n"/>
    </row>
    <row r="138">
      <c r="D138" s="87" t="n"/>
    </row>
    <row r="139">
      <c r="D139" s="87" t="n"/>
    </row>
    <row r="140">
      <c r="D140" s="87" t="n"/>
    </row>
    <row r="141">
      <c r="D141" s="87" t="n"/>
    </row>
    <row r="142">
      <c r="D142" s="87" t="n"/>
    </row>
    <row r="143">
      <c r="D143" s="87" t="n"/>
    </row>
    <row r="144">
      <c r="D144" s="87" t="n"/>
    </row>
    <row r="145">
      <c r="D145" s="87" t="n"/>
    </row>
    <row r="146">
      <c r="D146" s="87" t="n"/>
    </row>
    <row r="147">
      <c r="D147" s="87" t="n"/>
    </row>
    <row r="148">
      <c r="D148" s="87" t="n"/>
    </row>
    <row r="149">
      <c r="D149" s="87" t="n"/>
    </row>
    <row r="150">
      <c r="D150" s="87" t="n"/>
    </row>
    <row r="151">
      <c r="D151" s="87" t="n"/>
    </row>
    <row r="152">
      <c r="D152" s="87" t="n"/>
    </row>
    <row r="153">
      <c r="D153" s="87" t="n"/>
    </row>
    <row r="154">
      <c r="D154" s="87" t="n"/>
    </row>
    <row r="155">
      <c r="D155" s="87" t="n"/>
    </row>
    <row r="156">
      <c r="D156" s="87" t="n"/>
    </row>
    <row r="157">
      <c r="D157" s="87" t="n"/>
    </row>
    <row r="158">
      <c r="D158" s="87" t="n"/>
    </row>
    <row r="159">
      <c r="D159" s="87" t="n"/>
    </row>
    <row r="160">
      <c r="D160" s="87" t="n"/>
    </row>
    <row r="161">
      <c r="D161" s="87" t="n"/>
    </row>
    <row r="162">
      <c r="D162" s="87" t="n"/>
    </row>
    <row r="163">
      <c r="D163" s="87" t="n"/>
    </row>
    <row r="164">
      <c r="D164" s="87" t="n"/>
    </row>
    <row r="165">
      <c r="D165" s="87" t="n"/>
    </row>
    <row r="166">
      <c r="D166" s="87" t="n"/>
    </row>
    <row r="167">
      <c r="D167" s="87" t="n"/>
    </row>
    <row r="168">
      <c r="D168" s="87" t="n"/>
    </row>
    <row r="169">
      <c r="D169" s="87" t="n"/>
    </row>
    <row r="170">
      <c r="D170" s="87" t="n"/>
    </row>
    <row r="171">
      <c r="D171" s="87" t="n"/>
    </row>
    <row r="172">
      <c r="D172" s="87" t="n"/>
    </row>
    <row r="173">
      <c r="D173" s="87" t="n"/>
    </row>
    <row r="174">
      <c r="D174" s="87" t="n"/>
    </row>
    <row r="175">
      <c r="D175" s="87" t="n"/>
    </row>
    <row r="176">
      <c r="D176" s="87" t="n"/>
    </row>
    <row r="177">
      <c r="D177" s="87" t="n"/>
    </row>
    <row r="178">
      <c r="D178" s="87" t="n"/>
    </row>
    <row r="179">
      <c r="D179" s="87" t="n"/>
    </row>
    <row r="180">
      <c r="D180" s="87" t="n"/>
    </row>
    <row r="181">
      <c r="D181" s="87" t="n"/>
    </row>
    <row r="182">
      <c r="D182" s="87" t="n"/>
    </row>
    <row r="183">
      <c r="D183" s="87" t="n"/>
    </row>
    <row r="184">
      <c r="D184" s="87" t="n"/>
    </row>
    <row r="185">
      <c r="D185" s="87" t="n"/>
    </row>
    <row r="186">
      <c r="D186" s="87" t="n"/>
    </row>
    <row r="187">
      <c r="D187" s="87" t="n"/>
    </row>
    <row r="188">
      <c r="D188" s="87" t="n"/>
    </row>
    <row r="189">
      <c r="D189" s="87" t="n"/>
    </row>
    <row r="190">
      <c r="D190" s="87" t="n"/>
    </row>
    <row r="191">
      <c r="D191" s="87" t="n"/>
    </row>
    <row r="192">
      <c r="D192" s="87" t="n"/>
    </row>
    <row r="193">
      <c r="D193" s="87" t="n"/>
    </row>
    <row r="194">
      <c r="D194" s="87" t="n"/>
    </row>
    <row r="195">
      <c r="D195" s="87" t="n"/>
    </row>
    <row r="196">
      <c r="D196" s="87" t="n"/>
    </row>
    <row r="197">
      <c r="D197" s="87" t="n"/>
    </row>
    <row r="198">
      <c r="D198" s="87" t="n"/>
    </row>
    <row r="199">
      <c r="D199" s="87" t="n"/>
    </row>
    <row r="200">
      <c r="D200" s="87" t="n"/>
    </row>
    <row r="201">
      <c r="D201" s="87" t="n"/>
    </row>
    <row r="202">
      <c r="D202" s="87" t="n"/>
    </row>
    <row r="203">
      <c r="D203" s="87" t="n"/>
    </row>
    <row r="204">
      <c r="D204" s="87" t="n"/>
    </row>
    <row r="205">
      <c r="D205" s="87" t="n"/>
    </row>
    <row r="206">
      <c r="D206" s="87" t="n"/>
    </row>
    <row r="207">
      <c r="D207" s="87" t="n"/>
    </row>
    <row r="208">
      <c r="D208" s="87" t="n"/>
    </row>
    <row r="209">
      <c r="D209" s="87" t="n"/>
    </row>
    <row r="210">
      <c r="D210" s="87" t="n"/>
    </row>
    <row r="211">
      <c r="D211" s="87" t="n"/>
    </row>
    <row r="212">
      <c r="D212" s="87" t="n"/>
    </row>
    <row r="213">
      <c r="D213" s="87" t="n"/>
    </row>
    <row r="214">
      <c r="D214" s="87" t="n"/>
    </row>
    <row r="215">
      <c r="D215" s="87" t="n"/>
    </row>
    <row r="216">
      <c r="D216" s="87" t="n"/>
    </row>
    <row r="217">
      <c r="D217" s="87" t="n"/>
    </row>
    <row r="218">
      <c r="D218" s="87" t="n"/>
    </row>
    <row r="219">
      <c r="D219" s="87" t="n"/>
    </row>
    <row r="220">
      <c r="D220" s="87" t="n"/>
    </row>
    <row r="221">
      <c r="D221" s="87" t="n"/>
    </row>
    <row r="222">
      <c r="D222" s="87" t="n"/>
    </row>
    <row r="223">
      <c r="D223" s="87" t="n"/>
    </row>
    <row r="224">
      <c r="D224" s="87" t="n"/>
    </row>
    <row r="225">
      <c r="D225" s="87" t="n"/>
    </row>
    <row r="226">
      <c r="D226" s="87" t="n"/>
    </row>
    <row r="227">
      <c r="D227" s="87" t="n"/>
    </row>
    <row r="228">
      <c r="D228" s="87" t="n"/>
    </row>
    <row r="229">
      <c r="D229" s="87" t="n"/>
    </row>
    <row r="230">
      <c r="D230" s="87" t="n"/>
    </row>
    <row r="231">
      <c r="D231" s="87" t="n"/>
    </row>
    <row r="232">
      <c r="D232" s="87" t="n"/>
    </row>
    <row r="233">
      <c r="D233" s="87" t="n"/>
    </row>
    <row r="234">
      <c r="D234" s="87" t="n"/>
    </row>
    <row r="235">
      <c r="D235" s="87" t="n"/>
    </row>
    <row r="236">
      <c r="D236" s="87" t="n"/>
    </row>
    <row r="237">
      <c r="D237" s="87" t="n"/>
    </row>
    <row r="238">
      <c r="D238" s="87" t="n"/>
    </row>
    <row r="239">
      <c r="D239" s="87" t="n"/>
    </row>
    <row r="240">
      <c r="D240" s="87" t="n"/>
    </row>
    <row r="241">
      <c r="D241" s="87" t="n"/>
    </row>
    <row r="242">
      <c r="D242" s="87" t="n"/>
    </row>
    <row r="243">
      <c r="D243" s="87" t="n"/>
    </row>
    <row r="244">
      <c r="D244" s="87" t="n"/>
    </row>
    <row r="245">
      <c r="D245" s="87" t="n"/>
    </row>
    <row r="246">
      <c r="D246" s="87" t="n"/>
    </row>
    <row r="247">
      <c r="D247" s="87" t="n"/>
    </row>
    <row r="248">
      <c r="D248" s="87" t="n"/>
    </row>
    <row r="249">
      <c r="D249" s="87" t="n"/>
    </row>
    <row r="250">
      <c r="D250" s="87" t="n"/>
    </row>
    <row r="251">
      <c r="D251" s="87" t="n"/>
    </row>
    <row r="252">
      <c r="D252" s="87" t="n"/>
    </row>
    <row r="253">
      <c r="D253" s="87" t="n"/>
    </row>
    <row r="254">
      <c r="D254" s="87" t="n"/>
    </row>
    <row r="255">
      <c r="D255" s="87" t="n"/>
    </row>
    <row r="256">
      <c r="D256" s="87" t="n"/>
    </row>
    <row r="257">
      <c r="D257" s="87" t="n"/>
    </row>
    <row r="258">
      <c r="D258" s="87" t="n"/>
    </row>
    <row r="259">
      <c r="D259" s="87" t="n"/>
    </row>
    <row r="260">
      <c r="D260" s="87" t="n"/>
    </row>
    <row r="261">
      <c r="D261" s="87" t="n"/>
    </row>
    <row r="262">
      <c r="D262" s="87" t="n"/>
    </row>
    <row r="263">
      <c r="D263" s="87" t="n"/>
    </row>
    <row r="264">
      <c r="D264" s="87" t="n"/>
    </row>
    <row r="265">
      <c r="D265" s="87" t="n"/>
    </row>
    <row r="266">
      <c r="D266" s="87" t="n"/>
    </row>
    <row r="267">
      <c r="D267" s="87" t="n"/>
    </row>
    <row r="268">
      <c r="D268" s="87" t="n"/>
    </row>
    <row r="269">
      <c r="D269" s="87" t="n"/>
    </row>
    <row r="270">
      <c r="D270" s="87" t="n"/>
    </row>
    <row r="271">
      <c r="D271" s="87" t="n"/>
    </row>
    <row r="272">
      <c r="D272" s="87" t="n"/>
    </row>
    <row r="273">
      <c r="D273" s="87" t="n"/>
    </row>
    <row r="274">
      <c r="D274" s="87" t="n"/>
    </row>
    <row r="275">
      <c r="D275" s="87" t="n"/>
    </row>
    <row r="276">
      <c r="D276" s="87" t="n"/>
    </row>
    <row r="277">
      <c r="D277" s="87" t="n"/>
    </row>
    <row r="278">
      <c r="D278" s="87" t="n"/>
    </row>
    <row r="279">
      <c r="D279" s="87" t="n"/>
    </row>
    <row r="280">
      <c r="D280" s="87" t="n"/>
    </row>
    <row r="281">
      <c r="D281" s="87" t="n"/>
    </row>
    <row r="282">
      <c r="D282" s="87" t="n"/>
    </row>
    <row r="283">
      <c r="D283" s="87" t="n"/>
    </row>
    <row r="284">
      <c r="D284" s="87" t="n"/>
    </row>
    <row r="285">
      <c r="D285" s="87" t="n"/>
    </row>
    <row r="286">
      <c r="D286" s="87" t="n"/>
    </row>
    <row r="287">
      <c r="D287" s="87" t="n"/>
    </row>
    <row r="288">
      <c r="D288" s="87" t="n"/>
    </row>
    <row r="289">
      <c r="D289" s="87" t="n"/>
    </row>
    <row r="290">
      <c r="D290" s="87" t="n"/>
    </row>
    <row r="291">
      <c r="D291" s="87" t="n"/>
    </row>
    <row r="292">
      <c r="D292" s="87" t="n"/>
    </row>
    <row r="293">
      <c r="D293" s="87" t="n"/>
    </row>
    <row r="294">
      <c r="D294" s="87" t="n"/>
    </row>
    <row r="295">
      <c r="D295" s="87" t="n"/>
    </row>
    <row r="296">
      <c r="D296" s="87" t="n"/>
    </row>
    <row r="297">
      <c r="D297" s="87" t="n"/>
    </row>
    <row r="298">
      <c r="D298" s="87" t="n"/>
    </row>
    <row r="299">
      <c r="D299" s="87" t="n"/>
    </row>
    <row r="300">
      <c r="D300" s="87" t="n"/>
    </row>
    <row r="301">
      <c r="D301" s="87" t="n"/>
    </row>
    <row r="302">
      <c r="D302" s="87" t="n"/>
    </row>
    <row r="303">
      <c r="D303" s="87" t="n"/>
    </row>
    <row r="304">
      <c r="D304" s="87" t="n"/>
    </row>
    <row r="305">
      <c r="D305" s="87" t="n"/>
    </row>
    <row r="306">
      <c r="D306" s="87" t="n"/>
    </row>
    <row r="307">
      <c r="D307" s="87" t="n"/>
    </row>
    <row r="308">
      <c r="D308" s="87" t="n"/>
    </row>
    <row r="309">
      <c r="D309" s="87" t="n"/>
    </row>
    <row r="310">
      <c r="D310" s="87" t="n"/>
    </row>
    <row r="311">
      <c r="D311" s="87" t="n"/>
    </row>
    <row r="312">
      <c r="D312" s="87" t="n"/>
    </row>
    <row r="313">
      <c r="D313" s="87" t="n"/>
    </row>
    <row r="314">
      <c r="D314" s="87" t="n"/>
    </row>
    <row r="315">
      <c r="D315" s="87" t="n"/>
    </row>
    <row r="316">
      <c r="D316" s="87" t="n"/>
    </row>
    <row r="317">
      <c r="D317" s="87" t="n"/>
    </row>
    <row r="318">
      <c r="D318" s="87" t="n"/>
    </row>
    <row r="319">
      <c r="D319" s="87" t="n"/>
    </row>
    <row r="320">
      <c r="D320" s="87" t="n"/>
    </row>
    <row r="321">
      <c r="D321" s="87" t="n"/>
    </row>
    <row r="322">
      <c r="D322" s="87" t="n"/>
    </row>
    <row r="323">
      <c r="D323" s="87" t="n"/>
    </row>
    <row r="324">
      <c r="D324" s="87" t="n"/>
    </row>
    <row r="325">
      <c r="D325" s="87" t="n"/>
    </row>
    <row r="326">
      <c r="D326" s="87" t="n"/>
    </row>
    <row r="327">
      <c r="D327" s="87" t="n"/>
    </row>
    <row r="328">
      <c r="D328" s="87" t="n"/>
    </row>
    <row r="329">
      <c r="D329" s="87" t="n"/>
    </row>
    <row r="330">
      <c r="D330" s="87" t="n"/>
    </row>
    <row r="331">
      <c r="D331" s="87" t="n"/>
    </row>
    <row r="332">
      <c r="D332" s="87" t="n"/>
    </row>
    <row r="333">
      <c r="D333" s="87" t="n"/>
    </row>
    <row r="334">
      <c r="D334" s="87" t="n"/>
    </row>
    <row r="335">
      <c r="D335" s="87" t="n"/>
    </row>
    <row r="336">
      <c r="D336" s="87" t="n"/>
    </row>
    <row r="337">
      <c r="D337" s="87" t="n"/>
    </row>
    <row r="338">
      <c r="D338" s="87" t="n"/>
    </row>
    <row r="339">
      <c r="D339" s="87" t="n"/>
    </row>
    <row r="340">
      <c r="D340" s="87" t="n"/>
    </row>
    <row r="341">
      <c r="D341" s="87" t="n"/>
    </row>
    <row r="342">
      <c r="D342" s="87" t="n"/>
    </row>
    <row r="343">
      <c r="D343" s="87" t="n"/>
    </row>
    <row r="344">
      <c r="D344" s="87" t="n"/>
    </row>
    <row r="345">
      <c r="D345" s="87" t="n"/>
    </row>
    <row r="346">
      <c r="D346" s="87" t="n"/>
    </row>
    <row r="347">
      <c r="D347" s="87" t="n"/>
    </row>
    <row r="348">
      <c r="D348" s="87" t="n"/>
    </row>
    <row r="349">
      <c r="D349" s="87" t="n"/>
    </row>
    <row r="350">
      <c r="D350" s="87" t="n"/>
    </row>
    <row r="351">
      <c r="D351" s="87" t="n"/>
    </row>
    <row r="352">
      <c r="D352" s="87" t="n"/>
    </row>
    <row r="353">
      <c r="D353" s="87" t="n"/>
    </row>
    <row r="354">
      <c r="D354" s="87" t="n"/>
    </row>
    <row r="355">
      <c r="D355" s="87" t="n"/>
    </row>
    <row r="356">
      <c r="D356" s="87" t="n"/>
    </row>
    <row r="357">
      <c r="D357" s="87" t="n"/>
    </row>
    <row r="358">
      <c r="D358" s="87" t="n"/>
    </row>
    <row r="359">
      <c r="D359" s="87" t="n"/>
    </row>
    <row r="360">
      <c r="D360" s="87" t="n"/>
    </row>
    <row r="361">
      <c r="D361" s="87" t="n"/>
    </row>
    <row r="362">
      <c r="D362" s="87" t="n"/>
    </row>
    <row r="363">
      <c r="D363" s="87" t="n"/>
    </row>
    <row r="364">
      <c r="D364" s="87" t="n"/>
    </row>
    <row r="365">
      <c r="D365" s="87" t="n"/>
    </row>
    <row r="366">
      <c r="D366" s="87" t="n"/>
    </row>
    <row r="367">
      <c r="D367" s="87" t="n"/>
    </row>
    <row r="368">
      <c r="D368" s="87" t="n"/>
    </row>
    <row r="369">
      <c r="D369" s="87" t="n"/>
    </row>
    <row r="370">
      <c r="D370" s="87" t="n"/>
    </row>
    <row r="371">
      <c r="D371" s="87" t="n"/>
    </row>
    <row r="372">
      <c r="D372" s="87" t="n"/>
    </row>
    <row r="373">
      <c r="D373" s="87" t="n"/>
    </row>
    <row r="374">
      <c r="D374" s="87" t="n"/>
    </row>
    <row r="375">
      <c r="D375" s="87" t="n"/>
    </row>
    <row r="376">
      <c r="D376" s="87" t="n"/>
    </row>
    <row r="377">
      <c r="D377" s="87" t="n"/>
    </row>
    <row r="378">
      <c r="D378" s="87" t="n"/>
    </row>
    <row r="379">
      <c r="D379" s="87" t="n"/>
    </row>
    <row r="380">
      <c r="D380" s="87" t="n"/>
    </row>
    <row r="381">
      <c r="D381" s="87" t="n"/>
    </row>
    <row r="382">
      <c r="D382" s="87" t="n"/>
    </row>
    <row r="383">
      <c r="D383" s="87" t="n"/>
    </row>
    <row r="384">
      <c r="D384" s="87" t="n"/>
    </row>
    <row r="385">
      <c r="D385" s="87" t="n"/>
    </row>
    <row r="386">
      <c r="D386" s="87" t="n"/>
    </row>
    <row r="387">
      <c r="D387" s="87" t="n"/>
    </row>
    <row r="388">
      <c r="D388" s="87" t="n"/>
    </row>
    <row r="389">
      <c r="D389" s="87" t="n"/>
    </row>
    <row r="390">
      <c r="D390" s="87" t="n"/>
    </row>
    <row r="391">
      <c r="D391" s="87" t="n"/>
    </row>
    <row r="392">
      <c r="D392" s="87" t="n"/>
    </row>
    <row r="393">
      <c r="D393" s="87" t="n"/>
    </row>
    <row r="394">
      <c r="D394" s="87" t="n"/>
    </row>
    <row r="395">
      <c r="D395" s="87" t="n"/>
    </row>
    <row r="396">
      <c r="D396" s="87" t="n"/>
    </row>
    <row r="397">
      <c r="D397" s="87" t="n"/>
    </row>
    <row r="398">
      <c r="D398" s="87" t="n"/>
    </row>
    <row r="399">
      <c r="D399" s="87" t="n"/>
    </row>
    <row r="400">
      <c r="D400" s="87" t="n"/>
    </row>
    <row r="401">
      <c r="D401" s="87" t="n"/>
    </row>
    <row r="402">
      <c r="D402" s="87" t="n"/>
    </row>
    <row r="403">
      <c r="D403" s="87" t="n"/>
    </row>
    <row r="404">
      <c r="D404" s="87" t="n"/>
    </row>
    <row r="405">
      <c r="D405" s="87" t="n"/>
    </row>
    <row r="406">
      <c r="D406" s="87" t="n"/>
    </row>
    <row r="407">
      <c r="D407" s="87" t="n"/>
    </row>
    <row r="408">
      <c r="D408" s="87" t="n"/>
    </row>
    <row r="409">
      <c r="D409" s="87" t="n"/>
    </row>
    <row r="410">
      <c r="D410" s="87" t="n"/>
    </row>
    <row r="411">
      <c r="D411" s="87" t="n"/>
    </row>
    <row r="412">
      <c r="D412" s="87" t="n"/>
    </row>
    <row r="413">
      <c r="D413" s="87" t="n"/>
    </row>
    <row r="414">
      <c r="D414" s="87" t="n"/>
    </row>
    <row r="415">
      <c r="D415" s="87" t="n"/>
    </row>
    <row r="416">
      <c r="D416" s="87" t="n"/>
    </row>
    <row r="417">
      <c r="D417" s="87" t="n"/>
    </row>
    <row r="418">
      <c r="D418" s="87" t="n"/>
    </row>
    <row r="419">
      <c r="D419" s="87" t="n"/>
    </row>
    <row r="420">
      <c r="D420" s="87" t="n"/>
    </row>
    <row r="421">
      <c r="D421" s="87" t="n"/>
    </row>
    <row r="422">
      <c r="D422" s="87" t="n"/>
    </row>
    <row r="423">
      <c r="D423" s="87" t="n"/>
    </row>
    <row r="424">
      <c r="D424" s="87" t="n"/>
    </row>
    <row r="425">
      <c r="D425" s="87" t="n"/>
    </row>
    <row r="426">
      <c r="D426" s="87" t="n"/>
    </row>
    <row r="427">
      <c r="D427" s="87" t="n"/>
    </row>
    <row r="428">
      <c r="D428" s="87" t="n"/>
    </row>
    <row r="429">
      <c r="D429" s="87" t="n"/>
    </row>
    <row r="430">
      <c r="D430" s="87" t="n"/>
    </row>
    <row r="431">
      <c r="D431" s="87" t="n"/>
    </row>
    <row r="432">
      <c r="D432" s="87" t="n"/>
    </row>
    <row r="433">
      <c r="D433" s="87" t="n"/>
    </row>
    <row r="434">
      <c r="D434" s="87" t="n"/>
    </row>
    <row r="435">
      <c r="D435" s="87" t="n"/>
    </row>
    <row r="436">
      <c r="D436" s="87" t="n"/>
    </row>
    <row r="437">
      <c r="D437" s="87" t="n"/>
    </row>
    <row r="438">
      <c r="D438" s="87" t="n"/>
    </row>
    <row r="439">
      <c r="D439" s="87" t="n"/>
    </row>
    <row r="440">
      <c r="D440" s="87" t="n"/>
    </row>
    <row r="441">
      <c r="D441" s="87" t="n"/>
    </row>
    <row r="442">
      <c r="D442" s="87" t="n"/>
    </row>
    <row r="443">
      <c r="D443" s="87" t="n"/>
    </row>
    <row r="444">
      <c r="D444" s="87" t="n"/>
    </row>
    <row r="445">
      <c r="D445" s="87" t="n"/>
    </row>
    <row r="446">
      <c r="D446" s="87" t="n"/>
    </row>
    <row r="447">
      <c r="D447" s="87" t="n"/>
    </row>
    <row r="448">
      <c r="D448" s="87" t="n"/>
    </row>
    <row r="449">
      <c r="D449" s="87" t="n"/>
    </row>
    <row r="450">
      <c r="D450" s="87" t="n"/>
    </row>
    <row r="451">
      <c r="D451" s="87" t="n"/>
    </row>
    <row r="452">
      <c r="D452" s="87" t="n"/>
    </row>
    <row r="453">
      <c r="D453" s="87" t="n"/>
    </row>
    <row r="454">
      <c r="D454" s="87" t="n"/>
    </row>
    <row r="455">
      <c r="D455" s="87" t="n"/>
    </row>
    <row r="456">
      <c r="D456" s="87" t="n"/>
    </row>
    <row r="457">
      <c r="D457" s="87" t="n"/>
    </row>
    <row r="458">
      <c r="D458" s="87" t="n"/>
    </row>
    <row r="459">
      <c r="D459" s="87" t="n"/>
    </row>
    <row r="460">
      <c r="D460" s="87" t="n"/>
    </row>
    <row r="461">
      <c r="D461" s="87" t="n"/>
    </row>
    <row r="462">
      <c r="D462" s="87" t="n"/>
    </row>
    <row r="463">
      <c r="D463" s="87" t="n"/>
    </row>
    <row r="464">
      <c r="D464" s="87" t="n"/>
    </row>
    <row r="465">
      <c r="D465" s="87" t="n"/>
    </row>
    <row r="466">
      <c r="D466" s="87" t="n"/>
    </row>
    <row r="467">
      <c r="D467" s="87" t="n"/>
    </row>
    <row r="468">
      <c r="D468" s="87" t="n"/>
    </row>
    <row r="469">
      <c r="D469" s="87" t="n"/>
    </row>
    <row r="470">
      <c r="D470" s="87" t="n"/>
    </row>
    <row r="471">
      <c r="D471" s="87" t="n"/>
    </row>
    <row r="472">
      <c r="D472" s="87" t="n"/>
    </row>
    <row r="473">
      <c r="D473" s="87" t="n"/>
    </row>
    <row r="474">
      <c r="D474" s="87" t="n"/>
    </row>
    <row r="475">
      <c r="D475" s="87" t="n"/>
    </row>
    <row r="476">
      <c r="D476" s="87" t="n"/>
    </row>
    <row r="477">
      <c r="D477" s="87" t="n"/>
    </row>
    <row r="478">
      <c r="D478" s="87" t="n"/>
    </row>
    <row r="479">
      <c r="D479" s="87" t="n"/>
    </row>
    <row r="480">
      <c r="D480" s="87" t="n"/>
    </row>
    <row r="481">
      <c r="D481" s="87" t="n"/>
    </row>
    <row r="482">
      <c r="D482" s="87" t="n"/>
    </row>
    <row r="483">
      <c r="D483" s="87" t="n"/>
    </row>
    <row r="484">
      <c r="D484" s="87" t="n"/>
    </row>
    <row r="485">
      <c r="D485" s="87" t="n"/>
    </row>
    <row r="486">
      <c r="D486" s="87" t="n"/>
    </row>
    <row r="487">
      <c r="D487" s="87" t="n"/>
    </row>
    <row r="488">
      <c r="D488" s="87" t="n"/>
    </row>
    <row r="489">
      <c r="D489" s="87" t="n"/>
    </row>
    <row r="490">
      <c r="D490" s="87" t="n"/>
    </row>
    <row r="491">
      <c r="D491" s="87" t="n"/>
    </row>
    <row r="492">
      <c r="D492" s="87" t="n"/>
    </row>
    <row r="493">
      <c r="D493" s="87" t="n"/>
    </row>
    <row r="494">
      <c r="D494" s="87" t="n"/>
    </row>
    <row r="495">
      <c r="D495" s="87" t="n"/>
    </row>
    <row r="496">
      <c r="D496" s="87" t="n"/>
    </row>
    <row r="497">
      <c r="D497" s="87" t="n"/>
    </row>
    <row r="498">
      <c r="D498" s="87" t="n"/>
    </row>
    <row r="499">
      <c r="D499" s="87" t="n"/>
    </row>
    <row r="500">
      <c r="D500" s="87" t="n"/>
    </row>
    <row r="501">
      <c r="D501" s="87" t="n"/>
    </row>
    <row r="502">
      <c r="D502" s="87" t="n"/>
    </row>
    <row r="503">
      <c r="D503" s="87" t="n"/>
    </row>
    <row r="504">
      <c r="D504" s="87" t="n"/>
    </row>
    <row r="505">
      <c r="D505" s="87" t="n"/>
    </row>
    <row r="506">
      <c r="D506" s="87" t="n"/>
    </row>
    <row r="507">
      <c r="D507" s="87" t="n"/>
    </row>
    <row r="508">
      <c r="D508" s="87" t="n"/>
    </row>
    <row r="509">
      <c r="D509" s="87" t="n"/>
    </row>
    <row r="510">
      <c r="D510" s="87" t="n"/>
    </row>
    <row r="511">
      <c r="D511" s="87" t="n"/>
    </row>
    <row r="512">
      <c r="D512" s="87" t="n"/>
    </row>
    <row r="513">
      <c r="D513" s="87" t="n"/>
    </row>
    <row r="514">
      <c r="D514" s="87" t="n"/>
    </row>
    <row r="515">
      <c r="D515" s="87" t="n"/>
    </row>
    <row r="516">
      <c r="D516" s="87" t="n"/>
    </row>
    <row r="517">
      <c r="D517" s="87" t="n"/>
    </row>
    <row r="518">
      <c r="D518" s="87" t="n"/>
    </row>
    <row r="519">
      <c r="D519" s="87" t="n"/>
    </row>
    <row r="520">
      <c r="D520" s="87" t="n"/>
    </row>
    <row r="521">
      <c r="D521" s="87" t="n"/>
    </row>
    <row r="522">
      <c r="D522" s="87" t="n"/>
    </row>
    <row r="523">
      <c r="D523" s="87" t="n"/>
    </row>
    <row r="524">
      <c r="D524" s="87" t="n"/>
    </row>
    <row r="525">
      <c r="D525" s="87" t="n"/>
    </row>
    <row r="526">
      <c r="D526" s="87" t="n"/>
    </row>
    <row r="527">
      <c r="D527" s="87" t="n"/>
    </row>
    <row r="528">
      <c r="D528" s="87" t="n"/>
    </row>
    <row r="529">
      <c r="D529" s="87" t="n"/>
    </row>
    <row r="530">
      <c r="D530" s="87" t="n"/>
    </row>
    <row r="531">
      <c r="D531" s="87" t="n"/>
    </row>
    <row r="532">
      <c r="D532" s="87" t="n"/>
    </row>
    <row r="533">
      <c r="D533" s="87" t="n"/>
    </row>
    <row r="534">
      <c r="D534" s="87" t="n"/>
    </row>
    <row r="535">
      <c r="D535" s="87" t="n"/>
    </row>
    <row r="536">
      <c r="D536" s="87" t="n"/>
    </row>
    <row r="537">
      <c r="D537" s="87" t="n"/>
    </row>
    <row r="538">
      <c r="D538" s="87" t="n"/>
    </row>
    <row r="539">
      <c r="D539" s="87" t="n"/>
    </row>
    <row r="540">
      <c r="D540" s="87" t="n"/>
    </row>
    <row r="541">
      <c r="D541" s="87" t="n"/>
    </row>
    <row r="542">
      <c r="D542" s="87" t="n"/>
    </row>
    <row r="543">
      <c r="D543" s="87" t="n"/>
    </row>
    <row r="544">
      <c r="D544" s="87" t="n"/>
    </row>
    <row r="545">
      <c r="D545" s="87" t="n"/>
    </row>
    <row r="546">
      <c r="D546" s="87" t="n"/>
    </row>
    <row r="547">
      <c r="D547" s="87" t="n"/>
    </row>
    <row r="548">
      <c r="D548" s="87" t="n"/>
    </row>
    <row r="549">
      <c r="D549" s="87" t="n"/>
    </row>
    <row r="550">
      <c r="D550" s="87" t="n"/>
    </row>
    <row r="551">
      <c r="D551" s="87" t="n"/>
    </row>
    <row r="552">
      <c r="D552" s="87" t="n"/>
    </row>
    <row r="553">
      <c r="D553" s="87" t="n"/>
    </row>
    <row r="554">
      <c r="D554" s="87" t="n"/>
    </row>
    <row r="555">
      <c r="D555" s="87" t="n"/>
    </row>
    <row r="556">
      <c r="D556" s="87" t="n"/>
    </row>
    <row r="557">
      <c r="D557" s="87" t="n"/>
    </row>
    <row r="558">
      <c r="D558" s="87" t="n"/>
    </row>
    <row r="559">
      <c r="D559" s="87" t="n"/>
    </row>
    <row r="560">
      <c r="D560" s="87" t="n"/>
    </row>
    <row r="561">
      <c r="D561" s="87" t="n"/>
    </row>
    <row r="562">
      <c r="D562" s="87" t="n"/>
    </row>
    <row r="563">
      <c r="D563" s="87" t="n"/>
    </row>
    <row r="564">
      <c r="D564" s="87" t="n"/>
    </row>
    <row r="565">
      <c r="D565" s="87" t="n"/>
    </row>
    <row r="566">
      <c r="D566" s="87" t="n"/>
    </row>
    <row r="567">
      <c r="D567" s="87" t="n"/>
    </row>
    <row r="568">
      <c r="D568" s="87" t="n"/>
    </row>
    <row r="569">
      <c r="D569" s="87" t="n"/>
    </row>
    <row r="570">
      <c r="D570" s="87" t="n"/>
    </row>
    <row r="571">
      <c r="D571" s="87" t="n"/>
    </row>
    <row r="572">
      <c r="D572" s="87" t="n"/>
    </row>
    <row r="573">
      <c r="D573" s="87" t="n"/>
    </row>
    <row r="574">
      <c r="D574" s="87" t="n"/>
    </row>
    <row r="575">
      <c r="D575" s="87" t="n"/>
    </row>
    <row r="576">
      <c r="D576" s="87" t="n"/>
    </row>
    <row r="577">
      <c r="D577" s="87" t="n"/>
    </row>
    <row r="578">
      <c r="D578" s="87" t="n"/>
    </row>
    <row r="579">
      <c r="D579" s="87" t="n"/>
    </row>
    <row r="580">
      <c r="D580" s="87" t="n"/>
    </row>
    <row r="581">
      <c r="D581" s="87" t="n"/>
    </row>
    <row r="582">
      <c r="D582" s="87" t="n"/>
    </row>
    <row r="583">
      <c r="D583" s="87" t="n"/>
    </row>
    <row r="584">
      <c r="D584" s="87" t="n"/>
    </row>
    <row r="585">
      <c r="D585" s="87" t="n"/>
    </row>
    <row r="586">
      <c r="D586" s="87" t="n"/>
    </row>
    <row r="587">
      <c r="D587" s="87" t="n"/>
    </row>
    <row r="588">
      <c r="D588" s="87" t="n"/>
    </row>
    <row r="589">
      <c r="D589" s="87" t="n"/>
    </row>
    <row r="590">
      <c r="D590" s="87" t="n"/>
    </row>
    <row r="591">
      <c r="D591" s="87" t="n"/>
    </row>
    <row r="592">
      <c r="D592" s="87" t="n"/>
    </row>
    <row r="593">
      <c r="D593" s="87" t="n"/>
    </row>
    <row r="594">
      <c r="D594" s="87" t="n"/>
    </row>
    <row r="595">
      <c r="D595" s="87" t="n"/>
    </row>
    <row r="596">
      <c r="D596" s="87" t="n"/>
    </row>
    <row r="597">
      <c r="D597" s="87" t="n"/>
    </row>
    <row r="598">
      <c r="D598" s="87" t="n"/>
    </row>
    <row r="599">
      <c r="D599" s="87" t="n"/>
    </row>
    <row r="600">
      <c r="D600" s="87" t="n"/>
    </row>
    <row r="601">
      <c r="D601" s="87" t="n"/>
    </row>
    <row r="602">
      <c r="D602" s="87" t="n"/>
    </row>
    <row r="603">
      <c r="D603" s="87" t="n"/>
    </row>
    <row r="604">
      <c r="D604" s="87" t="n"/>
    </row>
    <row r="605">
      <c r="D605" s="87" t="n"/>
    </row>
    <row r="606">
      <c r="D606" s="87" t="n"/>
    </row>
    <row r="607">
      <c r="D607" s="87" t="n"/>
    </row>
    <row r="608">
      <c r="D608" s="87" t="n"/>
    </row>
    <row r="609">
      <c r="D609" s="87" t="n"/>
    </row>
    <row r="610">
      <c r="D610" s="87" t="n"/>
    </row>
    <row r="611">
      <c r="D611" s="87" t="n"/>
    </row>
    <row r="612">
      <c r="D612" s="87" t="n"/>
    </row>
    <row r="613">
      <c r="D613" s="87" t="n"/>
    </row>
    <row r="614">
      <c r="D614" s="87" t="n"/>
    </row>
    <row r="615">
      <c r="D615" s="87" t="n"/>
    </row>
    <row r="616">
      <c r="D616" s="87" t="n"/>
    </row>
    <row r="617">
      <c r="D617" s="87" t="n"/>
    </row>
    <row r="618">
      <c r="D618" s="87" t="n"/>
    </row>
    <row r="619">
      <c r="D619" s="87" t="n"/>
    </row>
    <row r="620">
      <c r="D620" s="87" t="n"/>
    </row>
    <row r="621">
      <c r="D621" s="87" t="n"/>
    </row>
    <row r="622">
      <c r="D622" s="87" t="n"/>
    </row>
    <row r="623">
      <c r="D623" s="87" t="n"/>
    </row>
    <row r="624">
      <c r="D624" s="87" t="n"/>
    </row>
    <row r="625">
      <c r="D625" s="87" t="n"/>
    </row>
    <row r="626">
      <c r="D626" s="87" t="n"/>
    </row>
    <row r="627">
      <c r="D627" s="87" t="n"/>
    </row>
    <row r="628">
      <c r="D628" s="87" t="n"/>
    </row>
    <row r="629">
      <c r="D629" s="87" t="n"/>
    </row>
    <row r="630">
      <c r="D630" s="87" t="n"/>
    </row>
    <row r="631">
      <c r="D631" s="87" t="n"/>
    </row>
    <row r="632">
      <c r="D632" s="87" t="n"/>
    </row>
    <row r="633">
      <c r="D633" s="87" t="n"/>
    </row>
    <row r="634">
      <c r="D634" s="87" t="n"/>
    </row>
    <row r="635">
      <c r="D635" s="87" t="n"/>
    </row>
    <row r="636">
      <c r="D636" s="87" t="n"/>
    </row>
    <row r="637">
      <c r="D637" s="87" t="n"/>
    </row>
    <row r="638">
      <c r="D638" s="87" t="n"/>
    </row>
    <row r="639">
      <c r="D639" s="87" t="n"/>
    </row>
    <row r="640">
      <c r="D640" s="87" t="n"/>
    </row>
    <row r="641">
      <c r="D641" s="87" t="n"/>
    </row>
    <row r="642">
      <c r="D642" s="87" t="n"/>
    </row>
    <row r="643">
      <c r="D643" s="87" t="n"/>
    </row>
    <row r="644">
      <c r="D644" s="87" t="n"/>
    </row>
    <row r="645">
      <c r="D645" s="87" t="n"/>
    </row>
    <row r="646">
      <c r="D646" s="87" t="n"/>
    </row>
    <row r="647">
      <c r="D647" s="87" t="n"/>
    </row>
    <row r="648">
      <c r="D648" s="87" t="n"/>
    </row>
    <row r="649">
      <c r="D649" s="87" t="n"/>
    </row>
    <row r="650">
      <c r="D650" s="87" t="n"/>
    </row>
    <row r="651">
      <c r="D651" s="87" t="n"/>
    </row>
    <row r="652">
      <c r="D652" s="87" t="n"/>
    </row>
    <row r="653">
      <c r="D653" s="87" t="n"/>
    </row>
    <row r="654">
      <c r="D654" s="87" t="n"/>
    </row>
    <row r="655">
      <c r="D655" s="87" t="n"/>
    </row>
    <row r="656">
      <c r="D656" s="87" t="n"/>
    </row>
    <row r="657">
      <c r="D657" s="87" t="n"/>
    </row>
    <row r="658">
      <c r="D658" s="87" t="n"/>
    </row>
    <row r="659">
      <c r="D659" s="87" t="n"/>
    </row>
    <row r="660">
      <c r="D660" s="87" t="n"/>
    </row>
    <row r="661">
      <c r="D661" s="87" t="n"/>
    </row>
    <row r="662">
      <c r="D662" s="87" t="n"/>
    </row>
    <row r="663">
      <c r="D663" s="87" t="n"/>
    </row>
    <row r="664">
      <c r="D664" s="87" t="n"/>
    </row>
    <row r="665">
      <c r="D665" s="87" t="n"/>
    </row>
    <row r="666">
      <c r="D666" s="87" t="n"/>
    </row>
    <row r="667">
      <c r="D667" s="87" t="n"/>
    </row>
    <row r="668">
      <c r="D668" s="87" t="n"/>
    </row>
    <row r="669">
      <c r="D669" s="87" t="n"/>
    </row>
    <row r="670">
      <c r="D670" s="87" t="n"/>
    </row>
    <row r="671">
      <c r="D671" s="87" t="n"/>
    </row>
    <row r="672">
      <c r="D672" s="87" t="n"/>
    </row>
    <row r="673">
      <c r="D673" s="87" t="n"/>
    </row>
    <row r="674">
      <c r="D674" s="87" t="n"/>
    </row>
    <row r="675">
      <c r="D675" s="87" t="n"/>
    </row>
    <row r="676">
      <c r="D676" s="87" t="n"/>
    </row>
    <row r="677">
      <c r="D677" s="87" t="n"/>
    </row>
    <row r="678">
      <c r="D678" s="87" t="n"/>
    </row>
    <row r="679">
      <c r="D679" s="87" t="n"/>
    </row>
    <row r="680">
      <c r="D680" s="87" t="n"/>
    </row>
    <row r="681">
      <c r="D681" s="87" t="n"/>
    </row>
    <row r="682">
      <c r="D682" s="87" t="n"/>
    </row>
    <row r="683">
      <c r="D683" s="87" t="n"/>
    </row>
    <row r="684">
      <c r="D684" s="87" t="n"/>
    </row>
    <row r="685">
      <c r="D685" s="87" t="n"/>
    </row>
    <row r="686">
      <c r="D686" s="87" t="n"/>
    </row>
    <row r="687">
      <c r="D687" s="87" t="n"/>
    </row>
    <row r="688">
      <c r="D688" s="87" t="n"/>
    </row>
    <row r="689">
      <c r="D689" s="87" t="n"/>
    </row>
    <row r="690">
      <c r="D690" s="87" t="n"/>
    </row>
    <row r="691">
      <c r="D691" s="87" t="n"/>
    </row>
    <row r="692">
      <c r="D692" s="87" t="n"/>
    </row>
    <row r="693">
      <c r="D693" s="87" t="n"/>
    </row>
    <row r="694">
      <c r="D694" s="87" t="n"/>
    </row>
    <row r="695">
      <c r="D695" s="87" t="n"/>
    </row>
    <row r="696">
      <c r="D696" s="87" t="n"/>
    </row>
    <row r="697">
      <c r="D697" s="87" t="n"/>
    </row>
    <row r="698">
      <c r="D698" s="87" t="n"/>
    </row>
    <row r="699">
      <c r="D699" s="87" t="n"/>
    </row>
    <row r="700">
      <c r="D700" s="87" t="n"/>
    </row>
    <row r="701">
      <c r="D701" s="87" t="n"/>
    </row>
    <row r="702">
      <c r="D702" s="87" t="n"/>
    </row>
    <row r="703">
      <c r="D703" s="87" t="n"/>
    </row>
    <row r="704">
      <c r="D704" s="87" t="n"/>
    </row>
    <row r="705">
      <c r="D705" s="87" t="n"/>
    </row>
    <row r="706">
      <c r="D706" s="87" t="n"/>
    </row>
    <row r="707">
      <c r="D707" s="87" t="n"/>
    </row>
    <row r="708">
      <c r="D708" s="87" t="n"/>
    </row>
    <row r="709">
      <c r="D709" s="87" t="n"/>
    </row>
    <row r="710">
      <c r="D710" s="87" t="n"/>
    </row>
    <row r="711">
      <c r="D711" s="87" t="n"/>
    </row>
    <row r="712">
      <c r="D712" s="87" t="n"/>
    </row>
    <row r="713">
      <c r="D713" s="87" t="n"/>
    </row>
    <row r="714">
      <c r="D714" s="87" t="n"/>
    </row>
    <row r="715">
      <c r="D715" s="87" t="n"/>
    </row>
    <row r="716">
      <c r="D716" s="87" t="n"/>
    </row>
    <row r="717">
      <c r="D717" s="87" t="n"/>
    </row>
    <row r="718">
      <c r="D718" s="87" t="n"/>
    </row>
    <row r="719">
      <c r="D719" s="87" t="n"/>
    </row>
    <row r="720">
      <c r="D720" s="87" t="n"/>
    </row>
    <row r="721">
      <c r="D721" s="87" t="n"/>
    </row>
    <row r="722">
      <c r="D722" s="87" t="n"/>
    </row>
    <row r="723">
      <c r="D723" s="87" t="n"/>
    </row>
    <row r="724">
      <c r="D724" s="87" t="n"/>
    </row>
    <row r="725">
      <c r="D725" s="87" t="n"/>
    </row>
    <row r="726">
      <c r="D726" s="87" t="n"/>
    </row>
    <row r="727">
      <c r="D727" s="87" t="n"/>
    </row>
    <row r="728">
      <c r="D728" s="87" t="n"/>
    </row>
    <row r="729">
      <c r="D729" s="87" t="n"/>
    </row>
    <row r="730">
      <c r="D730" s="87" t="n"/>
    </row>
    <row r="731">
      <c r="D731" s="87" t="n"/>
    </row>
    <row r="732">
      <c r="D732" s="87" t="n"/>
    </row>
    <row r="733">
      <c r="D733" s="87" t="n"/>
    </row>
    <row r="734">
      <c r="D734" s="87" t="n"/>
    </row>
    <row r="735">
      <c r="D735" s="87" t="n"/>
    </row>
    <row r="736">
      <c r="D736" s="87" t="n"/>
    </row>
    <row r="737">
      <c r="D737" s="87" t="n"/>
    </row>
    <row r="738">
      <c r="D738" s="87" t="n"/>
    </row>
    <row r="739">
      <c r="D739" s="87" t="n"/>
    </row>
    <row r="740">
      <c r="D740" s="87" t="n"/>
    </row>
    <row r="741">
      <c r="D741" s="87" t="n"/>
    </row>
    <row r="742">
      <c r="D742" s="87" t="n"/>
    </row>
    <row r="743">
      <c r="D743" s="87" t="n"/>
    </row>
    <row r="744">
      <c r="D744" s="87" t="n"/>
    </row>
    <row r="745">
      <c r="D745" s="87" t="n"/>
    </row>
    <row r="746">
      <c r="D746" s="87" t="n"/>
    </row>
    <row r="747">
      <c r="D747" s="87" t="n"/>
    </row>
    <row r="748">
      <c r="D748" s="87" t="n"/>
    </row>
    <row r="749">
      <c r="D749" s="87" t="n"/>
    </row>
    <row r="750">
      <c r="D750" s="87" t="n"/>
    </row>
    <row r="751">
      <c r="D751" s="87" t="n"/>
    </row>
    <row r="752">
      <c r="D752" s="87" t="n"/>
    </row>
    <row r="753">
      <c r="D753" s="87" t="n"/>
    </row>
    <row r="754">
      <c r="D754" s="87" t="n"/>
    </row>
    <row r="755">
      <c r="D755" s="87" t="n"/>
    </row>
    <row r="756">
      <c r="D756" s="87" t="n"/>
    </row>
    <row r="757">
      <c r="D757" s="87" t="n"/>
    </row>
    <row r="758">
      <c r="D758" s="87" t="n"/>
    </row>
    <row r="759">
      <c r="D759" s="87" t="n"/>
    </row>
    <row r="760">
      <c r="D760" s="87" t="n"/>
    </row>
    <row r="761">
      <c r="D761" s="87" t="n"/>
    </row>
    <row r="762">
      <c r="D762" s="87" t="n"/>
    </row>
    <row r="763">
      <c r="D763" s="87" t="n"/>
    </row>
    <row r="764">
      <c r="D764" s="87" t="n"/>
    </row>
    <row r="765">
      <c r="D765" s="87" t="n"/>
    </row>
    <row r="766">
      <c r="D766" s="87" t="n"/>
    </row>
    <row r="767">
      <c r="D767" s="87" t="n"/>
    </row>
    <row r="768">
      <c r="D768" s="87" t="n"/>
    </row>
    <row r="769">
      <c r="D769" s="87" t="n"/>
    </row>
    <row r="770">
      <c r="D770" s="87" t="n"/>
    </row>
    <row r="771">
      <c r="D771" s="87" t="n"/>
    </row>
    <row r="772">
      <c r="D772" s="87" t="n"/>
    </row>
    <row r="773">
      <c r="D773" s="87" t="n"/>
    </row>
    <row r="774">
      <c r="D774" s="87" t="n"/>
    </row>
    <row r="775">
      <c r="D775" s="87" t="n"/>
    </row>
    <row r="776">
      <c r="D776" s="87" t="n"/>
    </row>
    <row r="777">
      <c r="D777" s="87" t="n"/>
    </row>
    <row r="778">
      <c r="D778" s="87" t="n"/>
    </row>
    <row r="779">
      <c r="D779" s="87" t="n"/>
    </row>
    <row r="780">
      <c r="D780" s="87" t="n"/>
    </row>
    <row r="781">
      <c r="D781" s="87" t="n"/>
    </row>
    <row r="782">
      <c r="D782" s="87" t="n"/>
    </row>
    <row r="783">
      <c r="D783" s="87" t="n"/>
    </row>
    <row r="784">
      <c r="D784" s="87" t="n"/>
    </row>
    <row r="785">
      <c r="D785" s="87" t="n"/>
    </row>
    <row r="786">
      <c r="D786" s="87" t="n"/>
    </row>
    <row r="787">
      <c r="D787" s="87" t="n"/>
    </row>
    <row r="788">
      <c r="D788" s="87" t="n"/>
    </row>
    <row r="789">
      <c r="D789" s="87" t="n"/>
    </row>
    <row r="790">
      <c r="D790" s="87" t="n"/>
    </row>
    <row r="791">
      <c r="D791" s="87" t="n"/>
    </row>
    <row r="792">
      <c r="D792" s="87" t="n"/>
    </row>
    <row r="793">
      <c r="D793" s="87" t="n"/>
    </row>
    <row r="794">
      <c r="D794" s="87" t="n"/>
    </row>
    <row r="795">
      <c r="D795" s="87" t="n"/>
    </row>
    <row r="796">
      <c r="D796" s="87" t="n"/>
    </row>
    <row r="797">
      <c r="D797" s="87" t="n"/>
    </row>
    <row r="798">
      <c r="D798" s="87" t="n"/>
    </row>
    <row r="799">
      <c r="D799" s="87" t="n"/>
    </row>
    <row r="800">
      <c r="D800" s="87" t="n"/>
    </row>
    <row r="801">
      <c r="D801" s="87" t="n"/>
    </row>
    <row r="802">
      <c r="D802" s="87" t="n"/>
    </row>
    <row r="803">
      <c r="D803" s="87" t="n"/>
    </row>
    <row r="804">
      <c r="D804" s="87" t="n"/>
    </row>
    <row r="805">
      <c r="D805" s="87" t="n"/>
    </row>
    <row r="806">
      <c r="D806" s="87" t="n"/>
    </row>
    <row r="807">
      <c r="D807" s="87" t="n"/>
    </row>
    <row r="808">
      <c r="D808" s="87" t="n"/>
    </row>
    <row r="809">
      <c r="D809" s="87" t="n"/>
    </row>
    <row r="810">
      <c r="D810" s="87" t="n"/>
    </row>
    <row r="811">
      <c r="D811" s="87" t="n"/>
    </row>
    <row r="812">
      <c r="D812" s="87" t="n"/>
    </row>
    <row r="813">
      <c r="D813" s="87" t="n"/>
    </row>
    <row r="814">
      <c r="D814" s="87" t="n"/>
    </row>
    <row r="815">
      <c r="D815" s="87" t="n"/>
    </row>
    <row r="816">
      <c r="D816" s="87" t="n"/>
    </row>
    <row r="817">
      <c r="D817" s="87" t="n"/>
    </row>
    <row r="818">
      <c r="D818" s="87" t="n"/>
    </row>
    <row r="819">
      <c r="D819" s="87" t="n"/>
    </row>
    <row r="820">
      <c r="D820" s="87" t="n"/>
    </row>
    <row r="821">
      <c r="D821" s="87" t="n"/>
    </row>
    <row r="822">
      <c r="D822" s="87" t="n"/>
    </row>
    <row r="823">
      <c r="D823" s="87" t="n"/>
    </row>
    <row r="824">
      <c r="D824" s="87" t="n"/>
    </row>
    <row r="825">
      <c r="D825" s="87" t="n"/>
    </row>
    <row r="826">
      <c r="D826" s="87" t="n"/>
    </row>
    <row r="827">
      <c r="D827" s="87" t="n"/>
    </row>
    <row r="828">
      <c r="D828" s="87" t="n"/>
    </row>
    <row r="829">
      <c r="D829" s="87" t="n"/>
    </row>
    <row r="830">
      <c r="D830" s="87" t="n"/>
    </row>
    <row r="831">
      <c r="D831" s="87" t="n"/>
    </row>
    <row r="832">
      <c r="D832" s="87" t="n"/>
    </row>
    <row r="833">
      <c r="D833" s="87" t="n"/>
    </row>
    <row r="834">
      <c r="D834" s="87" t="n"/>
    </row>
    <row r="835">
      <c r="D835" s="87" t="n"/>
    </row>
    <row r="836">
      <c r="D836" s="87" t="n"/>
    </row>
    <row r="837">
      <c r="D837" s="87" t="n"/>
    </row>
    <row r="838">
      <c r="D838" s="87" t="n"/>
    </row>
    <row r="839">
      <c r="D839" s="87" t="n"/>
    </row>
    <row r="840">
      <c r="D840" s="87" t="n"/>
    </row>
    <row r="841">
      <c r="D841" s="87" t="n"/>
    </row>
    <row r="842">
      <c r="D842" s="87" t="n"/>
    </row>
    <row r="843">
      <c r="D843" s="87" t="n"/>
    </row>
    <row r="844">
      <c r="D844" s="87" t="n"/>
    </row>
    <row r="845">
      <c r="D845" s="87" t="n"/>
    </row>
    <row r="846">
      <c r="D846" s="87" t="n"/>
    </row>
    <row r="847">
      <c r="D847" s="87" t="n"/>
    </row>
    <row r="848">
      <c r="D848" s="87" t="n"/>
    </row>
    <row r="849">
      <c r="D849" s="87" t="n"/>
    </row>
    <row r="850">
      <c r="D850" s="87" t="n"/>
    </row>
    <row r="851">
      <c r="D851" s="87" t="n"/>
    </row>
    <row r="852">
      <c r="D852" s="87" t="n"/>
    </row>
    <row r="853">
      <c r="D853" s="87" t="n"/>
    </row>
    <row r="854">
      <c r="D854" s="87" t="n"/>
    </row>
    <row r="855">
      <c r="D855" s="87" t="n"/>
    </row>
    <row r="856">
      <c r="D856" s="87" t="n"/>
    </row>
    <row r="857">
      <c r="D857" s="87" t="n"/>
    </row>
    <row r="858">
      <c r="D858" s="87" t="n"/>
    </row>
    <row r="859">
      <c r="D859" s="87" t="n"/>
    </row>
    <row r="860">
      <c r="D860" s="87" t="n"/>
    </row>
    <row r="861">
      <c r="D861" s="87" t="n"/>
    </row>
    <row r="862">
      <c r="D862" s="87" t="n"/>
    </row>
    <row r="863">
      <c r="D863" s="87" t="n"/>
    </row>
    <row r="864">
      <c r="D864" s="87" t="n"/>
    </row>
    <row r="865">
      <c r="D865" s="87" t="n"/>
    </row>
    <row r="866">
      <c r="D866" s="87" t="n"/>
    </row>
    <row r="867">
      <c r="D867" s="87" t="n"/>
    </row>
    <row r="868">
      <c r="D868" s="87" t="n"/>
    </row>
    <row r="869">
      <c r="D869" s="87" t="n"/>
    </row>
    <row r="870">
      <c r="D870" s="87" t="n"/>
    </row>
    <row r="871">
      <c r="D871" s="87" t="n"/>
    </row>
    <row r="872">
      <c r="D872" s="87" t="n"/>
    </row>
    <row r="873">
      <c r="D873" s="87" t="n"/>
    </row>
    <row r="874">
      <c r="D874" s="87" t="n"/>
    </row>
    <row r="875">
      <c r="D875" s="87" t="n"/>
    </row>
    <row r="876">
      <c r="D876" s="87" t="n"/>
    </row>
    <row r="877">
      <c r="D877" s="87" t="n"/>
    </row>
    <row r="878">
      <c r="D878" s="87" t="n"/>
    </row>
    <row r="879">
      <c r="D879" s="87" t="n"/>
    </row>
    <row r="880">
      <c r="D880" s="87" t="n"/>
    </row>
    <row r="881">
      <c r="D881" s="87" t="n"/>
    </row>
    <row r="882">
      <c r="D882" s="87" t="n"/>
    </row>
    <row r="883">
      <c r="D883" s="87" t="n"/>
    </row>
    <row r="884">
      <c r="D884" s="87" t="n"/>
    </row>
    <row r="885">
      <c r="D885" s="87" t="n"/>
    </row>
    <row r="886">
      <c r="D886" s="87" t="n"/>
    </row>
    <row r="887">
      <c r="D887" s="87" t="n"/>
    </row>
    <row r="888">
      <c r="D888" s="87" t="n"/>
    </row>
    <row r="889">
      <c r="D889" s="87" t="n"/>
    </row>
    <row r="890">
      <c r="D890" s="87" t="n"/>
    </row>
    <row r="891">
      <c r="D891" s="87" t="n"/>
    </row>
    <row r="892">
      <c r="D892" s="87" t="n"/>
    </row>
    <row r="893">
      <c r="D893" s="87" t="n"/>
    </row>
    <row r="894">
      <c r="D894" s="87" t="n"/>
    </row>
    <row r="895">
      <c r="D895" s="87" t="n"/>
    </row>
    <row r="896">
      <c r="D896" s="87" t="n"/>
    </row>
    <row r="897">
      <c r="D897" s="87" t="n"/>
    </row>
    <row r="898">
      <c r="D898" s="87" t="n"/>
    </row>
    <row r="899">
      <c r="D899" s="87" t="n"/>
    </row>
    <row r="900">
      <c r="D900" s="87" t="n"/>
    </row>
    <row r="901">
      <c r="D901" s="87" t="n"/>
    </row>
    <row r="902">
      <c r="D902" s="87" t="n"/>
    </row>
    <row r="903">
      <c r="D903" s="87" t="n"/>
    </row>
    <row r="904">
      <c r="D904" s="87" t="n"/>
    </row>
    <row r="905">
      <c r="D905" s="87" t="n"/>
    </row>
    <row r="906">
      <c r="D906" s="87" t="n"/>
    </row>
    <row r="907">
      <c r="D907" s="87" t="n"/>
    </row>
    <row r="908">
      <c r="D908" s="87" t="n"/>
    </row>
    <row r="909">
      <c r="D909" s="87" t="n"/>
    </row>
    <row r="910">
      <c r="D910" s="87" t="n"/>
    </row>
    <row r="911">
      <c r="D911" s="87" t="n"/>
    </row>
    <row r="912">
      <c r="D912" s="87" t="n"/>
    </row>
    <row r="913">
      <c r="D913" s="87" t="n"/>
    </row>
    <row r="914">
      <c r="D914" s="87" t="n"/>
    </row>
    <row r="915">
      <c r="D915" s="87" t="n"/>
    </row>
    <row r="916">
      <c r="D916" s="87" t="n"/>
    </row>
    <row r="917">
      <c r="D917" s="87" t="n"/>
    </row>
    <row r="918">
      <c r="D918" s="87" t="n"/>
    </row>
    <row r="919">
      <c r="D919" s="87" t="n"/>
    </row>
    <row r="920">
      <c r="D920" s="87" t="n"/>
    </row>
    <row r="921">
      <c r="D921" s="87" t="n"/>
    </row>
    <row r="922">
      <c r="D922" s="87" t="n"/>
    </row>
    <row r="923">
      <c r="D923" s="87" t="n"/>
    </row>
    <row r="924">
      <c r="D924" s="87" t="n"/>
    </row>
    <row r="925">
      <c r="D925" s="87" t="n"/>
    </row>
    <row r="926">
      <c r="D926" s="87" t="n"/>
    </row>
    <row r="927">
      <c r="D927" s="87" t="n"/>
    </row>
    <row r="928">
      <c r="D928" s="87" t="n"/>
    </row>
    <row r="929">
      <c r="D929" s="87" t="n"/>
    </row>
    <row r="930">
      <c r="D930" s="87" t="n"/>
    </row>
    <row r="931">
      <c r="D931" s="87" t="n"/>
    </row>
    <row r="932">
      <c r="D932" s="87" t="n"/>
    </row>
    <row r="933">
      <c r="D933" s="87" t="n"/>
    </row>
    <row r="934">
      <c r="D934" s="87" t="n"/>
    </row>
    <row r="935">
      <c r="D935" s="87" t="n"/>
    </row>
    <row r="936">
      <c r="D936" s="87" t="n"/>
    </row>
    <row r="937">
      <c r="D937" s="87" t="n"/>
    </row>
    <row r="938">
      <c r="D938" s="87" t="n"/>
    </row>
    <row r="939">
      <c r="D939" s="87" t="n"/>
    </row>
    <row r="940">
      <c r="D940" s="87" t="n"/>
    </row>
    <row r="941">
      <c r="D941" s="87" t="n"/>
    </row>
    <row r="942">
      <c r="D942" s="87" t="n"/>
    </row>
    <row r="943">
      <c r="D943" s="87" t="n"/>
    </row>
    <row r="944">
      <c r="D944" s="87" t="n"/>
    </row>
    <row r="945">
      <c r="D945" s="87" t="n"/>
    </row>
    <row r="946">
      <c r="D946" s="87" t="n"/>
    </row>
    <row r="947">
      <c r="D947" s="87" t="n"/>
    </row>
    <row r="948">
      <c r="D948" s="87" t="n"/>
    </row>
    <row r="949">
      <c r="D949" s="87" t="n"/>
    </row>
    <row r="950">
      <c r="D950" s="87" t="n"/>
    </row>
    <row r="951">
      <c r="D951" s="87" t="n"/>
    </row>
    <row r="952">
      <c r="D952" s="87" t="n"/>
    </row>
    <row r="953">
      <c r="D953" s="87" t="n"/>
    </row>
    <row r="954">
      <c r="D954" s="87" t="n"/>
    </row>
    <row r="955">
      <c r="D955" s="87" t="n"/>
    </row>
    <row r="956">
      <c r="D956" s="87" t="n"/>
    </row>
    <row r="957">
      <c r="D957" s="87" t="n"/>
    </row>
    <row r="958">
      <c r="D958" s="87" t="n"/>
    </row>
    <row r="959">
      <c r="D959" s="87" t="n"/>
    </row>
    <row r="960">
      <c r="D960" s="87" t="n"/>
    </row>
    <row r="961">
      <c r="D961" s="87" t="n"/>
    </row>
    <row r="962">
      <c r="D962" s="87" t="n"/>
    </row>
    <row r="963">
      <c r="D963" s="87" t="n"/>
    </row>
    <row r="964">
      <c r="D964" s="87" t="n"/>
    </row>
    <row r="965">
      <c r="D965" s="87" t="n"/>
    </row>
    <row r="966">
      <c r="D966" s="87" t="n"/>
    </row>
    <row r="967">
      <c r="D967" s="87" t="n"/>
    </row>
    <row r="968">
      <c r="D968" s="87" t="n"/>
    </row>
    <row r="969">
      <c r="D969" s="87" t="n"/>
    </row>
    <row r="970">
      <c r="D970" s="87" t="n"/>
    </row>
    <row r="971">
      <c r="D971" s="87" t="n"/>
    </row>
    <row r="972">
      <c r="D972" s="87" t="n"/>
    </row>
    <row r="973">
      <c r="D973" s="87" t="n"/>
    </row>
    <row r="974">
      <c r="D974" s="87" t="n"/>
    </row>
    <row r="975">
      <c r="D975" s="87" t="n"/>
    </row>
    <row r="976">
      <c r="D976" s="87" t="n"/>
    </row>
    <row r="977">
      <c r="D977" s="87" t="n"/>
    </row>
    <row r="978">
      <c r="D978" s="87" t="n"/>
    </row>
    <row r="979">
      <c r="D979" s="87" t="n"/>
    </row>
    <row r="980">
      <c r="D980" s="87" t="n"/>
    </row>
    <row r="981">
      <c r="D981" s="87" t="n"/>
    </row>
    <row r="982">
      <c r="D982" s="87" t="n"/>
    </row>
    <row r="983">
      <c r="D983" s="87" t="n"/>
    </row>
    <row r="984">
      <c r="D984" s="87" t="n"/>
    </row>
    <row r="985">
      <c r="D985" s="87" t="n"/>
    </row>
    <row r="986">
      <c r="D986" s="87" t="n"/>
    </row>
    <row r="987">
      <c r="D987" s="87" t="n"/>
    </row>
    <row r="988">
      <c r="D988" s="87" t="n"/>
    </row>
    <row r="989">
      <c r="D989" s="87" t="n"/>
    </row>
    <row r="990">
      <c r="D990" s="87" t="n"/>
    </row>
    <row r="991">
      <c r="D991" s="87" t="n"/>
    </row>
    <row r="992">
      <c r="D992" s="87" t="n"/>
    </row>
    <row r="993">
      <c r="D993" s="87" t="n"/>
    </row>
    <row r="994">
      <c r="D994" s="87" t="n"/>
    </row>
    <row r="995">
      <c r="D995" s="87" t="n"/>
    </row>
    <row r="996">
      <c r="D996" s="87" t="n"/>
    </row>
    <row r="997">
      <c r="D997" s="87" t="n"/>
    </row>
    <row r="998">
      <c r="D998" s="87" t="n"/>
    </row>
    <row r="999">
      <c r="D999" s="87" t="n"/>
    </row>
    <row r="1000">
      <c r="D1000" s="87" t="n"/>
    </row>
  </sheetData>
  <mergeCells count="69">
    <mergeCell ref="B97:C97"/>
    <mergeCell ref="B109:C109"/>
    <mergeCell ref="A24:B24"/>
    <mergeCell ref="B100:C100"/>
    <mergeCell ref="B16:C16"/>
    <mergeCell ref="B47:C47"/>
    <mergeCell ref="B7:C7"/>
    <mergeCell ref="B62:C62"/>
    <mergeCell ref="B59:C59"/>
    <mergeCell ref="B46:C46"/>
    <mergeCell ref="B22:C22"/>
    <mergeCell ref="B110:C110"/>
    <mergeCell ref="A94:B94"/>
    <mergeCell ref="B102:C102"/>
    <mergeCell ref="B56:C56"/>
    <mergeCell ref="B96:C96"/>
    <mergeCell ref="B27:C27"/>
    <mergeCell ref="B105:C105"/>
    <mergeCell ref="B18:C18"/>
    <mergeCell ref="B43:C43"/>
    <mergeCell ref="B58:C58"/>
    <mergeCell ref="B77:C77"/>
    <mergeCell ref="B52:C52"/>
    <mergeCell ref="B21:C21"/>
    <mergeCell ref="B86:C86"/>
    <mergeCell ref="A54:B54"/>
    <mergeCell ref="B48:C48"/>
    <mergeCell ref="B98:C98"/>
    <mergeCell ref="B111:C111"/>
    <mergeCell ref="M54:N54"/>
    <mergeCell ref="B42:C42"/>
    <mergeCell ref="B107:C107"/>
    <mergeCell ref="A84:B84"/>
    <mergeCell ref="M94:N94"/>
    <mergeCell ref="B101:C101"/>
    <mergeCell ref="B60:C60"/>
    <mergeCell ref="B61:C61"/>
    <mergeCell ref="B17:C17"/>
    <mergeCell ref="B88:C88"/>
    <mergeCell ref="M84:N84"/>
    <mergeCell ref="B8:C8"/>
    <mergeCell ref="B57:C57"/>
    <mergeCell ref="B69:C69"/>
    <mergeCell ref="B87:C87"/>
    <mergeCell ref="J4:K4"/>
    <mergeCell ref="B44:C44"/>
    <mergeCell ref="B29:C29"/>
    <mergeCell ref="A104:B104"/>
    <mergeCell ref="B19:C19"/>
    <mergeCell ref="A33:B33"/>
    <mergeCell ref="B28:C28"/>
    <mergeCell ref="M104:N104"/>
    <mergeCell ref="B99:C99"/>
    <mergeCell ref="B108:C108"/>
    <mergeCell ref="B49:C49"/>
    <mergeCell ref="M24:N24"/>
    <mergeCell ref="B30:C30"/>
    <mergeCell ref="B15:C15"/>
    <mergeCell ref="A1:C1"/>
    <mergeCell ref="B80:C80"/>
    <mergeCell ref="B95:C95"/>
    <mergeCell ref="B76:C76"/>
    <mergeCell ref="B51:C51"/>
    <mergeCell ref="B89:C89"/>
    <mergeCell ref="B45:C45"/>
    <mergeCell ref="B50:C50"/>
    <mergeCell ref="B63:C63"/>
    <mergeCell ref="B26:C26"/>
    <mergeCell ref="B106:C10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A99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42.63" customWidth="1" style="270" min="2" max="2"/>
    <col width="15.63" customWidth="1" style="270" min="3" max="3"/>
    <col width="15.88" customWidth="1" style="270" min="4" max="4"/>
    <col width="15" customWidth="1" style="270" min="7" max="7"/>
    <col width="21" customWidth="1" style="270" min="10" max="10"/>
    <col width="20.63" customWidth="1" style="270" min="12" max="12"/>
  </cols>
  <sheetData>
    <row r="1">
      <c r="A1" s="111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215" t="n"/>
      <c r="J1" s="87" t="n"/>
      <c r="L1" s="87" t="n"/>
      <c r="M1" s="105" t="n"/>
      <c r="N1" s="106" t="n"/>
    </row>
    <row r="2">
      <c r="A2" s="186" t="inlineStr">
        <is>
          <t>VIGENCIA:</t>
        </is>
      </c>
      <c r="B2" s="108" t="n">
        <v>45229</v>
      </c>
      <c r="C2" s="223" t="n"/>
      <c r="D2" s="110" t="n"/>
      <c r="E2" s="111" t="n"/>
      <c r="F2" s="111" t="n"/>
      <c r="G2" s="111" t="n"/>
      <c r="H2" s="111" t="n"/>
      <c r="I2" s="215" t="n"/>
      <c r="J2" s="87" t="n"/>
      <c r="L2" s="87" t="n"/>
      <c r="M2" s="105" t="n"/>
      <c r="N2" s="106" t="n"/>
    </row>
    <row r="3">
      <c r="J3" s="87" t="n"/>
      <c r="L3" s="87" t="n"/>
      <c r="M3" s="105" t="n"/>
      <c r="N3" s="106" t="n"/>
    </row>
    <row r="4">
      <c r="B4" s="223" t="n"/>
      <c r="C4" s="223" t="n"/>
      <c r="D4" s="118" t="inlineStr">
        <is>
          <t>Lista 20 con -7 y -2</t>
        </is>
      </c>
      <c r="E4" s="188" t="inlineStr">
        <is>
          <t xml:space="preserve">Mayorista </t>
        </is>
      </c>
      <c r="F4" s="188" t="inlineStr">
        <is>
          <t xml:space="preserve">Minorista </t>
        </is>
      </c>
      <c r="G4" s="188" t="inlineStr">
        <is>
          <t>Minorista con IVA</t>
        </is>
      </c>
      <c r="H4" s="188" t="inlineStr">
        <is>
          <t>Redondeado</t>
        </is>
      </c>
      <c r="J4" s="87" t="inlineStr">
        <is>
          <t>Antes del 7 + 2% ANTERIOR</t>
        </is>
      </c>
      <c r="L4" s="87" t="inlineStr">
        <is>
          <t>Antes del 7 + 2% ACTUAL</t>
        </is>
      </c>
      <c r="M4" s="119" t="n"/>
      <c r="N4" s="120" t="inlineStr">
        <is>
          <t>% Aumento</t>
        </is>
      </c>
      <c r="O4" s="118" t="n"/>
    </row>
    <row r="5">
      <c r="A5" s="117" t="inlineStr">
        <is>
          <t>JABONES</t>
        </is>
      </c>
      <c r="B5" s="223" t="n"/>
      <c r="C5" s="223" t="n"/>
      <c r="D5" s="118" t="n"/>
      <c r="J5" s="87" t="n"/>
      <c r="L5" s="87" t="n"/>
      <c r="M5" s="119" t="n"/>
      <c r="N5" s="120" t="n"/>
      <c r="O5" s="118" t="n"/>
    </row>
    <row r="6">
      <c r="A6" s="124" t="n"/>
      <c r="B6" s="223" t="n"/>
      <c r="C6" s="223" t="n"/>
      <c r="D6" s="237" t="n"/>
      <c r="J6" s="87" t="n"/>
      <c r="L6" s="87" t="n"/>
      <c r="M6" s="128" t="n"/>
      <c r="N6" s="120" t="n"/>
      <c r="O6" s="237" t="n"/>
    </row>
    <row r="7">
      <c r="A7" s="124" t="n">
        <v>701</v>
      </c>
      <c r="B7" s="223" t="inlineStr">
        <is>
          <t>Botella 1 lt. Servicio Dilución DMQ</t>
        </is>
      </c>
      <c r="D7" s="237" t="n">
        <v>2081.14</v>
      </c>
      <c r="E7" s="87">
        <f>D7*1.3*1.105</f>
        <v/>
      </c>
      <c r="F7" s="87">
        <f>D7*1.3*1.105/0.9</f>
        <v/>
      </c>
      <c r="G7" s="87">
        <f>F7*1.21</f>
        <v/>
      </c>
      <c r="H7" s="87">
        <f>ROUND(G7/100,0)*100</f>
        <v/>
      </c>
      <c r="J7" s="87" t="n">
        <v>1772.673</v>
      </c>
      <c r="L7" s="127" t="n">
        <v>1945</v>
      </c>
      <c r="M7" s="128" t="n"/>
      <c r="N7" s="120">
        <f>(L7/J7)-1</f>
        <v/>
      </c>
      <c r="O7" s="237" t="n"/>
    </row>
    <row r="8">
      <c r="A8" s="124" t="n">
        <v>720</v>
      </c>
      <c r="B8" s="223" t="inlineStr">
        <is>
          <t>Bidon x 5 lts. Jabón Líquido Tocador</t>
        </is>
      </c>
      <c r="D8" s="237" t="n">
        <v>6526.77</v>
      </c>
      <c r="E8" s="87">
        <f>D8*1.3*1.105</f>
        <v/>
      </c>
      <c r="F8" s="87">
        <f>D8*1.3*1.105/0.9</f>
        <v/>
      </c>
      <c r="G8" s="87">
        <f>F8*1.21</f>
        <v/>
      </c>
      <c r="H8" s="87">
        <f>ROUND(G8/100,0)*100</f>
        <v/>
      </c>
      <c r="J8" s="87" t="n">
        <v>5559.339492</v>
      </c>
      <c r="L8" s="230" t="n">
        <v>6099.78</v>
      </c>
      <c r="M8" s="128" t="n"/>
      <c r="N8" s="120">
        <f>(L8/J8)-1</f>
        <v/>
      </c>
      <c r="O8" s="237" t="n"/>
    </row>
    <row r="9">
      <c r="A9" s="124" t="n"/>
      <c r="B9" s="223" t="n"/>
      <c r="C9" s="223" t="n"/>
      <c r="D9" s="237" t="n"/>
      <c r="J9" s="87" t="n"/>
      <c r="L9" s="215" t="n"/>
      <c r="M9" s="128" t="n"/>
      <c r="N9" s="120" t="n"/>
      <c r="O9" s="237" t="n"/>
    </row>
    <row r="10">
      <c r="A10" s="117" t="inlineStr">
        <is>
          <t>TOALLAS</t>
        </is>
      </c>
      <c r="B10" s="223" t="n"/>
      <c r="C10" s="223" t="n"/>
      <c r="D10" s="237" t="n"/>
      <c r="J10" s="87" t="n"/>
      <c r="L10" s="215" t="n"/>
      <c r="M10" s="119" t="n"/>
      <c r="N10" s="120" t="n"/>
      <c r="O10" s="237" t="n"/>
    </row>
    <row r="11">
      <c r="A11" s="131" t="n"/>
      <c r="B11" s="223" t="n"/>
      <c r="C11" s="223" t="n"/>
      <c r="D11" s="237" t="n"/>
      <c r="J11" s="87" t="n"/>
      <c r="L11" s="215" t="n"/>
      <c r="M11" s="119" t="n"/>
      <c r="N11" s="120" t="n"/>
      <c r="O11" s="237" t="n"/>
    </row>
    <row r="12">
      <c r="A12" s="124" t="n">
        <v>901</v>
      </c>
      <c r="B12" s="223" t="inlineStr">
        <is>
          <t>Toallas Blancas Super 21x25</t>
        </is>
      </c>
      <c r="C12" s="223" t="n"/>
      <c r="D12" s="237" t="n">
        <v>7745.48</v>
      </c>
      <c r="E12" s="87">
        <f>D12*1.3*1.105</f>
        <v/>
      </c>
      <c r="F12" s="87">
        <f>D12*1.3*1.105/0.9</f>
        <v/>
      </c>
      <c r="G12" s="87">
        <f>F12*1.21</f>
        <v/>
      </c>
      <c r="H12" s="87">
        <f>ROUND(G12/100,0)*100</f>
        <v/>
      </c>
      <c r="J12" s="87" t="n">
        <v>6597.414978000001</v>
      </c>
      <c r="L12" s="127" t="n">
        <v>7238.77</v>
      </c>
      <c r="M12" s="128" t="n"/>
      <c r="N12" s="120">
        <f>(L12/J12)-1</f>
        <v/>
      </c>
      <c r="O12" s="237" t="n"/>
    </row>
    <row r="13">
      <c r="A13" s="124" t="n">
        <v>902</v>
      </c>
      <c r="B13" s="223" t="inlineStr">
        <is>
          <t>Toallas Blancas Pura Simple</t>
        </is>
      </c>
      <c r="C13" s="223" t="n"/>
      <c r="D13" s="237" t="n">
        <v>8588.99</v>
      </c>
      <c r="E13" s="87">
        <f>D13*1.3*1.105</f>
        <v/>
      </c>
      <c r="F13" s="87">
        <f>D13*1.3*1.105/0.9</f>
        <v/>
      </c>
      <c r="G13" s="87">
        <f>F13*1.21</f>
        <v/>
      </c>
      <c r="H13" s="87">
        <f>ROUND(G13/100,0)*100</f>
        <v/>
      </c>
      <c r="J13" s="87" t="n">
        <v>7315.89894</v>
      </c>
      <c r="L13" s="230" t="n">
        <v>8027.1</v>
      </c>
      <c r="M13" s="128" t="n"/>
      <c r="N13" s="120">
        <f>(L13/J13)-1</f>
        <v/>
      </c>
      <c r="O13" s="237" t="n"/>
    </row>
    <row r="14">
      <c r="A14" s="124" t="n">
        <v>903</v>
      </c>
      <c r="B14" s="223" t="inlineStr">
        <is>
          <t>Toallas Blancas Pura Doble</t>
        </is>
      </c>
      <c r="C14" s="223" t="n"/>
      <c r="D14" s="237" t="n">
        <v>10620.39</v>
      </c>
      <c r="E14" s="87">
        <f>D14*1.3*1.105</f>
        <v/>
      </c>
      <c r="F14" s="87">
        <f>D14*1.3*1.105/0.9</f>
        <v/>
      </c>
      <c r="G14" s="87">
        <f>F14*1.21</f>
        <v/>
      </c>
      <c r="H14" s="87">
        <f>ROUND(G14/100,0)*100</f>
        <v/>
      </c>
      <c r="J14" s="87" t="n">
        <v>9046.191840000001</v>
      </c>
      <c r="L14" s="230" t="n">
        <v>9925.6</v>
      </c>
      <c r="M14" s="128" t="n"/>
      <c r="N14" s="120">
        <f>(L14/J14)-1</f>
        <v/>
      </c>
      <c r="O14" s="237" t="n"/>
    </row>
    <row r="15">
      <c r="A15" s="124" t="n">
        <v>914</v>
      </c>
      <c r="B15" s="223" t="inlineStr">
        <is>
          <t>Toalla Blanca Unitas (17,5x25 cm)</t>
        </is>
      </c>
      <c r="D15" s="237" t="n">
        <v>5901.82</v>
      </c>
      <c r="E15" s="87">
        <f>D15*1.3*1.105</f>
        <v/>
      </c>
      <c r="F15" s="87">
        <f>D15*1.3*1.105/0.9</f>
        <v/>
      </c>
      <c r="G15" s="87">
        <f>F15*1.21</f>
        <v/>
      </c>
      <c r="H15" s="87">
        <f>ROUND(G15/100,0)*100</f>
        <v/>
      </c>
      <c r="J15" s="87" t="n">
        <v>5027.027208</v>
      </c>
      <c r="L15" s="230" t="n">
        <v>5515.72</v>
      </c>
      <c r="M15" s="128" t="n"/>
      <c r="N15" s="120">
        <f>(L15/J15)-1</f>
        <v/>
      </c>
      <c r="O15" s="237" t="n"/>
    </row>
    <row r="16">
      <c r="A16" s="124" t="n">
        <v>916</v>
      </c>
      <c r="B16" s="223" t="inlineStr">
        <is>
          <t>Toalla Blanca Especial 21 x 25 ( tiza )</t>
        </is>
      </c>
      <c r="D16" s="237" t="n">
        <v>7223.52</v>
      </c>
      <c r="E16" s="87">
        <f>D16*1.3*1.105</f>
        <v/>
      </c>
      <c r="F16" s="87">
        <f>D16*1.3*1.105/0.9</f>
        <v/>
      </c>
      <c r="G16" s="87">
        <f>F16*1.21</f>
        <v/>
      </c>
      <c r="H16" s="87">
        <f>ROUND(G16/100,0)*100</f>
        <v/>
      </c>
      <c r="J16" s="87" t="n">
        <v>6152.824944</v>
      </c>
      <c r="L16" s="230" t="n">
        <v>6750.96</v>
      </c>
      <c r="M16" s="128" t="n"/>
      <c r="N16" s="120">
        <f>(L16/J16)-1</f>
        <v/>
      </c>
      <c r="O16" s="237" t="n"/>
    </row>
    <row r="17">
      <c r="A17" s="124" t="n">
        <v>920</v>
      </c>
      <c r="B17" s="223" t="inlineStr">
        <is>
          <t>Toalla Blanca Especial 21 x 37 ( tiza )</t>
        </is>
      </c>
      <c r="D17" s="237" t="n">
        <v>9853.969999999999</v>
      </c>
      <c r="E17" s="87">
        <f>D17*1.3*1.105</f>
        <v/>
      </c>
      <c r="F17" s="87">
        <f>D17*1.3*1.105/0.9</f>
        <v/>
      </c>
      <c r="G17" s="87">
        <f>F17*1.21</f>
        <v/>
      </c>
      <c r="H17" s="87">
        <f>ROUND(G17/100,0)*100</f>
        <v/>
      </c>
      <c r="J17" s="87" t="n">
        <v>8393.374248</v>
      </c>
      <c r="L17" s="230" t="n">
        <v>9209.32</v>
      </c>
      <c r="M17" s="128" t="n"/>
      <c r="N17" s="120">
        <f>(L17/J17)-1</f>
        <v/>
      </c>
      <c r="O17" s="237" t="n"/>
    </row>
    <row r="18">
      <c r="A18" s="124" t="n">
        <v>927</v>
      </c>
      <c r="B18" s="223" t="inlineStr">
        <is>
          <t>Toalla Blanca Especial 17,5 x 25 ( tiza ) Unita</t>
        </is>
      </c>
      <c r="D18" s="237" t="n">
        <v>5662.28</v>
      </c>
      <c r="E18" s="87">
        <f>D18*1.3*1.105</f>
        <v/>
      </c>
      <c r="F18" s="87">
        <f>D18*1.3*1.105/0.9</f>
        <v/>
      </c>
      <c r="G18" s="87">
        <f>F18*1.21</f>
        <v/>
      </c>
      <c r="H18" s="87">
        <f>ROUND(G18/100,0)*100</f>
        <v/>
      </c>
      <c r="J18" s="87" t="n">
        <v>4823.001204</v>
      </c>
      <c r="L18" s="230" t="n">
        <v>5291.86</v>
      </c>
      <c r="M18" s="128" t="n"/>
      <c r="N18" s="120">
        <f>(L18/J18)-1</f>
        <v/>
      </c>
      <c r="O18" s="237" t="n"/>
    </row>
    <row r="19">
      <c r="A19" s="124" t="n">
        <v>928</v>
      </c>
      <c r="B19" s="223" t="inlineStr">
        <is>
          <t>Cajas x 2500 Toallas Beige 21x37</t>
        </is>
      </c>
      <c r="D19" s="237" t="n">
        <v>8356.1</v>
      </c>
      <c r="E19" s="87">
        <f>D19*1.3*1.105</f>
        <v/>
      </c>
      <c r="F19" s="87">
        <f>D19*1.3*1.105/0.9</f>
        <v/>
      </c>
      <c r="G19" s="87">
        <f>F19*1.21</f>
        <v/>
      </c>
      <c r="H19" s="87">
        <f>ROUND(G19/100,0)*100</f>
        <v/>
      </c>
      <c r="J19" s="87" t="n">
        <v>7117.523615999999</v>
      </c>
      <c r="L19" s="230" t="n">
        <v>7809.44</v>
      </c>
      <c r="M19" s="128" t="n"/>
      <c r="N19" s="120">
        <f>(L19/J19)-1</f>
        <v/>
      </c>
      <c r="O19" s="237" t="n"/>
    </row>
    <row r="20">
      <c r="A20" s="124" t="n">
        <v>930</v>
      </c>
      <c r="B20" s="223" t="inlineStr">
        <is>
          <t>Toalla Blanca Super 21x37 cm</t>
        </is>
      </c>
      <c r="C20" s="223" t="n"/>
      <c r="D20" s="237" t="n">
        <v>10651.38</v>
      </c>
      <c r="E20" s="87">
        <f>D20*1.3*1.105</f>
        <v/>
      </c>
      <c r="F20" s="87">
        <f>D20*1.3*1.105/0.9</f>
        <v/>
      </c>
      <c r="G20" s="87">
        <f>F20*1.21</f>
        <v/>
      </c>
      <c r="H20" s="87">
        <f>ROUND(G20/100,0)*100</f>
        <v/>
      </c>
      <c r="J20" s="87" t="n">
        <v>9072.585983999999</v>
      </c>
      <c r="L20" s="230" t="n">
        <v>9954.559999999999</v>
      </c>
      <c r="M20" s="128" t="n"/>
      <c r="N20" s="120">
        <f>(L20/J20)-1</f>
        <v/>
      </c>
      <c r="O20" s="237" t="n"/>
    </row>
    <row r="21">
      <c r="A21" s="124" t="n">
        <v>931</v>
      </c>
      <c r="B21" s="223" t="inlineStr">
        <is>
          <t>Caja x 2500 Toallas Beige Unitas 17,5 cm x 25 cm</t>
        </is>
      </c>
      <c r="D21" s="237" t="n">
        <v>5209.35</v>
      </c>
      <c r="E21" s="87">
        <f>D21*1.3*1.105</f>
        <v/>
      </c>
      <c r="F21" s="87">
        <f>D21*1.3*1.105/0.9</f>
        <v/>
      </c>
      <c r="G21" s="87">
        <f>F21*1.21</f>
        <v/>
      </c>
      <c r="H21" s="87">
        <f>ROUND(G21/100,0)*100</f>
        <v/>
      </c>
      <c r="I21" s="87">
        <f>F21*1.1</f>
        <v/>
      </c>
      <c r="J21" s="87" t="n">
        <v>4437.205584000001</v>
      </c>
      <c r="L21" s="230" t="n">
        <v>4868.56</v>
      </c>
      <c r="M21" s="128" t="n"/>
      <c r="N21" s="120">
        <f>(L21/J21)-1</f>
        <v/>
      </c>
      <c r="O21" s="237" t="n"/>
    </row>
    <row r="22">
      <c r="A22" s="124" t="n">
        <v>932</v>
      </c>
      <c r="B22" s="223" t="inlineStr">
        <is>
          <t>Caja x 2500 Toallas Beige 21 cm x 25 cm simple hoja</t>
        </is>
      </c>
      <c r="D22" s="237" t="n">
        <v>5939.57</v>
      </c>
      <c r="E22" s="87">
        <f>D22*1.3*1.105</f>
        <v/>
      </c>
      <c r="F22" s="87">
        <f>D22*1.3*1.105/0.9</f>
        <v/>
      </c>
      <c r="G22" s="87">
        <f>F22*1.21</f>
        <v/>
      </c>
      <c r="H22" s="87">
        <f>ROUND(G22/100,0)*100</f>
        <v/>
      </c>
      <c r="J22" s="87" t="n">
        <v>5059.1814</v>
      </c>
      <c r="L22" s="230" t="n">
        <v>5551</v>
      </c>
      <c r="M22" s="128" t="n"/>
      <c r="N22" s="120">
        <f>(L22/J22)-1</f>
        <v/>
      </c>
      <c r="O22" s="237" t="n"/>
    </row>
    <row r="23">
      <c r="A23" s="124" t="n"/>
      <c r="B23" s="223" t="n"/>
      <c r="C23" s="223" t="n"/>
      <c r="D23" s="237" t="n"/>
      <c r="J23" s="87" t="n"/>
      <c r="L23" s="87" t="n"/>
      <c r="M23" s="128" t="n"/>
      <c r="N23" s="120" t="n"/>
      <c r="O23" s="237" t="n"/>
    </row>
    <row r="24">
      <c r="A24" s="117" t="inlineStr">
        <is>
          <t>TOALLAS EN ROLLO</t>
        </is>
      </c>
      <c r="B24" s="271" t="n"/>
      <c r="C24" s="223" t="n"/>
      <c r="D24" s="237" t="n"/>
      <c r="J24" s="87" t="n"/>
      <c r="L24" s="87" t="n"/>
      <c r="M24" s="119" t="n"/>
      <c r="O24" s="237" t="n"/>
    </row>
    <row r="25">
      <c r="A25" s="131" t="n"/>
      <c r="B25" s="111" t="n"/>
      <c r="C25" s="223" t="n"/>
      <c r="D25" s="237" t="n"/>
      <c r="J25" s="87" t="n"/>
      <c r="L25" s="87" t="n"/>
      <c r="M25" s="119" t="n"/>
      <c r="N25" s="132" t="n"/>
      <c r="O25" s="237" t="n"/>
    </row>
    <row r="26">
      <c r="A26" s="124" t="n">
        <v>204</v>
      </c>
      <c r="B26" s="223" t="inlineStr">
        <is>
          <t>Pack X 2 Rollos de toalla x 300 mts Blanca</t>
        </is>
      </c>
      <c r="D26" s="237" t="n">
        <v>5711.68</v>
      </c>
      <c r="E26" s="87">
        <f>D26*1.3*1.105</f>
        <v/>
      </c>
      <c r="F26" s="87">
        <f>D26*1.3*1.105/0.9</f>
        <v/>
      </c>
      <c r="G26" s="87">
        <f>F26*1.21</f>
        <v/>
      </c>
      <c r="H26" s="87">
        <f>ROUND(G26/100,0)*100</f>
        <v/>
      </c>
      <c r="J26" s="87" t="n">
        <v>9957.026772000001</v>
      </c>
      <c r="L26" s="127" t="n">
        <v>10924.98</v>
      </c>
      <c r="M26" s="128" t="n"/>
      <c r="N26" s="120">
        <f>(L26/J26)-1</f>
        <v/>
      </c>
      <c r="O26" s="237" t="n"/>
    </row>
    <row r="27">
      <c r="A27" s="124" t="n">
        <v>205</v>
      </c>
      <c r="B27" s="223" t="inlineStr">
        <is>
          <t>Pack X 2 Rollos de toalla x 240 mts Blanca</t>
        </is>
      </c>
      <c r="D27" s="237" t="n">
        <v>4551.98</v>
      </c>
      <c r="E27" s="87">
        <f>D27*1.3*1.105</f>
        <v/>
      </c>
      <c r="F27" s="87">
        <f>D27*1.3*1.105/0.9</f>
        <v/>
      </c>
      <c r="G27" s="87">
        <f>F27*1.21</f>
        <v/>
      </c>
      <c r="H27" s="87">
        <f>ROUND(G27/100,0)*100</f>
        <v/>
      </c>
      <c r="J27" s="87" t="n">
        <v>12688.747764</v>
      </c>
      <c r="L27" s="230" t="n">
        <v>13922.26</v>
      </c>
      <c r="M27" s="128" t="n"/>
      <c r="N27" s="120">
        <f>(L27/J27)-1</f>
        <v/>
      </c>
      <c r="O27" s="237" t="n"/>
    </row>
    <row r="28">
      <c r="A28" s="133" t="n">
        <v>116</v>
      </c>
      <c r="B28" s="134" t="inlineStr">
        <is>
          <t>Pack x 6 Rollos de Toallas x 200 mts. Blanca</t>
        </is>
      </c>
      <c r="D28" s="135" t="n">
        <v>11689.72</v>
      </c>
      <c r="E28" s="87">
        <f>D28*1.3*1.105</f>
        <v/>
      </c>
      <c r="F28" s="87">
        <f>D28*1.3*1.105/0.9</f>
        <v/>
      </c>
      <c r="G28" s="87">
        <f>F28*1.21</f>
        <v/>
      </c>
      <c r="H28" s="87">
        <f>ROUND(G28/100,0)*100</f>
        <v/>
      </c>
      <c r="J28" s="87" t="n">
        <v>10038.469476</v>
      </c>
      <c r="L28" s="230" t="n">
        <v>11014.34</v>
      </c>
      <c r="M28" s="128" t="n"/>
      <c r="N28" s="120">
        <f>(L28/J28)-1</f>
        <v/>
      </c>
      <c r="O28" s="135" t="n"/>
    </row>
    <row r="29">
      <c r="A29" s="124" t="n">
        <v>135</v>
      </c>
      <c r="B29" s="223" t="inlineStr">
        <is>
          <t>Recarga Original P/Dispenser Celmatic 2500 U. Dobles</t>
        </is>
      </c>
      <c r="D29" s="237" t="n">
        <v>14896.81</v>
      </c>
      <c r="E29" s="87">
        <f>D29*1.3*1.105</f>
        <v/>
      </c>
      <c r="F29" s="87">
        <f>D29*1.3*1.105/0.9</f>
        <v/>
      </c>
      <c r="G29" s="87">
        <f>F29*1.21</f>
        <v/>
      </c>
      <c r="H29" s="87">
        <f>ROUND(G29/100,0)*100</f>
        <v/>
      </c>
      <c r="J29" s="87" t="n">
        <v>4865.071428</v>
      </c>
      <c r="L29" s="230" t="n">
        <v>5338.02</v>
      </c>
      <c r="M29" s="128" t="n"/>
      <c r="N29" s="120">
        <f>(L29/J29)-1</f>
        <v/>
      </c>
      <c r="O29" s="237" t="n"/>
    </row>
    <row r="30">
      <c r="A30" s="124" t="n">
        <v>136</v>
      </c>
      <c r="B30" s="223" t="inlineStr">
        <is>
          <t>Pack x 4 Recarga Celmatic Due 2400 U. Dobles</t>
        </is>
      </c>
      <c r="D30" s="237" t="n">
        <v>11785.34</v>
      </c>
      <c r="E30" s="87">
        <f>D30*1.3*1.105</f>
        <v/>
      </c>
      <c r="F30" s="87">
        <f>D30*1.3*1.105/0.9</f>
        <v/>
      </c>
      <c r="G30" s="87">
        <f>F30*1.21</f>
        <v/>
      </c>
      <c r="H30" s="87">
        <f>ROUND(G30/100,0)*100</f>
        <v/>
      </c>
      <c r="J30" s="87" t="n">
        <v>3877.259652000001</v>
      </c>
      <c r="L30" s="230" t="n">
        <v>4254.18</v>
      </c>
      <c r="M30" s="128" t="n"/>
      <c r="N30" s="120">
        <f>(L30/J30)-1</f>
        <v/>
      </c>
      <c r="O30" s="237" t="n"/>
    </row>
    <row r="31">
      <c r="A31" s="124" t="n"/>
      <c r="B31" s="223" t="n"/>
      <c r="C31" s="223" t="n"/>
      <c r="D31" s="237" t="n"/>
      <c r="J31" s="87" t="n">
        <v>1673.078246</v>
      </c>
      <c r="L31" s="87" t="n"/>
      <c r="M31" s="128" t="n"/>
      <c r="N31" s="120" t="n"/>
      <c r="O31" s="237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 t="n"/>
      <c r="J32" s="87" t="n"/>
      <c r="L32" s="87" t="n"/>
      <c r="M32" s="119" t="n"/>
      <c r="N32" s="120" t="n"/>
      <c r="O32" s="137" t="n"/>
    </row>
    <row r="33">
      <c r="A33" s="131" t="n"/>
      <c r="B33" s="158" t="n"/>
      <c r="C33" s="223" t="n"/>
      <c r="D33" s="169" t="n"/>
      <c r="J33" s="87" t="n"/>
      <c r="L33" s="87" t="n"/>
      <c r="M33" s="119" t="n"/>
      <c r="N33" s="120" t="n"/>
      <c r="O33" s="169" t="n"/>
    </row>
    <row r="34">
      <c r="A34" s="124" t="n">
        <v>501</v>
      </c>
      <c r="B34" s="140" t="inlineStr">
        <is>
          <t>Pack x 2 rollos Cel-Soft de 22,5 x 150 mts</t>
        </is>
      </c>
      <c r="D34" s="237" t="n">
        <v>61.27</v>
      </c>
      <c r="E34" s="87">
        <f>D34*1.3*1.105</f>
        <v/>
      </c>
      <c r="F34" s="87">
        <f>D34*1.3*1.105/0.9</f>
        <v/>
      </c>
      <c r="G34" s="87">
        <f>F34*1.21</f>
        <v/>
      </c>
      <c r="H34" s="87">
        <f>ROUND(G34/100,0)*100</f>
        <v/>
      </c>
      <c r="J34" s="87" t="n">
        <v>55.841478</v>
      </c>
      <c r="L34" s="127" t="n">
        <v>61.27</v>
      </c>
      <c r="M34" s="128" t="n"/>
      <c r="N34" s="141">
        <f>(L34/J34)-1</f>
        <v/>
      </c>
      <c r="O34" s="237" t="n"/>
    </row>
    <row r="35">
      <c r="A35" s="124" t="n">
        <v>505</v>
      </c>
      <c r="B35" s="223" t="inlineStr">
        <is>
          <t>Caja x 2000 U. Servilletas Cel-Soft 30 x 40 cm</t>
        </is>
      </c>
      <c r="D35" s="237" t="n">
        <v>294.28</v>
      </c>
      <c r="E35" s="87">
        <f>D35*1.3*1.105</f>
        <v/>
      </c>
      <c r="F35" s="87">
        <f>D35*1.3*1.105/0.9</f>
        <v/>
      </c>
      <c r="G35" s="87">
        <f>F35*1.21</f>
        <v/>
      </c>
      <c r="H35" s="87">
        <f>ROUND(G35/100,0)*100</f>
        <v/>
      </c>
      <c r="J35" s="87" t="n">
        <v>268.206792</v>
      </c>
      <c r="L35" s="230" t="n">
        <v>294.28</v>
      </c>
      <c r="M35" s="128" t="n"/>
      <c r="N35" s="120">
        <f>(L35/J35)-1</f>
        <v/>
      </c>
      <c r="O35" s="237" t="n"/>
    </row>
    <row r="36">
      <c r="A36" s="124" t="n">
        <v>506</v>
      </c>
      <c r="B36" s="223" t="inlineStr">
        <is>
          <t>Caja x 3500 Toallas Cel-Soft 21 x 25 cm Blancas</t>
        </is>
      </c>
      <c r="D36" s="237" t="n">
        <v>164.7</v>
      </c>
      <c r="E36" s="87">
        <f>D36*1.3*1.105</f>
        <v/>
      </c>
      <c r="F36" s="87">
        <f>D36*1.3*1.105/0.9</f>
        <v/>
      </c>
      <c r="G36" s="87">
        <f>F36*1.21</f>
        <v/>
      </c>
      <c r="H36" s="87">
        <f>ROUND(G36/100,0)*100</f>
        <v/>
      </c>
      <c r="J36" s="87" t="n">
        <v>150.10758</v>
      </c>
      <c r="L36" s="230" t="n">
        <v>164.7</v>
      </c>
      <c r="M36" s="128" t="n"/>
      <c r="N36" s="120">
        <f>(L36/J36)-1</f>
        <v/>
      </c>
      <c r="O36" s="237" t="n"/>
    </row>
    <row r="37">
      <c r="A37" s="124" t="n">
        <v>512</v>
      </c>
      <c r="B37" s="223" t="inlineStr">
        <is>
          <t>Caja x 2000 U. Servilletas Cel-Soft 30 x 25 cm</t>
        </is>
      </c>
      <c r="D37" s="237" t="n">
        <v>186.84</v>
      </c>
      <c r="E37" s="87">
        <f>D37*1.3*1.105</f>
        <v/>
      </c>
      <c r="F37" s="87">
        <f>D37*1.3*1.105/0.9</f>
        <v/>
      </c>
      <c r="G37" s="87">
        <f>F37*1.21</f>
        <v/>
      </c>
      <c r="H37" s="87">
        <f>ROUND(G37/100,0)*100</f>
        <v/>
      </c>
      <c r="I37" s="87">
        <f>D37*1.21*400/10</f>
        <v/>
      </c>
      <c r="J37" s="87" t="n">
        <v>170.285976</v>
      </c>
      <c r="L37" s="230" t="n">
        <v>186.84</v>
      </c>
      <c r="M37" s="128" t="n"/>
      <c r="N37" s="120">
        <f>(L37/J37)-1</f>
        <v/>
      </c>
      <c r="O37" s="237" t="n"/>
    </row>
    <row r="38">
      <c r="A38" s="124" t="n">
        <v>514</v>
      </c>
      <c r="B38" s="223" t="inlineStr">
        <is>
          <t>Caja por 600 servilletas Celsoft 40x40 Victoria Ambra</t>
        </is>
      </c>
      <c r="D38" s="237" t="n">
        <v>201.24</v>
      </c>
      <c r="E38" s="87">
        <f>D38*1.3*1.105</f>
        <v/>
      </c>
      <c r="F38" s="87">
        <f>D38*1.3*1.105/0.9</f>
        <v/>
      </c>
      <c r="G38" s="87">
        <f>F38*1.21</f>
        <v/>
      </c>
      <c r="H38" s="87">
        <f>ROUND(G38/100,0)*100</f>
        <v/>
      </c>
      <c r="J38" s="87" t="n">
        <v>183.410136</v>
      </c>
      <c r="L38" s="230" t="n">
        <v>201.24</v>
      </c>
      <c r="M38" s="128" t="n"/>
      <c r="N38" s="120">
        <f>(L38/J38)-1</f>
        <v/>
      </c>
      <c r="O38" s="237" t="n"/>
    </row>
    <row r="39">
      <c r="A39" s="124" t="n">
        <v>515</v>
      </c>
      <c r="B39" s="223" t="inlineStr">
        <is>
          <t>Caja por 600 servilletas Celsoft 40x40 Victoria Nero</t>
        </is>
      </c>
      <c r="D39" s="237" t="n">
        <v>201.24</v>
      </c>
      <c r="E39" s="87">
        <f>D39*1.3*1.105</f>
        <v/>
      </c>
      <c r="F39" s="87">
        <f>D39*1.3*1.105/0.9</f>
        <v/>
      </c>
      <c r="G39" s="87">
        <f>F39*1.21</f>
        <v/>
      </c>
      <c r="H39" s="87">
        <f>ROUND(G39/100,0)*100</f>
        <v/>
      </c>
      <c r="J39" s="87" t="n">
        <v>183.410136</v>
      </c>
      <c r="L39" s="230" t="n">
        <v>201.24</v>
      </c>
      <c r="M39" s="128" t="n"/>
      <c r="N39" s="120">
        <f>(L39/J39)-1</f>
        <v/>
      </c>
      <c r="O39" s="237" t="n"/>
    </row>
    <row r="40">
      <c r="A40" s="124" t="n">
        <v>516</v>
      </c>
      <c r="B40" s="223" t="inlineStr">
        <is>
          <t>Caja por 600 servilletas Celsoft 40x40 Tasca Bordeaux</t>
        </is>
      </c>
      <c r="D40" s="237" t="n">
        <v>237.29</v>
      </c>
      <c r="E40" s="87">
        <f>D40*1.3*1.105</f>
        <v/>
      </c>
      <c r="F40" s="87">
        <f>D40*1.3*1.105/0.9</f>
        <v/>
      </c>
      <c r="G40" s="87">
        <f>F40*1.21</f>
        <v/>
      </c>
      <c r="H40" s="87">
        <f>ROUND(G40/100,0)*100</f>
        <v/>
      </c>
      <c r="J40" s="87" t="n">
        <v>216.266106</v>
      </c>
      <c r="L40" s="230" t="n">
        <v>237.29</v>
      </c>
      <c r="M40" s="128" t="n"/>
      <c r="N40" s="120">
        <f>(L40/J40)-1</f>
        <v/>
      </c>
      <c r="O40" s="237" t="n"/>
    </row>
    <row r="41">
      <c r="A41" s="124" t="n">
        <v>517</v>
      </c>
      <c r="B41" s="223" t="inlineStr">
        <is>
          <t>Caja por 600 servilletas Celsoft 40x40 Tasca Nero</t>
        </is>
      </c>
      <c r="D41" s="237" t="n">
        <v>237.29</v>
      </c>
      <c r="E41" s="87">
        <f>D41*1.3*1.105</f>
        <v/>
      </c>
      <c r="F41" s="87">
        <f>D41*1.3*1.105/0.9</f>
        <v/>
      </c>
      <c r="G41" s="87">
        <f>F41*1.21</f>
        <v/>
      </c>
      <c r="H41" s="87">
        <f>ROUND(G41/100,0)*100</f>
        <v/>
      </c>
      <c r="J41" s="87" t="n">
        <v>216.266106</v>
      </c>
      <c r="L41" s="230" t="n">
        <v>237.29</v>
      </c>
      <c r="M41" s="128" t="n"/>
      <c r="N41" s="120">
        <f>(L41/J41)-1</f>
        <v/>
      </c>
      <c r="O41" s="237" t="n"/>
    </row>
    <row r="42">
      <c r="A42" s="124" t="n">
        <v>518</v>
      </c>
      <c r="B42" s="223" t="inlineStr">
        <is>
          <t>Caja por 600 servilletas Celsoft 40x40 Tasca Lino Avorio</t>
        </is>
      </c>
      <c r="D42" s="237" t="n">
        <v>201.24</v>
      </c>
      <c r="E42" s="87">
        <f>D42*1.3*1.105</f>
        <v/>
      </c>
      <c r="F42" s="87">
        <f>D42*1.3*1.105/0.9</f>
        <v/>
      </c>
      <c r="G42" s="87">
        <f>F42*1.21</f>
        <v/>
      </c>
      <c r="H42" s="87">
        <f>ROUND(G42/100,0)*100</f>
        <v/>
      </c>
      <c r="J42" s="87" t="n">
        <v>183.410136</v>
      </c>
      <c r="L42" s="230" t="n">
        <v>201.24</v>
      </c>
      <c r="M42" s="128" t="n"/>
      <c r="N42" s="120">
        <f>(L42/J42)-1</f>
        <v/>
      </c>
      <c r="O42" s="237" t="n"/>
    </row>
    <row r="43">
      <c r="A43" s="124" t="n">
        <v>519</v>
      </c>
      <c r="B43" s="223" t="inlineStr">
        <is>
          <t>Caja por 600 servilletas Celsoft 40x40 Taca Iuta Grigio</t>
        </is>
      </c>
      <c r="D43" s="237" t="n">
        <v>201.24</v>
      </c>
      <c r="E43" s="87">
        <f>D43*1.3*1.105</f>
        <v/>
      </c>
      <c r="F43" s="87">
        <f>D43*1.3*1.105/0.9</f>
        <v/>
      </c>
      <c r="G43" s="87">
        <f>F43*1.21</f>
        <v/>
      </c>
      <c r="H43" s="87">
        <f>ROUND(G43/100,0)*100</f>
        <v/>
      </c>
      <c r="J43" s="87" t="n">
        <v>183.410136</v>
      </c>
      <c r="L43" s="230" t="n">
        <v>201.24</v>
      </c>
      <c r="M43" s="128" t="n"/>
      <c r="N43" s="120">
        <f>(L43/J43)-1</f>
        <v/>
      </c>
      <c r="O43" s="237" t="n"/>
    </row>
    <row r="44">
      <c r="A44" s="124" t="n">
        <v>520</v>
      </c>
      <c r="B44" s="223" t="inlineStr">
        <is>
          <t>Caja de servilletas Celsoft 40 x 40 SAMPLER 300 Unid</t>
        </is>
      </c>
      <c r="D44" s="237" t="n">
        <v>106.52</v>
      </c>
      <c r="E44" s="87">
        <f>D44*1.3*1.105</f>
        <v/>
      </c>
      <c r="F44" s="87">
        <f>D44*1.3*1.105/0.9</f>
        <v/>
      </c>
      <c r="G44" s="87">
        <f>F44*1.21</f>
        <v/>
      </c>
      <c r="H44" s="87">
        <f>ROUND(G44/100,0)*100</f>
        <v/>
      </c>
      <c r="J44" s="87" t="n">
        <v>97.082328</v>
      </c>
      <c r="L44" s="230" t="n">
        <v>106.52</v>
      </c>
      <c r="M44" s="128" t="n"/>
      <c r="N44" s="120">
        <f>(L44/J44)-1</f>
        <v/>
      </c>
      <c r="O44" s="237" t="n"/>
    </row>
    <row r="45">
      <c r="A45" s="124" t="n"/>
      <c r="B45" s="223" t="n"/>
      <c r="C45" s="223" t="n"/>
      <c r="D45" s="237" t="n"/>
      <c r="J45" s="87" t="n"/>
      <c r="L45" s="87" t="n"/>
      <c r="M45" s="128" t="n"/>
      <c r="N45" s="120" t="n"/>
      <c r="O45" s="237" t="n"/>
    </row>
    <row r="46">
      <c r="A46" s="142" t="inlineStr">
        <is>
          <t>PAPEL HIGIENICO</t>
        </is>
      </c>
      <c r="B46" s="271" t="n"/>
      <c r="C46" s="223" t="n"/>
      <c r="D46" s="237" t="n"/>
      <c r="J46" s="87" t="n"/>
      <c r="L46" s="87" t="n"/>
      <c r="M46" s="144" t="n"/>
      <c r="O46" s="237" t="n"/>
    </row>
    <row r="47">
      <c r="A47" s="111" t="n"/>
      <c r="B47" s="223" t="n"/>
      <c r="C47" s="223" t="n"/>
      <c r="D47" s="237" t="n"/>
      <c r="J47" s="87" t="n"/>
      <c r="L47" s="87" t="n"/>
      <c r="M47" s="144" t="n"/>
      <c r="N47" s="120" t="n"/>
      <c r="O47" s="237" t="n"/>
    </row>
    <row r="48">
      <c r="A48" s="133" t="n">
        <v>211</v>
      </c>
      <c r="B48" s="134" t="inlineStr">
        <is>
          <t>Pack x18 Rollos Higienico Racional D/H x 60 mts</t>
        </is>
      </c>
      <c r="D48" s="135" t="n">
        <v>8372.110000000001</v>
      </c>
      <c r="E48" s="147">
        <f>D48*1.3*1.105</f>
        <v/>
      </c>
      <c r="F48" s="147">
        <f>D48*1.3*1.105/0.9</f>
        <v/>
      </c>
      <c r="G48" s="147">
        <f>F48*1.21</f>
        <v/>
      </c>
      <c r="H48" s="147">
        <f>ROUND(G48/100,0)*100</f>
        <v/>
      </c>
      <c r="I48" s="146" t="n"/>
      <c r="J48" s="147" t="n">
        <v>7131.167274</v>
      </c>
      <c r="K48" s="146" t="n"/>
      <c r="L48" s="148" t="n">
        <v>7824.41</v>
      </c>
      <c r="M48" s="152" t="n"/>
      <c r="N48" s="150">
        <f>(L48/J48)-1</f>
        <v/>
      </c>
      <c r="O48" s="135" t="n"/>
      <c r="P48" s="146" t="n"/>
      <c r="Q48" s="146" t="n"/>
      <c r="R48" s="146" t="n"/>
      <c r="S48" s="146" t="n"/>
      <c r="T48" s="146" t="n"/>
      <c r="U48" s="146" t="n"/>
      <c r="V48" s="146" t="n"/>
      <c r="W48" s="146" t="n"/>
      <c r="X48" s="146" t="n"/>
      <c r="Y48" s="146" t="n"/>
      <c r="Z48" s="146" t="n"/>
      <c r="AA48" s="146" t="n"/>
    </row>
    <row r="49">
      <c r="A49" s="124" t="n">
        <v>213</v>
      </c>
      <c r="B49" s="223" t="inlineStr">
        <is>
          <t>Pack x 4 Rollos Higienico Racional x 500 mts Buje 7,5</t>
        </is>
      </c>
      <c r="D49" s="237" t="n">
        <v>6488.53</v>
      </c>
      <c r="E49" s="87">
        <f>D49*1.3*1.105</f>
        <v/>
      </c>
      <c r="F49" s="87">
        <f>D49*1.3*1.105/0.9</f>
        <v/>
      </c>
      <c r="G49" s="87">
        <f>F49*1.21</f>
        <v/>
      </c>
      <c r="H49" s="87">
        <f>ROUND(G49/100,0)*100</f>
        <v/>
      </c>
      <c r="J49" s="87" t="n">
        <v>5526.775170000001</v>
      </c>
      <c r="L49" s="230" t="n">
        <v>6064.05</v>
      </c>
      <c r="M49" s="128" t="n"/>
      <c r="N49" s="120">
        <f>(L49/J49)-1</f>
        <v/>
      </c>
      <c r="O49" s="237" t="n"/>
    </row>
    <row r="50">
      <c r="A50" s="133" t="n">
        <v>214</v>
      </c>
      <c r="B50" s="134" t="inlineStr">
        <is>
          <t>Pack x 18 rollos Papel Higienico Racional x 122 mts</t>
        </is>
      </c>
      <c r="D50" s="135" t="n">
        <v>7971.55</v>
      </c>
      <c r="E50" s="147">
        <f>D50*1.3*1.105</f>
        <v/>
      </c>
      <c r="F50" s="147">
        <f>D50*1.3*1.105/0.9</f>
        <v/>
      </c>
      <c r="G50" s="147">
        <f>F50*1.21</f>
        <v/>
      </c>
      <c r="H50" s="147">
        <f>ROUND(G50/100,0)*100</f>
        <v/>
      </c>
      <c r="I50" s="146" t="n"/>
      <c r="J50" s="147" t="n">
        <v>6789.984684000001</v>
      </c>
      <c r="K50" s="146" t="n"/>
      <c r="L50" s="199" t="n">
        <v>7450.06</v>
      </c>
      <c r="M50" s="152" t="n"/>
      <c r="N50" s="150">
        <f>(L50/J50)-1</f>
        <v/>
      </c>
      <c r="O50" s="135" t="n"/>
      <c r="P50" s="146" t="n"/>
      <c r="Q50" s="146" t="n"/>
      <c r="R50" s="146" t="n"/>
      <c r="S50" s="146" t="n"/>
      <c r="T50" s="146" t="n"/>
      <c r="U50" s="146" t="n"/>
      <c r="V50" s="146" t="n"/>
      <c r="W50" s="146" t="n"/>
      <c r="X50" s="146" t="n"/>
      <c r="Y50" s="146" t="n"/>
      <c r="Z50" s="146" t="n"/>
      <c r="AA50" s="146" t="n"/>
    </row>
    <row r="51">
      <c r="A51" s="124" t="n">
        <v>218</v>
      </c>
      <c r="B51" s="223" t="inlineStr">
        <is>
          <t>Pack x 8 rollos Higienico Racional x 265 mts buje 7,5</t>
        </is>
      </c>
      <c r="D51" s="237" t="n">
        <v>7336.87</v>
      </c>
      <c r="E51" s="87">
        <f>D51*1.3*1.105</f>
        <v/>
      </c>
      <c r="F51" s="87">
        <f>D51*1.3*1.105/0.9</f>
        <v/>
      </c>
      <c r="G51" s="87">
        <f>F51*1.21</f>
        <v/>
      </c>
      <c r="H51" s="87">
        <f>ROUND(G51/100,0)*100</f>
        <v/>
      </c>
      <c r="J51" s="87" t="n">
        <v>6249.37866</v>
      </c>
      <c r="L51" s="230" t="n">
        <v>6856.9</v>
      </c>
      <c r="M51" s="128" t="n"/>
      <c r="N51" s="120">
        <f>(L51/J51)-1</f>
        <v/>
      </c>
      <c r="O51" s="237" t="n"/>
    </row>
    <row r="52">
      <c r="A52" s="133" t="n">
        <v>220</v>
      </c>
      <c r="B52" s="134" t="inlineStr">
        <is>
          <t>Pack x 8 Rollos Papel Higienico Racional x 300 mts</t>
        </is>
      </c>
      <c r="D52" s="135" t="n">
        <v>8360.6</v>
      </c>
      <c r="E52" s="147">
        <f>D52*1.3*1.105</f>
        <v/>
      </c>
      <c r="F52" s="147">
        <f>D52*1.3*1.105/0.9</f>
        <v/>
      </c>
      <c r="G52" s="147">
        <f>F52*1.21</f>
        <v/>
      </c>
      <c r="H52" s="147">
        <f>ROUND(G52/100,0)*100</f>
        <v/>
      </c>
      <c r="I52" s="146" t="n"/>
      <c r="J52" s="147" t="n">
        <v>7121.36061</v>
      </c>
      <c r="K52" s="146" t="n"/>
      <c r="L52" s="199" t="n">
        <v>7813.65</v>
      </c>
      <c r="M52" s="152" t="n"/>
      <c r="N52" s="150">
        <f>(L52/J52)-1</f>
        <v/>
      </c>
      <c r="O52" s="135" t="n"/>
      <c r="P52" s="146" t="n"/>
      <c r="Q52" s="146" t="n"/>
      <c r="R52" s="146" t="n"/>
      <c r="S52" s="146" t="n"/>
      <c r="T52" s="146" t="n"/>
      <c r="U52" s="146" t="n"/>
      <c r="V52" s="146" t="n"/>
      <c r="W52" s="146" t="n"/>
      <c r="X52" s="146" t="n"/>
      <c r="Y52" s="146" t="n"/>
      <c r="Z52" s="146" t="n"/>
      <c r="AA52" s="146" t="n"/>
    </row>
    <row r="53">
      <c r="A53" s="124" t="n">
        <v>222</v>
      </c>
      <c r="B53" s="223" t="inlineStr">
        <is>
          <t>Pack x 8 Rollos Papel Higienico x 260 mts Buje4,5</t>
        </is>
      </c>
      <c r="D53" s="237" t="n">
        <v>7097.54</v>
      </c>
      <c r="E53" s="87">
        <f>D53*1.3*1.105</f>
        <v/>
      </c>
      <c r="F53" s="87">
        <f>D53*1.3*1.105/0.9</f>
        <v/>
      </c>
      <c r="G53" s="87">
        <f>F53*1.21</f>
        <v/>
      </c>
      <c r="H53" s="87">
        <f>ROUND(G53/100,0)*100</f>
        <v/>
      </c>
      <c r="J53" s="87" t="n">
        <v>6045.516708</v>
      </c>
      <c r="L53" s="230" t="n">
        <v>6633.22</v>
      </c>
      <c r="M53" s="128" t="n"/>
      <c r="N53" s="120">
        <f>(L53/J53)-1</f>
        <v/>
      </c>
      <c r="O53" s="237" t="n"/>
    </row>
    <row r="54">
      <c r="A54" s="124" t="n">
        <v>909</v>
      </c>
      <c r="B54" s="223" t="inlineStr">
        <is>
          <t>Papel Higiénico 20 x 14,5 8000 h. 4000 usos</t>
        </is>
      </c>
      <c r="D54" s="237" t="n">
        <v>10961.55</v>
      </c>
      <c r="E54" s="87">
        <f>D54*1.3*1.105</f>
        <v/>
      </c>
      <c r="F54" s="87">
        <f>D54*1.3*1.105/0.9</f>
        <v/>
      </c>
      <c r="G54" s="87">
        <f>F54*1.21</f>
        <v/>
      </c>
      <c r="H54" s="87">
        <f>ROUND(G54/100,0)*100</f>
        <v/>
      </c>
      <c r="J54" s="87" t="n">
        <v>9336.791730000001</v>
      </c>
      <c r="L54" s="230" t="n">
        <v>10244.45</v>
      </c>
      <c r="M54" s="128" t="n"/>
      <c r="N54" s="120">
        <f>(L54/J54)-1</f>
        <v/>
      </c>
      <c r="O54" s="237" t="n"/>
    </row>
    <row r="55">
      <c r="A55" s="124" t="n">
        <v>912</v>
      </c>
      <c r="B55" s="223" t="inlineStr">
        <is>
          <t>Papel Higienico UNITAS(18x14,5cm) 8000 h/4000 usos</t>
        </is>
      </c>
      <c r="D55" s="237" t="n">
        <v>8807.34</v>
      </c>
      <c r="E55" s="87">
        <f>D55*1.3*1.105</f>
        <v/>
      </c>
      <c r="F55" s="87">
        <f>D55*1.3*1.105/0.9</f>
        <v/>
      </c>
      <c r="G55" s="87">
        <f>F55*1.21</f>
        <v/>
      </c>
      <c r="H55" s="87">
        <f>ROUND(G55/100,0)*100</f>
        <v/>
      </c>
      <c r="I55" s="87">
        <f>F55*1.1</f>
        <v/>
      </c>
      <c r="J55" s="87" t="n">
        <v>7501.879223999999</v>
      </c>
      <c r="L55" s="230" t="n">
        <v>8231.16</v>
      </c>
      <c r="M55" s="128" t="n"/>
      <c r="N55" s="120">
        <f>(L55/J55)-1</f>
        <v/>
      </c>
      <c r="O55" s="237" t="n"/>
    </row>
    <row r="56">
      <c r="A56" s="124" t="n"/>
      <c r="B56" s="223" t="n"/>
      <c r="C56" s="223" t="n"/>
      <c r="D56" s="237" t="n"/>
      <c r="J56" s="87" t="n"/>
      <c r="L56" s="87" t="n"/>
      <c r="M56" s="128" t="n"/>
      <c r="N56" s="120" t="n"/>
      <c r="O56" s="237" t="n"/>
    </row>
    <row r="57">
      <c r="A57" s="124" t="n"/>
      <c r="B57" s="108" t="n">
        <v>44896</v>
      </c>
      <c r="C57" s="223" t="n"/>
      <c r="D57" s="237" t="n"/>
      <c r="J57" s="87" t="n"/>
      <c r="L57" s="87" t="n"/>
      <c r="M57" s="128" t="n"/>
      <c r="N57" s="156" t="n"/>
      <c r="O57" s="237" t="n"/>
    </row>
    <row r="58">
      <c r="A58" s="124" t="n"/>
      <c r="B58" s="223" t="n"/>
      <c r="C58" s="223" t="n"/>
      <c r="D58" s="237" t="n"/>
      <c r="J58" s="87" t="n"/>
      <c r="L58" s="87" t="n"/>
      <c r="M58" s="128" t="n"/>
      <c r="N58" s="120" t="n"/>
      <c r="O58" s="237" t="n"/>
    </row>
    <row r="59">
      <c r="A59" s="117" t="inlineStr">
        <is>
          <t>CAMILLEROS</t>
        </is>
      </c>
      <c r="B59" s="223" t="n"/>
      <c r="C59" s="223" t="n"/>
      <c r="D59" s="237" t="n"/>
      <c r="J59" s="87" t="n"/>
      <c r="L59" s="87" t="n"/>
      <c r="M59" s="119" t="n"/>
      <c r="N59" s="120" t="n"/>
      <c r="O59" s="237" t="n"/>
    </row>
    <row r="60">
      <c r="A60" s="131" t="n"/>
      <c r="B60" s="223" t="n"/>
      <c r="C60" s="223" t="n"/>
      <c r="D60" s="87" t="n">
        <v>6630.27</v>
      </c>
      <c r="J60" s="87" t="n"/>
      <c r="L60" s="87" t="n"/>
      <c r="M60" s="119" t="n"/>
      <c r="N60" s="120" t="n"/>
      <c r="O60" s="237" t="n"/>
    </row>
    <row r="61">
      <c r="A61" s="124" t="n">
        <v>301</v>
      </c>
      <c r="B61" s="223" t="inlineStr">
        <is>
          <t>Pack x 2 Rollos Camilleros bco s/h 54x100mts Prec</t>
        </is>
      </c>
      <c r="D61" s="87" t="n">
        <v>7094.39</v>
      </c>
      <c r="E61" s="87">
        <f>D61*1.3*1.105</f>
        <v/>
      </c>
      <c r="F61" s="87">
        <f>D61*1.3*1.105/0.9</f>
        <v/>
      </c>
      <c r="G61" s="87">
        <f>F61*1.21</f>
        <v/>
      </c>
      <c r="H61" s="87">
        <f>ROUND(G61/100,0)*100</f>
        <v/>
      </c>
      <c r="J61" s="87" t="n">
        <v>5470.961034000002</v>
      </c>
      <c r="L61" s="87" t="n"/>
      <c r="M61" s="128" t="n"/>
      <c r="N61" s="120" t="n">
        <v>0.1</v>
      </c>
      <c r="O61" s="154" t="n"/>
    </row>
    <row r="62">
      <c r="A62" s="124" t="n"/>
      <c r="B62" s="155" t="n"/>
      <c r="C62" s="223" t="n"/>
      <c r="D62" s="237" t="n"/>
      <c r="J62" s="87" t="n"/>
      <c r="L62" s="87" t="n"/>
      <c r="M62" s="128" t="n"/>
      <c r="N62" s="156" t="n"/>
      <c r="O62" s="237" t="n"/>
    </row>
    <row r="63">
      <c r="A63" s="142" t="inlineStr">
        <is>
          <t>DISPENSERS</t>
        </is>
      </c>
      <c r="B63" s="223" t="n"/>
      <c r="C63" s="223" t="n"/>
      <c r="D63" s="237" t="n"/>
      <c r="J63" s="87" t="n"/>
      <c r="L63" s="87" t="n"/>
      <c r="M63" s="144" t="n"/>
      <c r="N63" s="120" t="n"/>
      <c r="O63" s="237" t="n"/>
    </row>
    <row r="64">
      <c r="A64" s="111" t="n"/>
      <c r="B64" s="223" t="n"/>
      <c r="C64" s="223" t="n"/>
      <c r="D64" s="237" t="n"/>
      <c r="J64" s="87" t="n"/>
      <c r="L64" s="87" t="n"/>
      <c r="M64" s="144" t="n"/>
      <c r="N64" s="120" t="n"/>
      <c r="O64" s="237" t="n"/>
    </row>
    <row r="65">
      <c r="A65" s="124" t="n">
        <v>403</v>
      </c>
      <c r="B65" s="223" t="inlineStr">
        <is>
          <t>Portabobina de Pared</t>
        </is>
      </c>
      <c r="C65" s="223" t="n"/>
      <c r="D65" s="127" t="n">
        <v>14360.46</v>
      </c>
      <c r="E65" s="87">
        <f>D65*1.3*1.105</f>
        <v/>
      </c>
      <c r="F65" s="87">
        <f>D65*1.3*1.105/0.9</f>
        <v/>
      </c>
      <c r="G65" s="87">
        <f>F65*1.21</f>
        <v/>
      </c>
      <c r="H65" s="87">
        <f>ROUND(G65/100,0)*100</f>
        <v/>
      </c>
      <c r="J65" s="87" t="n">
        <v>12231.8994</v>
      </c>
      <c r="L65" s="127" t="n">
        <v>13421</v>
      </c>
      <c r="M65" s="128" t="n"/>
      <c r="N65" s="120">
        <f>(L65/J65)-1</f>
        <v/>
      </c>
      <c r="O65" s="237" t="n"/>
    </row>
    <row r="66">
      <c r="A66" s="124" t="n">
        <v>418</v>
      </c>
      <c r="B66" s="223" t="inlineStr">
        <is>
          <t>Portabobina de Piso</t>
        </is>
      </c>
      <c r="C66" s="223" t="n"/>
      <c r="D66" s="230" t="n">
        <v>15796.17</v>
      </c>
      <c r="E66" s="87">
        <f>D66*1.3*1.105</f>
        <v/>
      </c>
      <c r="F66" s="87">
        <f>D66*1.3*1.105/0.9</f>
        <v/>
      </c>
      <c r="G66" s="87">
        <f>F66*1.21</f>
        <v/>
      </c>
      <c r="H66" s="87">
        <f>ROUND(G66/100,0)*100</f>
        <v/>
      </c>
      <c r="J66" s="87" t="n">
        <v>13454.797692</v>
      </c>
      <c r="L66" s="230" t="n">
        <v>14762.78</v>
      </c>
      <c r="M66" s="128" t="n"/>
      <c r="N66" s="120">
        <f>(L66/J66)-1</f>
        <v/>
      </c>
      <c r="O66" s="237" t="n"/>
    </row>
    <row r="67">
      <c r="A67" s="124" t="n">
        <v>422</v>
      </c>
      <c r="B67" s="223" t="inlineStr">
        <is>
          <t>Dispenser Celmatic Due</t>
        </is>
      </c>
      <c r="C67" s="223" t="n"/>
      <c r="D67" s="230" t="n">
        <v>20240.16</v>
      </c>
      <c r="E67" s="87">
        <f>D67*1.3*1.105</f>
        <v/>
      </c>
      <c r="F67" s="87">
        <f>D67*1.3*1.105/0.9</f>
        <v/>
      </c>
      <c r="G67" s="87">
        <f>F67*1.21</f>
        <v/>
      </c>
      <c r="H67" s="87">
        <f>ROUND(G67/100,0)*100</f>
        <v/>
      </c>
      <c r="J67" s="87" t="n">
        <v>17240.078856</v>
      </c>
      <c r="L67" s="230" t="n">
        <v>18916.04</v>
      </c>
      <c r="M67" s="128" t="n"/>
      <c r="N67" s="120">
        <f>(L67/J67)-1</f>
        <v/>
      </c>
      <c r="O67" s="237" t="n"/>
    </row>
    <row r="68">
      <c r="A68" s="124" t="n">
        <v>425</v>
      </c>
      <c r="B68" s="223" t="inlineStr">
        <is>
          <t>Dosificador para Jabón Líquido Recargable</t>
        </is>
      </c>
      <c r="D68" s="230" t="n">
        <v>7592.61</v>
      </c>
      <c r="E68" s="87">
        <f>D68*1.3*1.105</f>
        <v/>
      </c>
      <c r="F68" s="87">
        <f>D68*1.3*1.105/0.9</f>
        <v/>
      </c>
      <c r="G68" s="87">
        <f>F68*1.21</f>
        <v/>
      </c>
      <c r="H68" s="87">
        <f>ROUND(G68/100,0)*100</f>
        <v/>
      </c>
      <c r="J68" s="87" t="n">
        <v>6467.20326</v>
      </c>
      <c r="L68" s="230" t="n">
        <v>7095.9</v>
      </c>
      <c r="M68" s="128" t="n"/>
      <c r="N68" s="120">
        <f>(L68/J68)-1</f>
        <v/>
      </c>
      <c r="O68" s="237" t="n"/>
    </row>
    <row r="69">
      <c r="A69" s="124" t="n">
        <v>427</v>
      </c>
      <c r="B69" s="223" t="inlineStr">
        <is>
          <t>Dispenser Para Papel Higienico Racional 350</t>
        </is>
      </c>
      <c r="D69" s="230" t="n">
        <v>9274.5</v>
      </c>
      <c r="E69" s="87">
        <f>D69*1.3*1.105</f>
        <v/>
      </c>
      <c r="F69" s="87">
        <f>D69*1.3*1.105/0.9</f>
        <v/>
      </c>
      <c r="G69" s="87">
        <f>F69*1.21</f>
        <v/>
      </c>
      <c r="H69" s="87">
        <f>ROUND(G69/100,0)*100</f>
        <v/>
      </c>
      <c r="J69" s="87" t="n">
        <v>7899.796464</v>
      </c>
      <c r="L69" s="230" t="n">
        <v>8667.76</v>
      </c>
      <c r="M69" s="128" t="n"/>
      <c r="N69" s="120">
        <f>(L69/J69)-1</f>
        <v/>
      </c>
      <c r="O69" s="237" t="n"/>
    </row>
    <row r="70">
      <c r="A70" s="124" t="n">
        <v>428</v>
      </c>
      <c r="B70" s="223" t="inlineStr">
        <is>
          <t>Dispenser para Papel Higiénico</t>
        </is>
      </c>
      <c r="C70" s="223" t="n"/>
      <c r="D70" s="230" t="n">
        <v>10605.7</v>
      </c>
      <c r="E70" s="87">
        <f>D70*1.3*1.105</f>
        <v/>
      </c>
      <c r="F70" s="87">
        <f>D70*1.3*1.105/0.9</f>
        <v/>
      </c>
      <c r="G70" s="87">
        <f>F70*1.21</f>
        <v/>
      </c>
      <c r="H70" s="87">
        <f>ROUND(G70/100,0)*100</f>
        <v/>
      </c>
      <c r="J70" s="87" t="n">
        <v>9033.687431999999</v>
      </c>
      <c r="L70" s="230" t="n">
        <v>9911.879999999999</v>
      </c>
      <c r="M70" s="128" t="n"/>
      <c r="N70" s="120">
        <f>(L70/J70)-1</f>
        <v/>
      </c>
      <c r="O70" s="237" t="n"/>
    </row>
    <row r="71">
      <c r="A71" s="124" t="n">
        <v>429</v>
      </c>
      <c r="B71" s="223" t="inlineStr">
        <is>
          <t>Dispenser para Toallas de Papel</t>
        </is>
      </c>
      <c r="C71" s="223" t="n"/>
      <c r="D71" s="230" t="n">
        <v>7608.82</v>
      </c>
      <c r="E71" s="87">
        <f>D71*1.3*1.105</f>
        <v/>
      </c>
      <c r="F71" s="87">
        <f>D71*1.3*1.105/0.9</f>
        <v/>
      </c>
      <c r="G71" s="87">
        <f>F71*1.21</f>
        <v/>
      </c>
      <c r="H71" s="87">
        <f>ROUND(G71/100,0)*100</f>
        <v/>
      </c>
      <c r="J71" s="87" t="n">
        <v>6481.020084000001</v>
      </c>
      <c r="L71" s="230" t="n">
        <v>7111.06</v>
      </c>
      <c r="M71" s="128" t="n"/>
      <c r="N71" s="120">
        <f>(L71/J71)-1</f>
        <v/>
      </c>
      <c r="O71" s="237" t="n"/>
    </row>
    <row r="72">
      <c r="A72" s="124" t="n">
        <v>430</v>
      </c>
      <c r="B72" s="223" t="inlineStr">
        <is>
          <t>Dispenser Para Papel Higienico Racional 600</t>
        </is>
      </c>
      <c r="D72" s="230" t="n">
        <v>14929.14</v>
      </c>
      <c r="E72" s="87">
        <f>D72*1.3*1.105</f>
        <v/>
      </c>
      <c r="F72" s="87">
        <f>D72*1.3*1.105/0.9</f>
        <v/>
      </c>
      <c r="G72" s="87">
        <f>F72*1.21</f>
        <v/>
      </c>
      <c r="H72" s="87">
        <f>ROUND(G72/100,0)*100</f>
        <v/>
      </c>
      <c r="J72" s="87" t="n">
        <v>12716.272044</v>
      </c>
      <c r="L72" s="230" t="n">
        <v>13952.46</v>
      </c>
      <c r="M72" s="128" t="n"/>
      <c r="N72" s="120">
        <f>(L72/J72)-1</f>
        <v/>
      </c>
      <c r="O72" s="237" t="n"/>
    </row>
    <row r="73">
      <c r="A73" s="124" t="n"/>
      <c r="B73" s="223" t="n"/>
      <c r="C73" s="223" t="n"/>
      <c r="D73" s="237" t="n"/>
      <c r="J73" s="87" t="n"/>
      <c r="L73" s="87" t="n"/>
      <c r="M73" s="128" t="n"/>
      <c r="N73" s="120" t="n"/>
      <c r="O73" s="237" t="n"/>
    </row>
    <row r="74">
      <c r="A74" s="124" t="n"/>
      <c r="B74" s="223" t="n"/>
      <c r="C74" s="223" t="n"/>
      <c r="D74" s="237" t="n"/>
      <c r="J74" s="87" t="n"/>
      <c r="L74" s="87" t="n"/>
      <c r="M74" s="128" t="n"/>
      <c r="N74" s="120" t="n"/>
      <c r="O74" s="237" t="n"/>
    </row>
    <row r="75">
      <c r="A75" s="124" t="n"/>
      <c r="B75" s="223" t="n"/>
      <c r="C75" s="223" t="n"/>
      <c r="D75" s="237" t="n"/>
      <c r="J75" s="87" t="n"/>
      <c r="L75" s="87" t="n"/>
      <c r="M75" s="128" t="n"/>
      <c r="N75" s="120" t="n"/>
      <c r="O75" s="237" t="n"/>
    </row>
    <row r="76">
      <c r="A76" s="117" t="inlineStr">
        <is>
          <t>LIMPIEZA INDUSTRIAL</t>
        </is>
      </c>
      <c r="B76" s="271" t="n"/>
      <c r="C76" s="223" t="n"/>
      <c r="D76" s="237" t="n"/>
      <c r="J76" s="87" t="n"/>
      <c r="L76" s="87" t="n"/>
      <c r="M76" s="119" t="n"/>
      <c r="O76" s="237" t="n"/>
    </row>
    <row r="77">
      <c r="A77" s="131" t="n"/>
      <c r="B77" s="223" t="n"/>
      <c r="C77" s="223" t="n"/>
      <c r="D77" s="237" t="n"/>
      <c r="J77" s="87" t="n"/>
      <c r="L77" s="87" t="n"/>
      <c r="M77" s="119" t="n"/>
      <c r="N77" s="120" t="n"/>
      <c r="O77" s="237" t="n"/>
    </row>
    <row r="78">
      <c r="A78" s="133" t="n">
        <v>101</v>
      </c>
      <c r="B78" s="134" t="inlineStr">
        <is>
          <t>Pack x 6 bobinas 22,5 cm x 300 porciones</t>
        </is>
      </c>
      <c r="D78" s="135" t="n">
        <v>11414.34</v>
      </c>
      <c r="E78" s="147">
        <f>D78*1.3*1.105</f>
        <v/>
      </c>
      <c r="F78" s="147">
        <f>D78*1.3*1.105/0.9</f>
        <v/>
      </c>
      <c r="G78" s="147">
        <f>F78*1.21</f>
        <v/>
      </c>
      <c r="H78" s="147">
        <f>ROUND(G78/100,0)*100</f>
        <v/>
      </c>
      <c r="I78" s="146" t="n"/>
      <c r="J78" s="147" t="n">
        <v>9722.468868000002</v>
      </c>
      <c r="K78" s="146" t="n"/>
      <c r="L78" s="148" t="n">
        <v>10667.62</v>
      </c>
      <c r="M78" s="152" t="n"/>
      <c r="N78" s="150">
        <f>(L78/J78)-1</f>
        <v/>
      </c>
      <c r="O78" s="135" t="n"/>
      <c r="P78" s="146" t="n"/>
      <c r="Q78" s="146" t="n"/>
      <c r="R78" s="146" t="n"/>
      <c r="S78" s="146" t="n"/>
      <c r="T78" s="146" t="n"/>
      <c r="U78" s="146" t="n"/>
      <c r="V78" s="146" t="n"/>
      <c r="W78" s="146" t="n"/>
      <c r="X78" s="146" t="n"/>
      <c r="Y78" s="146" t="n"/>
      <c r="Z78" s="146" t="n"/>
      <c r="AA78" s="146" t="n"/>
    </row>
    <row r="79">
      <c r="A79" s="124" t="n">
        <v>109</v>
      </c>
      <c r="B79" s="223" t="inlineStr">
        <is>
          <t>Pack x 2 bobinas papel original 22,5 cm x 270 mts</t>
        </is>
      </c>
      <c r="D79" s="237" t="n">
        <v>8908.309999999999</v>
      </c>
      <c r="E79" s="87">
        <f>D79*1.3*1.105</f>
        <v/>
      </c>
      <c r="F79" s="87">
        <f>D79*1.3*1.105/0.9</f>
        <v/>
      </c>
      <c r="G79" s="87">
        <f>F79*1.21</f>
        <v/>
      </c>
      <c r="H79" s="87">
        <f>ROUND(G79/100,0)*100</f>
        <v/>
      </c>
      <c r="J79" s="87" t="n">
        <v>7587.888042</v>
      </c>
      <c r="L79" s="230" t="n">
        <v>8325.530000000001</v>
      </c>
      <c r="M79" s="128" t="n"/>
      <c r="N79" s="120">
        <f>(L79/J79)-1</f>
        <v/>
      </c>
      <c r="O79" s="237" t="n"/>
    </row>
    <row r="80">
      <c r="A80" s="133" t="n">
        <v>123</v>
      </c>
      <c r="B80" s="134" t="inlineStr">
        <is>
          <t>Pack x 2 bobinas Papel Original 900 hjs/360 mts.</t>
        </is>
      </c>
      <c r="D80" s="135" t="n">
        <v>13043.26</v>
      </c>
      <c r="E80" s="147">
        <f>D80*1.3*1.105</f>
        <v/>
      </c>
      <c r="F80" s="147">
        <f>D80*1.3*1.105/0.9</f>
        <v/>
      </c>
      <c r="G80" s="147">
        <f>F80*1.21</f>
        <v/>
      </c>
      <c r="H80" s="147">
        <f>ROUND(G80/100,0)*100</f>
        <v/>
      </c>
      <c r="I80" s="146" t="n"/>
      <c r="J80" s="147" t="n">
        <v>11109.929544</v>
      </c>
      <c r="K80" s="146" t="n"/>
      <c r="L80" s="199" t="n">
        <v>12189.96</v>
      </c>
      <c r="M80" s="152" t="n"/>
      <c r="N80" s="150">
        <f>(L80/J80)-1</f>
        <v/>
      </c>
      <c r="O80" s="135" t="n"/>
      <c r="P80" s="146" t="n"/>
      <c r="Q80" s="146" t="n"/>
      <c r="R80" s="146" t="n"/>
      <c r="S80" s="146" t="n"/>
      <c r="T80" s="146" t="n"/>
      <c r="U80" s="146" t="n"/>
      <c r="V80" s="146" t="n"/>
      <c r="W80" s="146" t="n"/>
      <c r="X80" s="146" t="n"/>
      <c r="Y80" s="146" t="n"/>
      <c r="Z80" s="146" t="n"/>
      <c r="AA80" s="146" t="n"/>
    </row>
    <row r="81">
      <c r="A81" s="124" t="n">
        <v>809</v>
      </c>
      <c r="B81" s="223" t="inlineStr">
        <is>
          <t>Pack x 4 Rollos 600 porc 25x25 Rep Tambo</t>
        </is>
      </c>
      <c r="D81" s="237" t="n">
        <v>13593.46</v>
      </c>
      <c r="E81" s="87">
        <f>D81*1.3*1.105</f>
        <v/>
      </c>
      <c r="F81" s="87">
        <f>D81*1.3*1.105/0.9</f>
        <v/>
      </c>
      <c r="G81" s="87">
        <f>F81*1.21</f>
        <v/>
      </c>
      <c r="H81" s="87">
        <f>ROUND(G81/100,0)*100</f>
        <v/>
      </c>
      <c r="J81" s="87" t="n">
        <v>11578.589652</v>
      </c>
      <c r="L81" s="230" t="n">
        <v>12704.18</v>
      </c>
      <c r="M81" s="128" t="n"/>
      <c r="N81" s="120">
        <f>(L81/J81)-1</f>
        <v/>
      </c>
      <c r="O81" s="237" t="n"/>
    </row>
    <row r="82">
      <c r="A82" s="124" t="n"/>
      <c r="B82" s="223" t="n"/>
      <c r="C82" s="223" t="n"/>
      <c r="D82" s="237" t="n"/>
      <c r="J82" s="87" t="n"/>
      <c r="L82" s="87" t="n"/>
      <c r="M82" s="128" t="n"/>
      <c r="N82" s="120" t="n"/>
      <c r="O82" s="237" t="n"/>
    </row>
    <row r="83">
      <c r="A83" s="124" t="n"/>
      <c r="B83" s="223" t="n"/>
      <c r="C83" s="223" t="n"/>
      <c r="D83" s="237" t="n"/>
      <c r="J83" s="87" t="n"/>
      <c r="L83" s="87" t="n"/>
      <c r="M83" s="128" t="n"/>
      <c r="N83" s="120" t="n"/>
      <c r="O83" s="237" t="n"/>
    </row>
    <row r="84">
      <c r="A84" s="117" t="inlineStr">
        <is>
          <t>PAÑOS DE LIMPIEZA DE ALTA PERFORMANCE</t>
        </is>
      </c>
      <c r="B84" s="223" t="n"/>
      <c r="C84" s="223" t="n"/>
      <c r="D84" s="237" t="n"/>
      <c r="J84" s="87" t="n"/>
      <c r="L84" s="87" t="n"/>
      <c r="M84" s="119" t="n"/>
      <c r="N84" s="120" t="n"/>
      <c r="O84" s="237" t="n"/>
    </row>
    <row r="85">
      <c r="A85" s="131" t="n"/>
      <c r="B85" s="223" t="n"/>
      <c r="C85" s="223" t="n"/>
      <c r="D85" s="237" t="n"/>
      <c r="J85" s="87" t="n"/>
      <c r="L85" s="87" t="n"/>
      <c r="M85" s="119" t="n"/>
      <c r="N85" s="120" t="n"/>
      <c r="O85" s="237" t="n"/>
    </row>
    <row r="86">
      <c r="A86" s="157" t="inlineStr">
        <is>
          <t>Linea Softclean</t>
        </is>
      </c>
      <c r="C86" s="158" t="n"/>
      <c r="D86" s="169" t="n"/>
      <c r="J86" s="87" t="n"/>
      <c r="L86" s="87" t="n"/>
      <c r="M86" s="119" t="n"/>
      <c r="O86" s="169" t="n"/>
    </row>
    <row r="87">
      <c r="A87" s="186" t="n">
        <v>605</v>
      </c>
      <c r="B87" s="223" t="inlineStr">
        <is>
          <t>Caja x 250 Paños Ultratex de 34cm x 60cm</t>
        </is>
      </c>
      <c r="D87" s="166">
        <f>L87*0.93*0.98</f>
        <v/>
      </c>
      <c r="E87" s="87">
        <f>D87*1.3*1.105</f>
        <v/>
      </c>
      <c r="F87" s="87">
        <f>D87*1.3*1.105/0.9</f>
        <v/>
      </c>
      <c r="G87" s="87">
        <f>F87*1.21</f>
        <v/>
      </c>
      <c r="H87" s="87">
        <f>ROUND(G87/100,0)*100</f>
        <v/>
      </c>
      <c r="J87" s="87" t="n">
        <v>223.776042</v>
      </c>
      <c r="L87" s="160" t="n">
        <v>245.53</v>
      </c>
      <c r="M87" s="167" t="n"/>
      <c r="N87" s="120">
        <f>(L87/J87)-1</f>
        <v/>
      </c>
      <c r="O87" s="166" t="n"/>
    </row>
    <row r="88">
      <c r="A88" s="186" t="n">
        <v>606</v>
      </c>
      <c r="B88" s="134" t="inlineStr">
        <is>
          <t>Caja x 300 Paños Ultratex de 45,7cm x 53,3cm</t>
        </is>
      </c>
      <c r="D88" s="160" t="n">
        <v>347.37</v>
      </c>
      <c r="E88" s="147">
        <f>D88*1.3*1.105</f>
        <v/>
      </c>
      <c r="F88" s="147">
        <f>D88*1.3*1.105/0.9</f>
        <v/>
      </c>
      <c r="G88" s="147">
        <f>F88*1.21</f>
        <v/>
      </c>
      <c r="H88" s="147">
        <f>ROUND(G88/100,0)*100</f>
        <v/>
      </c>
      <c r="I88" s="146" t="n"/>
      <c r="J88" s="147" t="n">
        <v>316.593018</v>
      </c>
      <c r="K88" s="146" t="n"/>
      <c r="L88" s="162" t="n">
        <v>347.37</v>
      </c>
      <c r="M88" s="163" t="n"/>
      <c r="N88" s="150">
        <f>(L88/J88)-1</f>
        <v/>
      </c>
      <c r="O88" s="164" t="n"/>
      <c r="P88" s="146" t="n"/>
      <c r="Q88" s="146" t="n"/>
      <c r="R88" s="146" t="n"/>
      <c r="S88" s="146" t="n"/>
      <c r="T88" s="146" t="n"/>
      <c r="U88" s="146" t="n"/>
      <c r="V88" s="146" t="n"/>
      <c r="W88" s="146" t="n"/>
      <c r="X88" s="146" t="n"/>
      <c r="Y88" s="146" t="n"/>
      <c r="Z88" s="146" t="n"/>
      <c r="AA88" s="146" t="n"/>
    </row>
    <row r="89">
      <c r="A89" s="186" t="n">
        <v>608</v>
      </c>
      <c r="B89" s="223" t="inlineStr">
        <is>
          <t>Repuesto x 2 rollos Softclean x 350 mts</t>
        </is>
      </c>
      <c r="D89" s="160" t="n">
        <v>71.73999999999999</v>
      </c>
      <c r="E89" s="87">
        <f>D89*1.3*1.105</f>
        <v/>
      </c>
      <c r="F89" s="87">
        <f>D89*1.3*1.105/0.9</f>
        <v/>
      </c>
      <c r="G89" s="87">
        <f>F89*1.21</f>
        <v/>
      </c>
      <c r="H89" s="87">
        <f>ROUND(G89/100,0)*100</f>
        <v/>
      </c>
      <c r="J89" s="87" t="n">
        <v>48.431796</v>
      </c>
      <c r="L89" s="240" t="n">
        <v>53.14</v>
      </c>
      <c r="M89" s="167" t="n"/>
      <c r="N89" s="120">
        <f>(L89/J89)-1</f>
        <v/>
      </c>
      <c r="O89" s="166" t="n"/>
    </row>
    <row r="90">
      <c r="A90" s="186" t="n">
        <v>612</v>
      </c>
      <c r="B90" s="223" t="inlineStr">
        <is>
          <t>Contenedor Mini Softclean x 150 porc. 13 x 26.5cm</t>
        </is>
      </c>
      <c r="D90" s="166">
        <f>L90*0.93*0.98</f>
        <v/>
      </c>
      <c r="E90" s="87">
        <f>D90*1.3*1.105</f>
        <v/>
      </c>
      <c r="F90" s="87">
        <f>D90*1.3*1.105/0.9</f>
        <v/>
      </c>
      <c r="G90" s="87">
        <f>F90*1.21</f>
        <v/>
      </c>
      <c r="H90" s="87">
        <f>ROUND(G90/100,0)*100</f>
        <v/>
      </c>
      <c r="J90" s="87" t="n">
        <v>0</v>
      </c>
      <c r="L90" s="240" t="n">
        <v>0</v>
      </c>
      <c r="M90" s="167" t="n"/>
      <c r="N90" s="120">
        <f>(L90/J90)-1</f>
        <v/>
      </c>
      <c r="O90" s="166" t="n"/>
    </row>
    <row r="91">
      <c r="A91" s="186" t="n">
        <v>614</v>
      </c>
      <c r="B91" s="223" t="inlineStr">
        <is>
          <t>Rollo SoftClean S 70x 875 Porciones de 30x 25</t>
        </is>
      </c>
      <c r="D91" s="166" t="n">
        <v>86.42</v>
      </c>
      <c r="E91" s="87">
        <f>D91*1.3*1.105</f>
        <v/>
      </c>
      <c r="F91" s="87">
        <f>D91*1.3*1.105/0.9</f>
        <v/>
      </c>
      <c r="G91" s="87">
        <f>F91*1.21</f>
        <v/>
      </c>
      <c r="H91" s="87">
        <f>ROUND(G91/100,0)*100</f>
        <v/>
      </c>
      <c r="J91" s="87" t="n">
        <v>58.347828</v>
      </c>
      <c r="L91" s="240" t="n">
        <v>64.02</v>
      </c>
      <c r="M91" s="167" t="n"/>
      <c r="N91" s="120">
        <f>(L91/J91)-1</f>
        <v/>
      </c>
      <c r="O91" s="166" t="n"/>
    </row>
    <row r="92">
      <c r="A92" s="186" t="n">
        <v>615</v>
      </c>
      <c r="B92" s="223" t="inlineStr">
        <is>
          <t>Contenedor Center Softclean x 350 22,5 x26,5</t>
        </is>
      </c>
      <c r="D92" s="166" t="n">
        <v>37.59</v>
      </c>
      <c r="E92" s="87">
        <f>D92*1.3*1.105</f>
        <v/>
      </c>
      <c r="F92" s="87">
        <f>D92*1.3*1.105/0.9</f>
        <v/>
      </c>
      <c r="G92" s="87">
        <f>F92*1.21</f>
        <v/>
      </c>
      <c r="H92" s="87">
        <f>ROUND(G92/100,0)*100</f>
        <v/>
      </c>
      <c r="J92" s="87" t="n">
        <v>25.373376</v>
      </c>
      <c r="L92" s="240" t="n">
        <v>27.84</v>
      </c>
      <c r="M92" s="167" t="n"/>
      <c r="N92" s="120">
        <f>(L92/J92)-1</f>
        <v/>
      </c>
      <c r="O92" s="166" t="n"/>
    </row>
    <row r="93">
      <c r="A93" s="186" t="n">
        <v>616</v>
      </c>
      <c r="B93" s="223" t="inlineStr">
        <is>
          <t>Rollo Mini Sofclean x 190 porciones de 22,5 x 26,5</t>
        </is>
      </c>
      <c r="D93" s="166" t="n">
        <v>18.8</v>
      </c>
      <c r="E93" s="87">
        <f>D93*1.3*1.105</f>
        <v/>
      </c>
      <c r="F93" s="87">
        <f>D93*1.3*1.105/0.9</f>
        <v/>
      </c>
      <c r="G93" s="87">
        <f>F93*1.21</f>
        <v/>
      </c>
      <c r="H93" s="87">
        <f>ROUND(G93/100,0)*100</f>
        <v/>
      </c>
      <c r="J93" s="87" t="n">
        <v>12.677574</v>
      </c>
      <c r="L93" s="240" t="n">
        <v>13.91</v>
      </c>
      <c r="M93" s="167" t="n"/>
      <c r="N93" s="120">
        <f>(L93/J93)-1</f>
        <v/>
      </c>
      <c r="O93" s="166" t="n"/>
    </row>
    <row r="94">
      <c r="A94" s="186" t="n">
        <v>617</v>
      </c>
      <c r="B94" s="134" t="inlineStr">
        <is>
          <t>Caja 1/4 Folded Softclean 500 30 x 30 cm Celeste</t>
        </is>
      </c>
      <c r="D94" s="164" t="n">
        <v>62.34</v>
      </c>
      <c r="E94" s="147">
        <f>D94*1.3*1.105</f>
        <v/>
      </c>
      <c r="F94" s="147">
        <f>D94*1.3*1.105/0.9</f>
        <v/>
      </c>
      <c r="G94" s="147">
        <f>F94*1.21</f>
        <v/>
      </c>
      <c r="H94" s="147">
        <f>ROUND(G94/100,0)*100</f>
        <v/>
      </c>
      <c r="I94" s="146" t="n"/>
      <c r="J94" s="147" t="n">
        <v>42.088452</v>
      </c>
      <c r="K94" s="146" t="n"/>
      <c r="L94" s="162" t="n">
        <v>46.18</v>
      </c>
      <c r="M94" s="163" t="n"/>
      <c r="N94" s="150">
        <f>(L94/J94)-1</f>
        <v/>
      </c>
      <c r="O94" s="164" t="n"/>
      <c r="P94" s="146" t="n"/>
      <c r="Q94" s="146" t="n"/>
      <c r="R94" s="146" t="n"/>
      <c r="S94" s="146" t="n"/>
      <c r="T94" s="146" t="n"/>
      <c r="U94" s="146" t="n"/>
      <c r="V94" s="146" t="n"/>
      <c r="W94" s="146" t="n"/>
      <c r="X94" s="146" t="n"/>
      <c r="Y94" s="146" t="n"/>
      <c r="Z94" s="146" t="n"/>
      <c r="AA94" s="146" t="n"/>
    </row>
    <row r="95">
      <c r="A95" s="186" t="n">
        <v>618</v>
      </c>
      <c r="B95" s="223" t="inlineStr">
        <is>
          <t>Rollo Precortado Softclean 600 porciones de 30x 26,5</t>
        </is>
      </c>
      <c r="D95" s="166" t="n">
        <v>62.34</v>
      </c>
      <c r="E95" s="87">
        <f>D95*1.3*1.105</f>
        <v/>
      </c>
      <c r="F95" s="87">
        <f>D95*1.3*1.105/0.9</f>
        <v/>
      </c>
      <c r="G95" s="87">
        <f>F95*1.21</f>
        <v/>
      </c>
      <c r="H95" s="87">
        <f>ROUND(G95/100,0)*100</f>
        <v/>
      </c>
      <c r="J95" s="87" t="n">
        <v>42.088452</v>
      </c>
      <c r="L95" s="240" t="n">
        <v>46.18</v>
      </c>
      <c r="M95" s="167" t="n"/>
      <c r="N95" s="120">
        <f>(L95/J95)-1</f>
        <v/>
      </c>
      <c r="O95" s="166" t="n"/>
    </row>
    <row r="96">
      <c r="A96" s="186" t="n"/>
      <c r="B96" s="223" t="n"/>
      <c r="C96" s="223" t="n"/>
      <c r="D96" s="166" t="n"/>
      <c r="J96" s="87" t="n"/>
      <c r="L96" s="87" t="n"/>
      <c r="M96" s="167" t="n"/>
      <c r="N96" s="120" t="n"/>
      <c r="O96" s="166" t="n"/>
    </row>
    <row r="97">
      <c r="A97" s="168" t="inlineStr">
        <is>
          <t>Linea Sontara</t>
        </is>
      </c>
      <c r="C97" s="158" t="n"/>
      <c r="D97" s="169" t="n"/>
      <c r="J97" s="87" t="n"/>
      <c r="L97" s="87" t="n"/>
      <c r="M97" s="170" t="n"/>
      <c r="O97" s="169" t="n"/>
    </row>
    <row r="98">
      <c r="A98" s="186" t="n">
        <v>604</v>
      </c>
      <c r="B98" s="223" t="inlineStr">
        <is>
          <t>Rollo precortado Maxi de 30 x38 blanco</t>
        </is>
      </c>
      <c r="D98" s="160" t="n">
        <v>121.94</v>
      </c>
      <c r="E98" s="87">
        <f>D98*1.3*1.105</f>
        <v/>
      </c>
      <c r="F98" s="87">
        <f>D98*1.3*1.105/0.9</f>
        <v/>
      </c>
      <c r="G98" s="87">
        <f>F98*1.21</f>
        <v/>
      </c>
      <c r="H98" s="87">
        <f>ROUND(G98/100,0)*100</f>
        <v/>
      </c>
      <c r="J98" s="87" t="n">
        <v>111.136116</v>
      </c>
      <c r="L98" s="160" t="n">
        <v>121.94</v>
      </c>
      <c r="M98" s="167" t="n"/>
      <c r="N98" s="120">
        <f>(L98/J98)-1</f>
        <v/>
      </c>
      <c r="O98" s="166" t="n"/>
    </row>
    <row r="99">
      <c r="A99" s="186" t="n">
        <v>619</v>
      </c>
      <c r="B99" s="223" t="inlineStr">
        <is>
          <t>Centerfeed Sontara Celeste 350 porc22,5 x 26,5</t>
        </is>
      </c>
      <c r="D99" s="240" t="n">
        <v>61.85</v>
      </c>
      <c r="E99" s="87">
        <f>D99*1.3*1.105</f>
        <v/>
      </c>
      <c r="F99" s="87">
        <f>D99*1.3*1.105/0.9</f>
        <v/>
      </c>
      <c r="G99" s="87">
        <f>F99*1.21</f>
        <v/>
      </c>
      <c r="H99" s="87">
        <f>ROUND(G99/100,0)*100</f>
        <v/>
      </c>
      <c r="J99" s="87" t="n">
        <v>56.37009</v>
      </c>
      <c r="L99" s="240" t="n">
        <v>61.85</v>
      </c>
      <c r="M99" s="167" t="n"/>
      <c r="N99" s="120">
        <f>(L99/J99)-1</f>
        <v/>
      </c>
      <c r="O99" s="166" t="n"/>
    </row>
    <row r="100">
      <c r="A100" s="186" t="n">
        <v>620</v>
      </c>
      <c r="B100" s="223" t="inlineStr">
        <is>
          <t>Rollo prec Sontara por 600 porc 30 x26,5 celeste</t>
        </is>
      </c>
      <c r="D100" s="240" t="n">
        <v>116.54</v>
      </c>
      <c r="E100" s="87">
        <f>D100*1.3*1.105</f>
        <v/>
      </c>
      <c r="F100" s="87">
        <f>D100*1.3*1.105/0.9</f>
        <v/>
      </c>
      <c r="G100" s="87">
        <f>F100*1.21</f>
        <v/>
      </c>
      <c r="H100" s="87">
        <f>ROUND(G100/100,0)*100</f>
        <v/>
      </c>
      <c r="J100" s="87" t="n">
        <v>106.214556</v>
      </c>
      <c r="L100" s="240" t="n">
        <v>116.54</v>
      </c>
      <c r="M100" s="167" t="n"/>
      <c r="N100" s="120">
        <f>(L100/J100)-1</f>
        <v/>
      </c>
      <c r="O100" s="166" t="n"/>
    </row>
    <row r="101">
      <c r="A101" s="186" t="n">
        <v>621</v>
      </c>
      <c r="B101" s="223" t="inlineStr">
        <is>
          <t>Rollo Sontara Mini x 190 porc 22,5 x26,5 celeste</t>
        </is>
      </c>
      <c r="D101" s="240" t="n">
        <v>28.1</v>
      </c>
      <c r="E101" s="87">
        <f>D101*1.3*1.105</f>
        <v/>
      </c>
      <c r="F101" s="87">
        <f>D101*1.3*1.105/0.9</f>
        <v/>
      </c>
      <c r="G101" s="87">
        <f>F101*1.21</f>
        <v/>
      </c>
      <c r="H101" s="87">
        <f>ROUND(G101/100,0)*100</f>
        <v/>
      </c>
      <c r="J101" s="87" t="n">
        <v>25.61034</v>
      </c>
      <c r="L101" s="240" t="n">
        <v>28.1</v>
      </c>
      <c r="M101" s="167" t="n"/>
      <c r="N101" s="120">
        <f>(L101/J101)-1</f>
        <v/>
      </c>
      <c r="O101" s="166" t="n"/>
    </row>
    <row r="102">
      <c r="A102" s="186" t="n">
        <v>627</v>
      </c>
      <c r="B102" s="223" t="inlineStr">
        <is>
          <t>SMP 300 Paños de 22,5 cm x 22,5 cm</t>
        </is>
      </c>
      <c r="D102" s="240" t="n">
        <v>74.22</v>
      </c>
      <c r="E102" s="87">
        <f>D102*1.3*1.105</f>
        <v/>
      </c>
      <c r="F102" s="87">
        <f>D102*1.3*1.105/0.9</f>
        <v/>
      </c>
      <c r="G102" s="87">
        <f>F102*1.21</f>
        <v/>
      </c>
      <c r="H102" s="87">
        <f>ROUND(G102/100,0)*100</f>
        <v/>
      </c>
      <c r="J102" s="87" t="n">
        <v>67.644108</v>
      </c>
      <c r="L102" s="240" t="n">
        <v>74.22</v>
      </c>
      <c r="M102" s="167" t="n"/>
      <c r="N102" s="120">
        <f>(L102/J102)-1</f>
        <v/>
      </c>
      <c r="O102" s="166" t="n"/>
    </row>
    <row r="103">
      <c r="A103" s="171" t="n">
        <v>645</v>
      </c>
      <c r="B103" s="175" t="inlineStr">
        <is>
          <t>Caja por 500Paños Sontara de 30 x 30 cm celeste</t>
        </is>
      </c>
      <c r="D103" s="240" t="n">
        <v>124.98</v>
      </c>
      <c r="E103" s="87">
        <f>D103*1.3*1.105</f>
        <v/>
      </c>
      <c r="F103" s="87">
        <f>D103*1.3*1.105/0.9</f>
        <v/>
      </c>
      <c r="G103" s="87">
        <f>F103*1.21</f>
        <v/>
      </c>
      <c r="H103" s="87">
        <f>ROUND(G103/100,0)*100</f>
        <v/>
      </c>
      <c r="J103" s="87" t="n">
        <v>74.39758199999999</v>
      </c>
      <c r="L103" s="240" t="n">
        <v>81.63</v>
      </c>
      <c r="M103" s="173" t="n"/>
      <c r="N103" s="177">
        <f>(L103/J103)-1</f>
        <v/>
      </c>
      <c r="O103" s="166" t="n"/>
    </row>
    <row r="104">
      <c r="A104" s="186" t="n">
        <v>656</v>
      </c>
      <c r="B104" s="175" t="inlineStr">
        <is>
          <t>Caja por 400 Paños Sontara de 30 x 30 cm Blancos</t>
        </is>
      </c>
      <c r="D104" s="240" t="n">
        <v>79</v>
      </c>
      <c r="E104" s="87">
        <f>D104*1.3*1.105</f>
        <v/>
      </c>
      <c r="F104" s="87">
        <f>D104*1.3*1.105/0.9</f>
        <v/>
      </c>
      <c r="G104" s="87">
        <f>F104*1.21</f>
        <v/>
      </c>
      <c r="H104" s="87">
        <f>ROUND(G104/100,0)*100</f>
        <v/>
      </c>
      <c r="J104" s="87" t="n">
        <v>72.00059999999999</v>
      </c>
      <c r="L104" s="240" t="n">
        <v>79</v>
      </c>
      <c r="M104" s="167" t="n"/>
      <c r="N104" s="177">
        <f>(L104/J104)-1</f>
        <v/>
      </c>
      <c r="O104" s="166" t="n"/>
    </row>
    <row r="105">
      <c r="A105" s="223" t="n"/>
      <c r="B105" s="175" t="n"/>
      <c r="C105" s="175" t="n"/>
      <c r="D105" s="215" t="n"/>
      <c r="J105" s="87" t="n"/>
      <c r="L105" s="87" t="n"/>
      <c r="M105" s="176" t="n"/>
      <c r="N105" s="177" t="n"/>
      <c r="O105" s="215" t="n"/>
    </row>
    <row r="106">
      <c r="A106" s="223" t="n"/>
      <c r="B106" s="175" t="n"/>
      <c r="C106" s="223" t="n"/>
      <c r="D106" s="215" t="n"/>
      <c r="J106" s="87" t="n"/>
      <c r="L106" s="87" t="n"/>
      <c r="M106" s="176" t="n"/>
      <c r="N106" s="177" t="n"/>
      <c r="O106" s="215" t="n"/>
    </row>
    <row r="107">
      <c r="A107" s="223" t="n"/>
      <c r="B107" s="175" t="n"/>
      <c r="C107" s="223" t="n"/>
      <c r="D107" s="215" t="n"/>
      <c r="J107" s="87" t="n"/>
      <c r="L107" s="87" t="n"/>
      <c r="M107" s="176" t="n"/>
      <c r="N107" s="177" t="n"/>
      <c r="O107" s="215" t="n"/>
    </row>
    <row r="108">
      <c r="A108" s="248" t="inlineStr">
        <is>
          <t>LOS PRECIOS NO INCLUYEN I.V.A.</t>
        </is>
      </c>
      <c r="B108" s="272" t="n"/>
      <c r="C108" s="179" t="n"/>
      <c r="D108" s="215" t="n"/>
      <c r="J108" s="87" t="n"/>
      <c r="L108" s="87" t="n"/>
      <c r="M108" s="144" t="n"/>
      <c r="O108" s="215" t="n"/>
    </row>
    <row r="109">
      <c r="A109" s="180" t="inlineStr">
        <is>
          <t>CONDICION DE PAGO: PAGO CONTADO 7% DE DESCUENTO</t>
        </is>
      </c>
      <c r="B109" s="273" t="n"/>
      <c r="C109" s="273" t="n"/>
      <c r="D109" s="215" t="n"/>
      <c r="J109" s="87" t="n"/>
      <c r="L109" s="87" t="n"/>
      <c r="M109" s="144" t="n"/>
      <c r="O109" s="215" t="n"/>
    </row>
    <row r="110">
      <c r="J110" s="87" t="n"/>
      <c r="L110" s="87" t="n"/>
      <c r="M110" s="105" t="n"/>
      <c r="N110" s="106" t="n"/>
    </row>
    <row r="111">
      <c r="J111" s="87" t="n"/>
      <c r="L111" s="87" t="n"/>
      <c r="M111" s="105" t="n"/>
      <c r="N111" s="106" t="n"/>
    </row>
    <row r="112">
      <c r="J112" s="87" t="n"/>
      <c r="L112" s="87" t="n"/>
      <c r="M112" s="105" t="n"/>
      <c r="N112" s="106" t="n"/>
    </row>
    <row r="113">
      <c r="J113" s="87" t="n"/>
      <c r="L113" s="87" t="n"/>
      <c r="M113" s="105" t="n"/>
      <c r="N113" s="106" t="n"/>
    </row>
    <row r="114">
      <c r="J114" s="87" t="n"/>
      <c r="L114" s="87" t="n"/>
      <c r="M114" s="105" t="n"/>
      <c r="N114" s="106" t="n"/>
    </row>
    <row r="115">
      <c r="J115" s="87" t="n"/>
      <c r="L115" s="87" t="n"/>
      <c r="M115" s="105" t="n"/>
      <c r="N115" s="106" t="n"/>
    </row>
    <row r="116">
      <c r="J116" s="87" t="n"/>
      <c r="L116" s="87" t="n"/>
      <c r="M116" s="105" t="n"/>
      <c r="N116" s="106" t="n"/>
    </row>
    <row r="117">
      <c r="J117" s="87" t="n"/>
      <c r="L117" s="87" t="n"/>
      <c r="M117" s="105" t="n"/>
      <c r="N117" s="106" t="n"/>
    </row>
    <row r="118">
      <c r="J118" s="87" t="n"/>
      <c r="L118" s="87" t="n"/>
      <c r="M118" s="105" t="n"/>
      <c r="N118" s="106" t="n"/>
    </row>
    <row r="119">
      <c r="J119" s="87" t="n"/>
      <c r="L119" s="87" t="n"/>
      <c r="M119" s="105" t="n"/>
      <c r="N119" s="106" t="n"/>
    </row>
    <row r="120">
      <c r="J120" s="87" t="n"/>
      <c r="L120" s="87" t="n"/>
      <c r="M120" s="105" t="n"/>
      <c r="N120" s="106" t="n"/>
    </row>
    <row r="121">
      <c r="J121" s="87" t="n"/>
      <c r="L121" s="87" t="n"/>
      <c r="M121" s="105" t="n"/>
      <c r="N121" s="106" t="n"/>
    </row>
    <row r="122">
      <c r="J122" s="87" t="n"/>
      <c r="L122" s="87" t="n"/>
      <c r="M122" s="105" t="n"/>
      <c r="N122" s="106" t="n"/>
    </row>
    <row r="123">
      <c r="J123" s="87" t="n"/>
      <c r="L123" s="87" t="n"/>
      <c r="M123" s="105" t="n"/>
      <c r="N123" s="106" t="n"/>
    </row>
    <row r="124">
      <c r="J124" s="87" t="n"/>
      <c r="L124" s="87" t="n"/>
      <c r="M124" s="105" t="n"/>
      <c r="N124" s="106" t="n"/>
    </row>
    <row r="125">
      <c r="J125" s="87" t="n"/>
      <c r="L125" s="87" t="n"/>
      <c r="M125" s="105" t="n"/>
      <c r="N125" s="106" t="n"/>
    </row>
    <row r="126">
      <c r="J126" s="87" t="n"/>
      <c r="L126" s="87" t="n"/>
      <c r="M126" s="105" t="n"/>
      <c r="N126" s="106" t="n"/>
    </row>
    <row r="127">
      <c r="J127" s="87" t="n"/>
      <c r="L127" s="87" t="n"/>
      <c r="M127" s="105" t="n"/>
      <c r="N127" s="106" t="n"/>
    </row>
    <row r="128">
      <c r="J128" s="87" t="n"/>
      <c r="L128" s="87" t="n"/>
      <c r="M128" s="105" t="n"/>
      <c r="N128" s="106" t="n"/>
    </row>
    <row r="129">
      <c r="J129" s="87" t="n"/>
      <c r="L129" s="87" t="n"/>
      <c r="M129" s="105" t="n"/>
      <c r="N129" s="106" t="n"/>
    </row>
    <row r="130">
      <c r="J130" s="87" t="n"/>
      <c r="L130" s="87" t="n"/>
      <c r="M130" s="105" t="n"/>
      <c r="N130" s="106" t="n"/>
    </row>
    <row r="131">
      <c r="J131" s="87" t="n"/>
      <c r="L131" s="87" t="n"/>
      <c r="M131" s="105" t="n"/>
      <c r="N131" s="106" t="n"/>
    </row>
    <row r="132">
      <c r="J132" s="87" t="n"/>
      <c r="L132" s="87" t="n"/>
      <c r="M132" s="105" t="n"/>
      <c r="N132" s="106" t="n"/>
    </row>
    <row r="133">
      <c r="J133" s="87" t="n"/>
      <c r="L133" s="87" t="n"/>
      <c r="M133" s="105" t="n"/>
      <c r="N133" s="106" t="n"/>
    </row>
    <row r="134">
      <c r="J134" s="87" t="n"/>
      <c r="L134" s="87" t="n"/>
      <c r="M134" s="105" t="n"/>
      <c r="N134" s="106" t="n"/>
    </row>
    <row r="135">
      <c r="J135" s="87" t="n"/>
      <c r="L135" s="87" t="n"/>
      <c r="M135" s="105" t="n"/>
      <c r="N135" s="106" t="n"/>
    </row>
    <row r="136">
      <c r="J136" s="87" t="n"/>
      <c r="L136" s="87" t="n"/>
      <c r="M136" s="105" t="n"/>
      <c r="N136" s="106" t="n"/>
    </row>
    <row r="137">
      <c r="J137" s="87" t="n"/>
      <c r="L137" s="87" t="n"/>
      <c r="M137" s="105" t="n"/>
      <c r="N137" s="106" t="n"/>
    </row>
    <row r="138">
      <c r="J138" s="87" t="n"/>
      <c r="L138" s="87" t="n"/>
      <c r="M138" s="105" t="n"/>
      <c r="N138" s="106" t="n"/>
    </row>
    <row r="139">
      <c r="J139" s="87" t="n"/>
      <c r="L139" s="87" t="n"/>
      <c r="M139" s="105" t="n"/>
      <c r="N139" s="106" t="n"/>
    </row>
    <row r="140">
      <c r="J140" s="87" t="n"/>
      <c r="L140" s="87" t="n"/>
      <c r="M140" s="105" t="n"/>
      <c r="N140" s="106" t="n"/>
    </row>
    <row r="141">
      <c r="J141" s="87" t="n"/>
      <c r="L141" s="87" t="n"/>
      <c r="M141" s="105" t="n"/>
      <c r="N141" s="106" t="n"/>
    </row>
    <row r="142">
      <c r="J142" s="87" t="n"/>
      <c r="L142" s="87" t="n"/>
      <c r="M142" s="105" t="n"/>
      <c r="N142" s="106" t="n"/>
    </row>
    <row r="143">
      <c r="J143" s="87" t="n"/>
      <c r="L143" s="87" t="n"/>
      <c r="M143" s="105" t="n"/>
      <c r="N143" s="106" t="n"/>
    </row>
    <row r="144">
      <c r="J144" s="87" t="n"/>
      <c r="L144" s="87" t="n"/>
      <c r="M144" s="105" t="n"/>
      <c r="N144" s="106" t="n"/>
    </row>
    <row r="145">
      <c r="J145" s="87" t="n"/>
      <c r="L145" s="87" t="n"/>
      <c r="M145" s="105" t="n"/>
      <c r="N145" s="106" t="n"/>
    </row>
    <row r="146">
      <c r="J146" s="87" t="n"/>
      <c r="L146" s="87" t="n"/>
      <c r="M146" s="105" t="n"/>
      <c r="N146" s="106" t="n"/>
    </row>
    <row r="147">
      <c r="J147" s="87" t="n"/>
      <c r="L147" s="87" t="n"/>
      <c r="M147" s="105" t="n"/>
      <c r="N147" s="106" t="n"/>
    </row>
    <row r="148">
      <c r="J148" s="87" t="n"/>
      <c r="L148" s="87" t="n"/>
      <c r="M148" s="105" t="n"/>
      <c r="N148" s="106" t="n"/>
    </row>
    <row r="149">
      <c r="J149" s="87" t="n"/>
      <c r="L149" s="87" t="n"/>
      <c r="M149" s="105" t="n"/>
      <c r="N149" s="106" t="n"/>
    </row>
    <row r="150">
      <c r="J150" s="87" t="n"/>
      <c r="L150" s="87" t="n"/>
      <c r="M150" s="105" t="n"/>
      <c r="N150" s="106" t="n"/>
    </row>
    <row r="151">
      <c r="J151" s="87" t="n"/>
      <c r="L151" s="87" t="n"/>
      <c r="M151" s="105" t="n"/>
      <c r="N151" s="106" t="n"/>
    </row>
    <row r="152">
      <c r="J152" s="87" t="n"/>
      <c r="L152" s="87" t="n"/>
      <c r="M152" s="105" t="n"/>
      <c r="N152" s="106" t="n"/>
    </row>
    <row r="153">
      <c r="J153" s="87" t="n"/>
      <c r="L153" s="87" t="n"/>
      <c r="M153" s="105" t="n"/>
      <c r="N153" s="106" t="n"/>
    </row>
    <row r="154">
      <c r="J154" s="87" t="n"/>
      <c r="L154" s="87" t="n"/>
      <c r="M154" s="105" t="n"/>
      <c r="N154" s="106" t="n"/>
    </row>
    <row r="155">
      <c r="J155" s="87" t="n"/>
      <c r="L155" s="87" t="n"/>
      <c r="M155" s="105" t="n"/>
      <c r="N155" s="106" t="n"/>
    </row>
    <row r="156">
      <c r="J156" s="87" t="n"/>
      <c r="L156" s="87" t="n"/>
      <c r="M156" s="105" t="n"/>
      <c r="N156" s="106" t="n"/>
    </row>
    <row r="157">
      <c r="J157" s="87" t="n"/>
      <c r="L157" s="87" t="n"/>
      <c r="M157" s="105" t="n"/>
      <c r="N157" s="106" t="n"/>
    </row>
    <row r="158">
      <c r="J158" s="87" t="n"/>
      <c r="L158" s="87" t="n"/>
      <c r="M158" s="105" t="n"/>
      <c r="N158" s="106" t="n"/>
    </row>
    <row r="159">
      <c r="J159" s="87" t="n"/>
      <c r="L159" s="87" t="n"/>
      <c r="M159" s="105" t="n"/>
      <c r="N159" s="106" t="n"/>
    </row>
    <row r="160">
      <c r="J160" s="87" t="n"/>
      <c r="L160" s="87" t="n"/>
      <c r="M160" s="105" t="n"/>
      <c r="N160" s="106" t="n"/>
    </row>
    <row r="161">
      <c r="J161" s="87" t="n"/>
      <c r="L161" s="87" t="n"/>
      <c r="M161" s="105" t="n"/>
      <c r="N161" s="106" t="n"/>
    </row>
    <row r="162">
      <c r="J162" s="87" t="n"/>
      <c r="L162" s="87" t="n"/>
      <c r="M162" s="105" t="n"/>
      <c r="N162" s="106" t="n"/>
    </row>
    <row r="163">
      <c r="J163" s="87" t="n"/>
      <c r="L163" s="87" t="n"/>
      <c r="M163" s="105" t="n"/>
      <c r="N163" s="106" t="n"/>
    </row>
    <row r="164">
      <c r="J164" s="87" t="n"/>
      <c r="L164" s="87" t="n"/>
      <c r="M164" s="105" t="n"/>
      <c r="N164" s="106" t="n"/>
    </row>
    <row r="165">
      <c r="J165" s="87" t="n"/>
      <c r="L165" s="87" t="n"/>
      <c r="M165" s="105" t="n"/>
      <c r="N165" s="106" t="n"/>
    </row>
    <row r="166">
      <c r="J166" s="87" t="n"/>
      <c r="L166" s="87" t="n"/>
      <c r="M166" s="105" t="n"/>
      <c r="N166" s="106" t="n"/>
    </row>
    <row r="167">
      <c r="J167" s="87" t="n"/>
      <c r="L167" s="87" t="n"/>
      <c r="M167" s="105" t="n"/>
      <c r="N167" s="106" t="n"/>
    </row>
    <row r="168">
      <c r="J168" s="87" t="n"/>
      <c r="L168" s="87" t="n"/>
      <c r="M168" s="105" t="n"/>
      <c r="N168" s="106" t="n"/>
    </row>
    <row r="169">
      <c r="J169" s="87" t="n"/>
      <c r="L169" s="87" t="n"/>
      <c r="M169" s="105" t="n"/>
      <c r="N169" s="106" t="n"/>
    </row>
    <row r="170">
      <c r="J170" s="87" t="n"/>
      <c r="L170" s="87" t="n"/>
      <c r="M170" s="105" t="n"/>
      <c r="N170" s="106" t="n"/>
    </row>
    <row r="171">
      <c r="J171" s="87" t="n"/>
      <c r="L171" s="87" t="n"/>
      <c r="M171" s="105" t="n"/>
      <c r="N171" s="106" t="n"/>
    </row>
    <row r="172">
      <c r="J172" s="87" t="n"/>
      <c r="L172" s="87" t="n"/>
      <c r="M172" s="105" t="n"/>
      <c r="N172" s="106" t="n"/>
    </row>
    <row r="173">
      <c r="J173" s="87" t="n"/>
      <c r="L173" s="87" t="n"/>
      <c r="M173" s="105" t="n"/>
      <c r="N173" s="106" t="n"/>
    </row>
    <row r="174">
      <c r="J174" s="87" t="n"/>
      <c r="L174" s="87" t="n"/>
      <c r="M174" s="105" t="n"/>
      <c r="N174" s="106" t="n"/>
    </row>
    <row r="175">
      <c r="J175" s="87" t="n"/>
      <c r="L175" s="87" t="n"/>
      <c r="M175" s="105" t="n"/>
      <c r="N175" s="106" t="n"/>
    </row>
    <row r="176">
      <c r="J176" s="87" t="n"/>
      <c r="L176" s="87" t="n"/>
      <c r="M176" s="105" t="n"/>
      <c r="N176" s="106" t="n"/>
    </row>
    <row r="177">
      <c r="J177" s="87" t="n"/>
      <c r="L177" s="87" t="n"/>
      <c r="M177" s="105" t="n"/>
      <c r="N177" s="106" t="n"/>
    </row>
    <row r="178">
      <c r="J178" s="87" t="n"/>
      <c r="L178" s="87" t="n"/>
      <c r="M178" s="105" t="n"/>
      <c r="N178" s="106" t="n"/>
    </row>
    <row r="179">
      <c r="J179" s="87" t="n"/>
      <c r="L179" s="87" t="n"/>
      <c r="M179" s="105" t="n"/>
      <c r="N179" s="106" t="n"/>
    </row>
    <row r="180">
      <c r="J180" s="87" t="n"/>
      <c r="L180" s="87" t="n"/>
      <c r="M180" s="105" t="n"/>
      <c r="N180" s="106" t="n"/>
    </row>
    <row r="181">
      <c r="J181" s="87" t="n"/>
      <c r="L181" s="87" t="n"/>
      <c r="M181" s="105" t="n"/>
      <c r="N181" s="106" t="n"/>
    </row>
    <row r="182">
      <c r="J182" s="87" t="n"/>
      <c r="L182" s="87" t="n"/>
      <c r="M182" s="105" t="n"/>
      <c r="N182" s="106" t="n"/>
    </row>
    <row r="183">
      <c r="J183" s="87" t="n"/>
      <c r="L183" s="87" t="n"/>
      <c r="M183" s="105" t="n"/>
      <c r="N183" s="106" t="n"/>
    </row>
    <row r="184">
      <c r="J184" s="87" t="n"/>
      <c r="L184" s="87" t="n"/>
      <c r="M184" s="105" t="n"/>
      <c r="N184" s="106" t="n"/>
    </row>
    <row r="185">
      <c r="J185" s="87" t="n"/>
      <c r="L185" s="87" t="n"/>
      <c r="M185" s="105" t="n"/>
      <c r="N185" s="106" t="n"/>
    </row>
    <row r="186">
      <c r="J186" s="87" t="n"/>
      <c r="L186" s="87" t="n"/>
      <c r="M186" s="105" t="n"/>
      <c r="N186" s="106" t="n"/>
    </row>
    <row r="187">
      <c r="J187" s="87" t="n"/>
      <c r="L187" s="87" t="n"/>
      <c r="M187" s="105" t="n"/>
      <c r="N187" s="106" t="n"/>
    </row>
    <row r="188">
      <c r="J188" s="87" t="n"/>
      <c r="L188" s="87" t="n"/>
      <c r="M188" s="105" t="n"/>
      <c r="N188" s="106" t="n"/>
    </row>
    <row r="189">
      <c r="J189" s="87" t="n"/>
      <c r="L189" s="87" t="n"/>
      <c r="M189" s="105" t="n"/>
      <c r="N189" s="106" t="n"/>
    </row>
    <row r="190">
      <c r="J190" s="87" t="n"/>
      <c r="L190" s="87" t="n"/>
      <c r="M190" s="105" t="n"/>
      <c r="N190" s="106" t="n"/>
    </row>
    <row r="191">
      <c r="J191" s="87" t="n"/>
      <c r="L191" s="87" t="n"/>
      <c r="M191" s="105" t="n"/>
      <c r="N191" s="106" t="n"/>
    </row>
    <row r="192">
      <c r="J192" s="87" t="n"/>
      <c r="L192" s="87" t="n"/>
      <c r="M192" s="105" t="n"/>
      <c r="N192" s="106" t="n"/>
    </row>
    <row r="193">
      <c r="J193" s="87" t="n"/>
      <c r="L193" s="87" t="n"/>
      <c r="M193" s="105" t="n"/>
      <c r="N193" s="106" t="n"/>
    </row>
    <row r="194">
      <c r="J194" s="87" t="n"/>
      <c r="L194" s="87" t="n"/>
      <c r="M194" s="105" t="n"/>
      <c r="N194" s="106" t="n"/>
    </row>
    <row r="195">
      <c r="J195" s="87" t="n"/>
      <c r="L195" s="87" t="n"/>
      <c r="M195" s="105" t="n"/>
      <c r="N195" s="106" t="n"/>
    </row>
    <row r="196">
      <c r="J196" s="87" t="n"/>
      <c r="L196" s="87" t="n"/>
      <c r="M196" s="105" t="n"/>
      <c r="N196" s="106" t="n"/>
    </row>
    <row r="197">
      <c r="J197" s="87" t="n"/>
      <c r="L197" s="87" t="n"/>
      <c r="M197" s="105" t="n"/>
      <c r="N197" s="106" t="n"/>
    </row>
    <row r="198">
      <c r="J198" s="87" t="n"/>
      <c r="L198" s="87" t="n"/>
      <c r="M198" s="105" t="n"/>
      <c r="N198" s="106" t="n"/>
    </row>
    <row r="199">
      <c r="J199" s="87" t="n"/>
      <c r="L199" s="87" t="n"/>
      <c r="M199" s="105" t="n"/>
      <c r="N199" s="106" t="n"/>
    </row>
    <row r="200">
      <c r="J200" s="87" t="n"/>
      <c r="L200" s="87" t="n"/>
      <c r="M200" s="105" t="n"/>
      <c r="N200" s="106" t="n"/>
    </row>
    <row r="201">
      <c r="J201" s="87" t="n"/>
      <c r="L201" s="87" t="n"/>
      <c r="M201" s="105" t="n"/>
      <c r="N201" s="106" t="n"/>
    </row>
    <row r="202">
      <c r="J202" s="87" t="n"/>
      <c r="L202" s="87" t="n"/>
      <c r="M202" s="105" t="n"/>
      <c r="N202" s="106" t="n"/>
    </row>
    <row r="203">
      <c r="J203" s="87" t="n"/>
      <c r="L203" s="87" t="n"/>
      <c r="M203" s="105" t="n"/>
      <c r="N203" s="106" t="n"/>
    </row>
    <row r="204">
      <c r="J204" s="87" t="n"/>
      <c r="L204" s="87" t="n"/>
      <c r="M204" s="105" t="n"/>
      <c r="N204" s="106" t="n"/>
    </row>
    <row r="205">
      <c r="J205" s="87" t="n"/>
      <c r="L205" s="87" t="n"/>
      <c r="M205" s="105" t="n"/>
      <c r="N205" s="106" t="n"/>
    </row>
    <row r="206">
      <c r="J206" s="87" t="n"/>
      <c r="L206" s="87" t="n"/>
      <c r="M206" s="105" t="n"/>
      <c r="N206" s="106" t="n"/>
    </row>
    <row r="207">
      <c r="J207" s="87" t="n"/>
      <c r="L207" s="87" t="n"/>
      <c r="M207" s="105" t="n"/>
      <c r="N207" s="106" t="n"/>
    </row>
    <row r="208">
      <c r="J208" s="87" t="n"/>
      <c r="L208" s="87" t="n"/>
      <c r="M208" s="105" t="n"/>
      <c r="N208" s="106" t="n"/>
    </row>
    <row r="209">
      <c r="J209" s="87" t="n"/>
      <c r="L209" s="87" t="n"/>
      <c r="M209" s="105" t="n"/>
      <c r="N209" s="106" t="n"/>
    </row>
    <row r="210">
      <c r="J210" s="87" t="n"/>
      <c r="L210" s="87" t="n"/>
      <c r="M210" s="105" t="n"/>
      <c r="N210" s="106" t="n"/>
    </row>
    <row r="211">
      <c r="J211" s="87" t="n"/>
      <c r="L211" s="87" t="n"/>
      <c r="M211" s="105" t="n"/>
      <c r="N211" s="106" t="n"/>
    </row>
    <row r="212">
      <c r="J212" s="87" t="n"/>
      <c r="L212" s="87" t="n"/>
      <c r="M212" s="105" t="n"/>
      <c r="N212" s="106" t="n"/>
    </row>
    <row r="213">
      <c r="J213" s="87" t="n"/>
      <c r="L213" s="87" t="n"/>
      <c r="M213" s="105" t="n"/>
      <c r="N213" s="106" t="n"/>
    </row>
    <row r="214">
      <c r="J214" s="87" t="n"/>
      <c r="L214" s="87" t="n"/>
      <c r="M214" s="105" t="n"/>
      <c r="N214" s="106" t="n"/>
    </row>
    <row r="215">
      <c r="J215" s="87" t="n"/>
      <c r="L215" s="87" t="n"/>
      <c r="M215" s="105" t="n"/>
      <c r="N215" s="106" t="n"/>
    </row>
    <row r="216">
      <c r="J216" s="87" t="n"/>
      <c r="L216" s="87" t="n"/>
      <c r="M216" s="105" t="n"/>
      <c r="N216" s="106" t="n"/>
    </row>
    <row r="217">
      <c r="J217" s="87" t="n"/>
      <c r="L217" s="87" t="n"/>
      <c r="M217" s="105" t="n"/>
      <c r="N217" s="106" t="n"/>
    </row>
    <row r="218">
      <c r="J218" s="87" t="n"/>
      <c r="L218" s="87" t="n"/>
      <c r="M218" s="105" t="n"/>
      <c r="N218" s="106" t="n"/>
    </row>
    <row r="219">
      <c r="J219" s="87" t="n"/>
      <c r="L219" s="87" t="n"/>
      <c r="M219" s="105" t="n"/>
      <c r="N219" s="106" t="n"/>
    </row>
    <row r="220">
      <c r="J220" s="87" t="n"/>
      <c r="L220" s="87" t="n"/>
      <c r="M220" s="105" t="n"/>
      <c r="N220" s="106" t="n"/>
    </row>
    <row r="221">
      <c r="J221" s="87" t="n"/>
      <c r="L221" s="87" t="n"/>
      <c r="M221" s="105" t="n"/>
      <c r="N221" s="106" t="n"/>
    </row>
    <row r="222">
      <c r="J222" s="87" t="n"/>
      <c r="L222" s="87" t="n"/>
      <c r="M222" s="105" t="n"/>
      <c r="N222" s="106" t="n"/>
    </row>
    <row r="223">
      <c r="J223" s="87" t="n"/>
      <c r="L223" s="87" t="n"/>
      <c r="M223" s="105" t="n"/>
      <c r="N223" s="106" t="n"/>
    </row>
    <row r="224">
      <c r="J224" s="87" t="n"/>
      <c r="L224" s="87" t="n"/>
      <c r="M224" s="105" t="n"/>
      <c r="N224" s="106" t="n"/>
    </row>
    <row r="225">
      <c r="J225" s="87" t="n"/>
      <c r="L225" s="87" t="n"/>
      <c r="M225" s="105" t="n"/>
      <c r="N225" s="106" t="n"/>
    </row>
    <row r="226">
      <c r="J226" s="87" t="n"/>
      <c r="L226" s="87" t="n"/>
      <c r="M226" s="105" t="n"/>
      <c r="N226" s="106" t="n"/>
    </row>
    <row r="227">
      <c r="J227" s="87" t="n"/>
      <c r="L227" s="87" t="n"/>
      <c r="M227" s="105" t="n"/>
      <c r="N227" s="106" t="n"/>
    </row>
    <row r="228">
      <c r="J228" s="87" t="n"/>
      <c r="L228" s="87" t="n"/>
      <c r="M228" s="105" t="n"/>
      <c r="N228" s="106" t="n"/>
    </row>
    <row r="229">
      <c r="J229" s="87" t="n"/>
      <c r="L229" s="87" t="n"/>
      <c r="M229" s="105" t="n"/>
      <c r="N229" s="106" t="n"/>
    </row>
    <row r="230">
      <c r="J230" s="87" t="n"/>
      <c r="L230" s="87" t="n"/>
      <c r="M230" s="105" t="n"/>
      <c r="N230" s="106" t="n"/>
    </row>
    <row r="231">
      <c r="J231" s="87" t="n"/>
      <c r="L231" s="87" t="n"/>
      <c r="M231" s="105" t="n"/>
      <c r="N231" s="106" t="n"/>
    </row>
    <row r="232">
      <c r="J232" s="87" t="n"/>
      <c r="L232" s="87" t="n"/>
      <c r="M232" s="105" t="n"/>
      <c r="N232" s="106" t="n"/>
    </row>
    <row r="233">
      <c r="J233" s="87" t="n"/>
      <c r="L233" s="87" t="n"/>
      <c r="M233" s="105" t="n"/>
      <c r="N233" s="106" t="n"/>
    </row>
    <row r="234">
      <c r="J234" s="87" t="n"/>
      <c r="L234" s="87" t="n"/>
      <c r="M234" s="105" t="n"/>
      <c r="N234" s="106" t="n"/>
    </row>
    <row r="235">
      <c r="J235" s="87" t="n"/>
      <c r="L235" s="87" t="n"/>
      <c r="M235" s="105" t="n"/>
      <c r="N235" s="106" t="n"/>
    </row>
    <row r="236">
      <c r="J236" s="87" t="n"/>
      <c r="L236" s="87" t="n"/>
      <c r="M236" s="105" t="n"/>
      <c r="N236" s="106" t="n"/>
    </row>
    <row r="237">
      <c r="J237" s="87" t="n"/>
      <c r="L237" s="87" t="n"/>
      <c r="M237" s="105" t="n"/>
      <c r="N237" s="106" t="n"/>
    </row>
    <row r="238">
      <c r="J238" s="87" t="n"/>
      <c r="L238" s="87" t="n"/>
      <c r="M238" s="105" t="n"/>
      <c r="N238" s="106" t="n"/>
    </row>
    <row r="239">
      <c r="J239" s="87" t="n"/>
      <c r="L239" s="87" t="n"/>
      <c r="M239" s="105" t="n"/>
      <c r="N239" s="106" t="n"/>
    </row>
    <row r="240">
      <c r="J240" s="87" t="n"/>
      <c r="L240" s="87" t="n"/>
      <c r="M240" s="105" t="n"/>
      <c r="N240" s="106" t="n"/>
    </row>
    <row r="241">
      <c r="J241" s="87" t="n"/>
      <c r="L241" s="87" t="n"/>
      <c r="M241" s="105" t="n"/>
      <c r="N241" s="106" t="n"/>
    </row>
    <row r="242">
      <c r="J242" s="87" t="n"/>
      <c r="L242" s="87" t="n"/>
      <c r="M242" s="105" t="n"/>
      <c r="N242" s="106" t="n"/>
    </row>
    <row r="243">
      <c r="J243" s="87" t="n"/>
      <c r="L243" s="87" t="n"/>
      <c r="M243" s="105" t="n"/>
      <c r="N243" s="106" t="n"/>
    </row>
    <row r="244">
      <c r="J244" s="87" t="n"/>
      <c r="L244" s="87" t="n"/>
      <c r="M244" s="105" t="n"/>
      <c r="N244" s="106" t="n"/>
    </row>
    <row r="245">
      <c r="J245" s="87" t="n"/>
      <c r="L245" s="87" t="n"/>
      <c r="M245" s="105" t="n"/>
      <c r="N245" s="106" t="n"/>
    </row>
    <row r="246">
      <c r="J246" s="87" t="n"/>
      <c r="L246" s="87" t="n"/>
      <c r="M246" s="105" t="n"/>
      <c r="N246" s="106" t="n"/>
    </row>
    <row r="247">
      <c r="J247" s="87" t="n"/>
      <c r="L247" s="87" t="n"/>
      <c r="M247" s="105" t="n"/>
      <c r="N247" s="106" t="n"/>
    </row>
    <row r="248">
      <c r="J248" s="87" t="n"/>
      <c r="L248" s="87" t="n"/>
      <c r="M248" s="105" t="n"/>
      <c r="N248" s="106" t="n"/>
    </row>
    <row r="249">
      <c r="J249" s="87" t="n"/>
      <c r="L249" s="87" t="n"/>
      <c r="M249" s="105" t="n"/>
      <c r="N249" s="106" t="n"/>
    </row>
    <row r="250">
      <c r="J250" s="87" t="n"/>
      <c r="L250" s="87" t="n"/>
      <c r="M250" s="105" t="n"/>
      <c r="N250" s="106" t="n"/>
    </row>
    <row r="251">
      <c r="J251" s="87" t="n"/>
      <c r="L251" s="87" t="n"/>
      <c r="M251" s="105" t="n"/>
      <c r="N251" s="106" t="n"/>
    </row>
    <row r="252">
      <c r="J252" s="87" t="n"/>
      <c r="L252" s="87" t="n"/>
      <c r="M252" s="105" t="n"/>
      <c r="N252" s="106" t="n"/>
    </row>
    <row r="253">
      <c r="J253" s="87" t="n"/>
      <c r="L253" s="87" t="n"/>
      <c r="M253" s="105" t="n"/>
      <c r="N253" s="106" t="n"/>
    </row>
    <row r="254">
      <c r="J254" s="87" t="n"/>
      <c r="L254" s="87" t="n"/>
      <c r="M254" s="105" t="n"/>
      <c r="N254" s="106" t="n"/>
    </row>
    <row r="255">
      <c r="J255" s="87" t="n"/>
      <c r="L255" s="87" t="n"/>
      <c r="M255" s="105" t="n"/>
      <c r="N255" s="106" t="n"/>
    </row>
    <row r="256">
      <c r="J256" s="87" t="n"/>
      <c r="L256" s="87" t="n"/>
      <c r="M256" s="105" t="n"/>
      <c r="N256" s="106" t="n"/>
    </row>
    <row r="257">
      <c r="J257" s="87" t="n"/>
      <c r="L257" s="87" t="n"/>
      <c r="M257" s="105" t="n"/>
      <c r="N257" s="106" t="n"/>
    </row>
    <row r="258">
      <c r="J258" s="87" t="n"/>
      <c r="L258" s="87" t="n"/>
      <c r="M258" s="105" t="n"/>
      <c r="N258" s="106" t="n"/>
    </row>
    <row r="259">
      <c r="J259" s="87" t="n"/>
      <c r="L259" s="87" t="n"/>
      <c r="M259" s="105" t="n"/>
      <c r="N259" s="106" t="n"/>
    </row>
    <row r="260">
      <c r="J260" s="87" t="n"/>
      <c r="L260" s="87" t="n"/>
      <c r="M260" s="105" t="n"/>
      <c r="N260" s="106" t="n"/>
    </row>
    <row r="261">
      <c r="J261" s="87" t="n"/>
      <c r="L261" s="87" t="n"/>
      <c r="M261" s="105" t="n"/>
      <c r="N261" s="106" t="n"/>
    </row>
    <row r="262">
      <c r="J262" s="87" t="n"/>
      <c r="L262" s="87" t="n"/>
      <c r="M262" s="105" t="n"/>
      <c r="N262" s="106" t="n"/>
    </row>
    <row r="263">
      <c r="J263" s="87" t="n"/>
      <c r="L263" s="87" t="n"/>
      <c r="M263" s="105" t="n"/>
      <c r="N263" s="106" t="n"/>
    </row>
    <row r="264">
      <c r="J264" s="87" t="n"/>
      <c r="L264" s="87" t="n"/>
      <c r="M264" s="105" t="n"/>
      <c r="N264" s="106" t="n"/>
    </row>
    <row r="265">
      <c r="J265" s="87" t="n"/>
      <c r="L265" s="87" t="n"/>
      <c r="M265" s="105" t="n"/>
      <c r="N265" s="106" t="n"/>
    </row>
    <row r="266">
      <c r="J266" s="87" t="n"/>
      <c r="L266" s="87" t="n"/>
      <c r="M266" s="105" t="n"/>
      <c r="N266" s="106" t="n"/>
    </row>
    <row r="267">
      <c r="J267" s="87" t="n"/>
      <c r="L267" s="87" t="n"/>
      <c r="M267" s="105" t="n"/>
      <c r="N267" s="106" t="n"/>
    </row>
    <row r="268">
      <c r="J268" s="87" t="n"/>
      <c r="L268" s="87" t="n"/>
      <c r="M268" s="105" t="n"/>
      <c r="N268" s="106" t="n"/>
    </row>
    <row r="269">
      <c r="J269" s="87" t="n"/>
      <c r="L269" s="87" t="n"/>
      <c r="M269" s="105" t="n"/>
      <c r="N269" s="106" t="n"/>
    </row>
    <row r="270">
      <c r="J270" s="87" t="n"/>
      <c r="L270" s="87" t="n"/>
      <c r="M270" s="105" t="n"/>
      <c r="N270" s="106" t="n"/>
    </row>
    <row r="271">
      <c r="J271" s="87" t="n"/>
      <c r="L271" s="87" t="n"/>
      <c r="M271" s="105" t="n"/>
      <c r="N271" s="106" t="n"/>
    </row>
    <row r="272">
      <c r="J272" s="87" t="n"/>
      <c r="L272" s="87" t="n"/>
      <c r="M272" s="105" t="n"/>
      <c r="N272" s="106" t="n"/>
    </row>
    <row r="273">
      <c r="J273" s="87" t="n"/>
      <c r="L273" s="87" t="n"/>
      <c r="M273" s="105" t="n"/>
      <c r="N273" s="106" t="n"/>
    </row>
    <row r="274">
      <c r="J274" s="87" t="n"/>
      <c r="L274" s="87" t="n"/>
      <c r="M274" s="105" t="n"/>
      <c r="N274" s="106" t="n"/>
    </row>
    <row r="275">
      <c r="J275" s="87" t="n"/>
      <c r="L275" s="87" t="n"/>
      <c r="M275" s="105" t="n"/>
      <c r="N275" s="106" t="n"/>
    </row>
    <row r="276">
      <c r="J276" s="87" t="n"/>
      <c r="L276" s="87" t="n"/>
      <c r="M276" s="105" t="n"/>
      <c r="N276" s="106" t="n"/>
    </row>
    <row r="277">
      <c r="J277" s="87" t="n"/>
      <c r="L277" s="87" t="n"/>
      <c r="M277" s="105" t="n"/>
      <c r="N277" s="106" t="n"/>
    </row>
    <row r="278">
      <c r="J278" s="87" t="n"/>
      <c r="L278" s="87" t="n"/>
      <c r="M278" s="105" t="n"/>
      <c r="N278" s="106" t="n"/>
    </row>
    <row r="279">
      <c r="J279" s="87" t="n"/>
      <c r="L279" s="87" t="n"/>
      <c r="M279" s="105" t="n"/>
      <c r="N279" s="106" t="n"/>
    </row>
    <row r="280">
      <c r="J280" s="87" t="n"/>
      <c r="L280" s="87" t="n"/>
      <c r="M280" s="105" t="n"/>
      <c r="N280" s="106" t="n"/>
    </row>
    <row r="281">
      <c r="J281" s="87" t="n"/>
      <c r="L281" s="87" t="n"/>
      <c r="M281" s="105" t="n"/>
      <c r="N281" s="106" t="n"/>
    </row>
    <row r="282">
      <c r="J282" s="87" t="n"/>
      <c r="L282" s="87" t="n"/>
      <c r="M282" s="105" t="n"/>
      <c r="N282" s="106" t="n"/>
    </row>
    <row r="283">
      <c r="J283" s="87" t="n"/>
      <c r="L283" s="87" t="n"/>
      <c r="M283" s="105" t="n"/>
      <c r="N283" s="106" t="n"/>
    </row>
    <row r="284">
      <c r="J284" s="87" t="n"/>
      <c r="L284" s="87" t="n"/>
      <c r="M284" s="105" t="n"/>
      <c r="N284" s="106" t="n"/>
    </row>
    <row r="285">
      <c r="J285" s="87" t="n"/>
      <c r="L285" s="87" t="n"/>
      <c r="M285" s="105" t="n"/>
      <c r="N285" s="106" t="n"/>
    </row>
    <row r="286">
      <c r="J286" s="87" t="n"/>
      <c r="L286" s="87" t="n"/>
      <c r="M286" s="105" t="n"/>
      <c r="N286" s="106" t="n"/>
    </row>
    <row r="287">
      <c r="J287" s="87" t="n"/>
      <c r="L287" s="87" t="n"/>
      <c r="M287" s="105" t="n"/>
      <c r="N287" s="106" t="n"/>
    </row>
    <row r="288">
      <c r="J288" s="87" t="n"/>
      <c r="L288" s="87" t="n"/>
      <c r="M288" s="105" t="n"/>
      <c r="N288" s="106" t="n"/>
    </row>
    <row r="289">
      <c r="J289" s="87" t="n"/>
      <c r="L289" s="87" t="n"/>
      <c r="M289" s="105" t="n"/>
      <c r="N289" s="106" t="n"/>
    </row>
    <row r="290">
      <c r="J290" s="87" t="n"/>
      <c r="L290" s="87" t="n"/>
      <c r="M290" s="105" t="n"/>
      <c r="N290" s="106" t="n"/>
    </row>
    <row r="291">
      <c r="J291" s="87" t="n"/>
      <c r="L291" s="87" t="n"/>
      <c r="M291" s="105" t="n"/>
      <c r="N291" s="106" t="n"/>
    </row>
    <row r="292">
      <c r="J292" s="87" t="n"/>
      <c r="L292" s="87" t="n"/>
      <c r="M292" s="105" t="n"/>
      <c r="N292" s="106" t="n"/>
    </row>
    <row r="293">
      <c r="J293" s="87" t="n"/>
      <c r="L293" s="87" t="n"/>
      <c r="M293" s="105" t="n"/>
      <c r="N293" s="106" t="n"/>
    </row>
    <row r="294">
      <c r="J294" s="87" t="n"/>
      <c r="L294" s="87" t="n"/>
      <c r="M294" s="105" t="n"/>
      <c r="N294" s="106" t="n"/>
    </row>
    <row r="295">
      <c r="J295" s="87" t="n"/>
      <c r="L295" s="87" t="n"/>
      <c r="M295" s="105" t="n"/>
      <c r="N295" s="106" t="n"/>
    </row>
    <row r="296">
      <c r="J296" s="87" t="n"/>
      <c r="L296" s="87" t="n"/>
      <c r="M296" s="105" t="n"/>
      <c r="N296" s="106" t="n"/>
    </row>
    <row r="297">
      <c r="J297" s="87" t="n"/>
      <c r="L297" s="87" t="n"/>
      <c r="M297" s="105" t="n"/>
      <c r="N297" s="106" t="n"/>
    </row>
    <row r="298">
      <c r="J298" s="87" t="n"/>
      <c r="L298" s="87" t="n"/>
      <c r="M298" s="105" t="n"/>
      <c r="N298" s="106" t="n"/>
    </row>
    <row r="299">
      <c r="J299" s="87" t="n"/>
      <c r="L299" s="87" t="n"/>
      <c r="M299" s="105" t="n"/>
      <c r="N299" s="106" t="n"/>
    </row>
    <row r="300">
      <c r="J300" s="87" t="n"/>
      <c r="L300" s="87" t="n"/>
      <c r="M300" s="105" t="n"/>
      <c r="N300" s="106" t="n"/>
    </row>
    <row r="301">
      <c r="J301" s="87" t="n"/>
      <c r="L301" s="87" t="n"/>
      <c r="M301" s="105" t="n"/>
      <c r="N301" s="106" t="n"/>
    </row>
    <row r="302">
      <c r="J302" s="87" t="n"/>
      <c r="L302" s="87" t="n"/>
      <c r="M302" s="105" t="n"/>
      <c r="N302" s="106" t="n"/>
    </row>
    <row r="303">
      <c r="J303" s="87" t="n"/>
      <c r="L303" s="87" t="n"/>
      <c r="M303" s="105" t="n"/>
      <c r="N303" s="106" t="n"/>
    </row>
    <row r="304">
      <c r="J304" s="87" t="n"/>
      <c r="L304" s="87" t="n"/>
      <c r="M304" s="105" t="n"/>
      <c r="N304" s="106" t="n"/>
    </row>
    <row r="305">
      <c r="J305" s="87" t="n"/>
      <c r="L305" s="87" t="n"/>
      <c r="M305" s="105" t="n"/>
      <c r="N305" s="106" t="n"/>
    </row>
    <row r="306">
      <c r="J306" s="87" t="n"/>
      <c r="L306" s="87" t="n"/>
      <c r="M306" s="105" t="n"/>
      <c r="N306" s="106" t="n"/>
    </row>
    <row r="307">
      <c r="J307" s="87" t="n"/>
      <c r="L307" s="87" t="n"/>
      <c r="M307" s="105" t="n"/>
      <c r="N307" s="106" t="n"/>
    </row>
    <row r="308">
      <c r="J308" s="87" t="n"/>
      <c r="L308" s="87" t="n"/>
      <c r="M308" s="105" t="n"/>
      <c r="N308" s="106" t="n"/>
    </row>
    <row r="309">
      <c r="J309" s="87" t="n"/>
      <c r="L309" s="87" t="n"/>
      <c r="M309" s="105" t="n"/>
      <c r="N309" s="106" t="n"/>
    </row>
    <row r="310">
      <c r="J310" s="87" t="n"/>
      <c r="L310" s="87" t="n"/>
      <c r="M310" s="105" t="n"/>
      <c r="N310" s="106" t="n"/>
    </row>
    <row r="311">
      <c r="J311" s="87" t="n"/>
      <c r="L311" s="87" t="n"/>
      <c r="M311" s="105" t="n"/>
      <c r="N311" s="106" t="n"/>
    </row>
    <row r="312">
      <c r="J312" s="87" t="n"/>
      <c r="L312" s="87" t="n"/>
      <c r="M312" s="105" t="n"/>
      <c r="N312" s="106" t="n"/>
    </row>
    <row r="313">
      <c r="J313" s="87" t="n"/>
      <c r="L313" s="87" t="n"/>
      <c r="M313" s="105" t="n"/>
      <c r="N313" s="106" t="n"/>
    </row>
    <row r="314">
      <c r="J314" s="87" t="n"/>
      <c r="L314" s="87" t="n"/>
      <c r="M314" s="105" t="n"/>
      <c r="N314" s="106" t="n"/>
    </row>
    <row r="315">
      <c r="J315" s="87" t="n"/>
      <c r="L315" s="87" t="n"/>
      <c r="M315" s="105" t="n"/>
      <c r="N315" s="106" t="n"/>
    </row>
    <row r="316">
      <c r="J316" s="87" t="n"/>
      <c r="L316" s="87" t="n"/>
      <c r="M316" s="105" t="n"/>
      <c r="N316" s="106" t="n"/>
    </row>
    <row r="317">
      <c r="J317" s="87" t="n"/>
      <c r="L317" s="87" t="n"/>
      <c r="M317" s="105" t="n"/>
      <c r="N317" s="106" t="n"/>
    </row>
    <row r="318">
      <c r="J318" s="87" t="n"/>
      <c r="L318" s="87" t="n"/>
      <c r="M318" s="105" t="n"/>
      <c r="N318" s="106" t="n"/>
    </row>
    <row r="319">
      <c r="J319" s="87" t="n"/>
      <c r="L319" s="87" t="n"/>
      <c r="M319" s="105" t="n"/>
      <c r="N319" s="106" t="n"/>
    </row>
    <row r="320">
      <c r="J320" s="87" t="n"/>
      <c r="L320" s="87" t="n"/>
      <c r="M320" s="105" t="n"/>
      <c r="N320" s="106" t="n"/>
    </row>
    <row r="321">
      <c r="J321" s="87" t="n"/>
      <c r="L321" s="87" t="n"/>
      <c r="M321" s="105" t="n"/>
      <c r="N321" s="106" t="n"/>
    </row>
    <row r="322">
      <c r="J322" s="87" t="n"/>
      <c r="L322" s="87" t="n"/>
      <c r="M322" s="105" t="n"/>
      <c r="N322" s="106" t="n"/>
    </row>
    <row r="323">
      <c r="J323" s="87" t="n"/>
      <c r="L323" s="87" t="n"/>
      <c r="M323" s="105" t="n"/>
      <c r="N323" s="106" t="n"/>
    </row>
    <row r="324">
      <c r="J324" s="87" t="n"/>
      <c r="L324" s="87" t="n"/>
      <c r="M324" s="105" t="n"/>
      <c r="N324" s="106" t="n"/>
    </row>
    <row r="325">
      <c r="J325" s="87" t="n"/>
      <c r="L325" s="87" t="n"/>
      <c r="M325" s="105" t="n"/>
      <c r="N325" s="106" t="n"/>
    </row>
    <row r="326">
      <c r="J326" s="87" t="n"/>
      <c r="L326" s="87" t="n"/>
      <c r="M326" s="105" t="n"/>
      <c r="N326" s="106" t="n"/>
    </row>
    <row r="327">
      <c r="J327" s="87" t="n"/>
      <c r="L327" s="87" t="n"/>
      <c r="M327" s="105" t="n"/>
      <c r="N327" s="106" t="n"/>
    </row>
    <row r="328">
      <c r="J328" s="87" t="n"/>
      <c r="L328" s="87" t="n"/>
      <c r="M328" s="105" t="n"/>
      <c r="N328" s="106" t="n"/>
    </row>
    <row r="329">
      <c r="J329" s="87" t="n"/>
      <c r="L329" s="87" t="n"/>
      <c r="M329" s="105" t="n"/>
      <c r="N329" s="106" t="n"/>
    </row>
    <row r="330">
      <c r="J330" s="87" t="n"/>
      <c r="L330" s="87" t="n"/>
      <c r="M330" s="105" t="n"/>
      <c r="N330" s="106" t="n"/>
    </row>
    <row r="331">
      <c r="J331" s="87" t="n"/>
      <c r="L331" s="87" t="n"/>
      <c r="M331" s="105" t="n"/>
      <c r="N331" s="106" t="n"/>
    </row>
    <row r="332">
      <c r="J332" s="87" t="n"/>
      <c r="L332" s="87" t="n"/>
      <c r="M332" s="105" t="n"/>
      <c r="N332" s="106" t="n"/>
    </row>
    <row r="333">
      <c r="J333" s="87" t="n"/>
      <c r="L333" s="87" t="n"/>
      <c r="M333" s="105" t="n"/>
      <c r="N333" s="106" t="n"/>
    </row>
    <row r="334">
      <c r="J334" s="87" t="n"/>
      <c r="L334" s="87" t="n"/>
      <c r="M334" s="105" t="n"/>
      <c r="N334" s="106" t="n"/>
    </row>
    <row r="335">
      <c r="J335" s="87" t="n"/>
      <c r="L335" s="87" t="n"/>
      <c r="M335" s="105" t="n"/>
      <c r="N335" s="106" t="n"/>
    </row>
    <row r="336">
      <c r="J336" s="87" t="n"/>
      <c r="L336" s="87" t="n"/>
      <c r="M336" s="105" t="n"/>
      <c r="N336" s="106" t="n"/>
    </row>
    <row r="337">
      <c r="J337" s="87" t="n"/>
      <c r="L337" s="87" t="n"/>
      <c r="M337" s="105" t="n"/>
      <c r="N337" s="106" t="n"/>
    </row>
    <row r="338">
      <c r="J338" s="87" t="n"/>
      <c r="L338" s="87" t="n"/>
      <c r="M338" s="105" t="n"/>
      <c r="N338" s="106" t="n"/>
    </row>
    <row r="339">
      <c r="J339" s="87" t="n"/>
      <c r="L339" s="87" t="n"/>
      <c r="M339" s="105" t="n"/>
      <c r="N339" s="106" t="n"/>
    </row>
    <row r="340">
      <c r="J340" s="87" t="n"/>
      <c r="L340" s="87" t="n"/>
      <c r="M340" s="105" t="n"/>
      <c r="N340" s="106" t="n"/>
    </row>
    <row r="341">
      <c r="J341" s="87" t="n"/>
      <c r="L341" s="87" t="n"/>
      <c r="M341" s="105" t="n"/>
      <c r="N341" s="106" t="n"/>
    </row>
    <row r="342">
      <c r="J342" s="87" t="n"/>
      <c r="L342" s="87" t="n"/>
      <c r="M342" s="105" t="n"/>
      <c r="N342" s="106" t="n"/>
    </row>
    <row r="343">
      <c r="J343" s="87" t="n"/>
      <c r="L343" s="87" t="n"/>
      <c r="M343" s="105" t="n"/>
      <c r="N343" s="106" t="n"/>
    </row>
    <row r="344">
      <c r="J344" s="87" t="n"/>
      <c r="L344" s="87" t="n"/>
      <c r="M344" s="105" t="n"/>
      <c r="N344" s="106" t="n"/>
    </row>
    <row r="345">
      <c r="J345" s="87" t="n"/>
      <c r="L345" s="87" t="n"/>
      <c r="M345" s="105" t="n"/>
      <c r="N345" s="106" t="n"/>
    </row>
    <row r="346">
      <c r="J346" s="87" t="n"/>
      <c r="L346" s="87" t="n"/>
      <c r="M346" s="105" t="n"/>
      <c r="N346" s="106" t="n"/>
    </row>
    <row r="347">
      <c r="J347" s="87" t="n"/>
      <c r="L347" s="87" t="n"/>
      <c r="M347" s="105" t="n"/>
      <c r="N347" s="106" t="n"/>
    </row>
    <row r="348">
      <c r="J348" s="87" t="n"/>
      <c r="L348" s="87" t="n"/>
      <c r="M348" s="105" t="n"/>
      <c r="N348" s="106" t="n"/>
    </row>
    <row r="349">
      <c r="J349" s="87" t="n"/>
      <c r="L349" s="87" t="n"/>
      <c r="M349" s="105" t="n"/>
      <c r="N349" s="106" t="n"/>
    </row>
    <row r="350">
      <c r="J350" s="87" t="n"/>
      <c r="L350" s="87" t="n"/>
      <c r="M350" s="105" t="n"/>
      <c r="N350" s="106" t="n"/>
    </row>
    <row r="351">
      <c r="J351" s="87" t="n"/>
      <c r="L351" s="87" t="n"/>
      <c r="M351" s="105" t="n"/>
      <c r="N351" s="106" t="n"/>
    </row>
    <row r="352">
      <c r="J352" s="87" t="n"/>
      <c r="L352" s="87" t="n"/>
      <c r="M352" s="105" t="n"/>
      <c r="N352" s="106" t="n"/>
    </row>
    <row r="353">
      <c r="J353" s="87" t="n"/>
      <c r="L353" s="87" t="n"/>
      <c r="M353" s="105" t="n"/>
      <c r="N353" s="106" t="n"/>
    </row>
    <row r="354">
      <c r="J354" s="87" t="n"/>
      <c r="L354" s="87" t="n"/>
      <c r="M354" s="105" t="n"/>
      <c r="N354" s="106" t="n"/>
    </row>
    <row r="355">
      <c r="J355" s="87" t="n"/>
      <c r="L355" s="87" t="n"/>
      <c r="M355" s="105" t="n"/>
      <c r="N355" s="106" t="n"/>
    </row>
    <row r="356">
      <c r="J356" s="87" t="n"/>
      <c r="L356" s="87" t="n"/>
      <c r="M356" s="105" t="n"/>
      <c r="N356" s="106" t="n"/>
    </row>
    <row r="357">
      <c r="J357" s="87" t="n"/>
      <c r="L357" s="87" t="n"/>
      <c r="M357" s="105" t="n"/>
      <c r="N357" s="106" t="n"/>
    </row>
    <row r="358">
      <c r="J358" s="87" t="n"/>
      <c r="L358" s="87" t="n"/>
      <c r="M358" s="105" t="n"/>
      <c r="N358" s="106" t="n"/>
    </row>
    <row r="359">
      <c r="J359" s="87" t="n"/>
      <c r="L359" s="87" t="n"/>
      <c r="M359" s="105" t="n"/>
      <c r="N359" s="106" t="n"/>
    </row>
    <row r="360">
      <c r="J360" s="87" t="n"/>
      <c r="L360" s="87" t="n"/>
      <c r="M360" s="105" t="n"/>
      <c r="N360" s="106" t="n"/>
    </row>
    <row r="361">
      <c r="J361" s="87" t="n"/>
      <c r="L361" s="87" t="n"/>
      <c r="M361" s="105" t="n"/>
      <c r="N361" s="106" t="n"/>
    </row>
    <row r="362">
      <c r="J362" s="87" t="n"/>
      <c r="L362" s="87" t="n"/>
      <c r="M362" s="105" t="n"/>
      <c r="N362" s="106" t="n"/>
    </row>
    <row r="363">
      <c r="J363" s="87" t="n"/>
      <c r="L363" s="87" t="n"/>
      <c r="M363" s="105" t="n"/>
      <c r="N363" s="106" t="n"/>
    </row>
    <row r="364">
      <c r="J364" s="87" t="n"/>
      <c r="L364" s="87" t="n"/>
      <c r="M364" s="105" t="n"/>
      <c r="N364" s="106" t="n"/>
    </row>
    <row r="365">
      <c r="J365" s="87" t="n"/>
      <c r="L365" s="87" t="n"/>
      <c r="M365" s="105" t="n"/>
      <c r="N365" s="106" t="n"/>
    </row>
    <row r="366">
      <c r="J366" s="87" t="n"/>
      <c r="L366" s="87" t="n"/>
      <c r="M366" s="105" t="n"/>
      <c r="N366" s="106" t="n"/>
    </row>
    <row r="367">
      <c r="J367" s="87" t="n"/>
      <c r="L367" s="87" t="n"/>
      <c r="M367" s="105" t="n"/>
      <c r="N367" s="106" t="n"/>
    </row>
    <row r="368">
      <c r="J368" s="87" t="n"/>
      <c r="L368" s="87" t="n"/>
      <c r="M368" s="105" t="n"/>
      <c r="N368" s="106" t="n"/>
    </row>
    <row r="369">
      <c r="J369" s="87" t="n"/>
      <c r="L369" s="87" t="n"/>
      <c r="M369" s="105" t="n"/>
      <c r="N369" s="106" t="n"/>
    </row>
    <row r="370">
      <c r="J370" s="87" t="n"/>
      <c r="L370" s="87" t="n"/>
      <c r="M370" s="105" t="n"/>
      <c r="N370" s="106" t="n"/>
    </row>
    <row r="371">
      <c r="J371" s="87" t="n"/>
      <c r="L371" s="87" t="n"/>
      <c r="M371" s="105" t="n"/>
      <c r="N371" s="106" t="n"/>
    </row>
    <row r="372">
      <c r="J372" s="87" t="n"/>
      <c r="L372" s="87" t="n"/>
      <c r="M372" s="105" t="n"/>
      <c r="N372" s="106" t="n"/>
    </row>
    <row r="373">
      <c r="J373" s="87" t="n"/>
      <c r="L373" s="87" t="n"/>
      <c r="M373" s="105" t="n"/>
      <c r="N373" s="106" t="n"/>
    </row>
    <row r="374">
      <c r="J374" s="87" t="n"/>
      <c r="L374" s="87" t="n"/>
      <c r="M374" s="105" t="n"/>
      <c r="N374" s="106" t="n"/>
    </row>
    <row r="375">
      <c r="J375" s="87" t="n"/>
      <c r="L375" s="87" t="n"/>
      <c r="M375" s="105" t="n"/>
      <c r="N375" s="106" t="n"/>
    </row>
    <row r="376">
      <c r="J376" s="87" t="n"/>
      <c r="L376" s="87" t="n"/>
      <c r="M376" s="105" t="n"/>
      <c r="N376" s="106" t="n"/>
    </row>
    <row r="377">
      <c r="J377" s="87" t="n"/>
      <c r="L377" s="87" t="n"/>
      <c r="M377" s="105" t="n"/>
      <c r="N377" s="106" t="n"/>
    </row>
    <row r="378">
      <c r="J378" s="87" t="n"/>
      <c r="L378" s="87" t="n"/>
      <c r="M378" s="105" t="n"/>
      <c r="N378" s="106" t="n"/>
    </row>
    <row r="379">
      <c r="J379" s="87" t="n"/>
      <c r="L379" s="87" t="n"/>
      <c r="M379" s="105" t="n"/>
      <c r="N379" s="106" t="n"/>
    </row>
    <row r="380">
      <c r="J380" s="87" t="n"/>
      <c r="L380" s="87" t="n"/>
      <c r="M380" s="105" t="n"/>
      <c r="N380" s="106" t="n"/>
    </row>
    <row r="381">
      <c r="J381" s="87" t="n"/>
      <c r="L381" s="87" t="n"/>
      <c r="M381" s="105" t="n"/>
      <c r="N381" s="106" t="n"/>
    </row>
    <row r="382">
      <c r="J382" s="87" t="n"/>
      <c r="L382" s="87" t="n"/>
      <c r="M382" s="105" t="n"/>
      <c r="N382" s="106" t="n"/>
    </row>
    <row r="383">
      <c r="J383" s="87" t="n"/>
      <c r="L383" s="87" t="n"/>
      <c r="M383" s="105" t="n"/>
      <c r="N383" s="106" t="n"/>
    </row>
    <row r="384">
      <c r="J384" s="87" t="n"/>
      <c r="L384" s="87" t="n"/>
      <c r="M384" s="105" t="n"/>
      <c r="N384" s="106" t="n"/>
    </row>
    <row r="385">
      <c r="J385" s="87" t="n"/>
      <c r="L385" s="87" t="n"/>
      <c r="M385" s="105" t="n"/>
      <c r="N385" s="106" t="n"/>
    </row>
    <row r="386">
      <c r="J386" s="87" t="n"/>
      <c r="L386" s="87" t="n"/>
      <c r="M386" s="105" t="n"/>
      <c r="N386" s="106" t="n"/>
    </row>
    <row r="387">
      <c r="J387" s="87" t="n"/>
      <c r="L387" s="87" t="n"/>
      <c r="M387" s="105" t="n"/>
      <c r="N387" s="106" t="n"/>
    </row>
    <row r="388">
      <c r="J388" s="87" t="n"/>
      <c r="L388" s="87" t="n"/>
      <c r="M388" s="105" t="n"/>
      <c r="N388" s="106" t="n"/>
    </row>
    <row r="389">
      <c r="J389" s="87" t="n"/>
      <c r="L389" s="87" t="n"/>
      <c r="M389" s="105" t="n"/>
      <c r="N389" s="106" t="n"/>
    </row>
    <row r="390">
      <c r="J390" s="87" t="n"/>
      <c r="L390" s="87" t="n"/>
      <c r="M390" s="105" t="n"/>
      <c r="N390" s="106" t="n"/>
    </row>
    <row r="391">
      <c r="J391" s="87" t="n"/>
      <c r="L391" s="87" t="n"/>
      <c r="M391" s="105" t="n"/>
      <c r="N391" s="106" t="n"/>
    </row>
    <row r="392">
      <c r="J392" s="87" t="n"/>
      <c r="L392" s="87" t="n"/>
      <c r="M392" s="105" t="n"/>
      <c r="N392" s="106" t="n"/>
    </row>
    <row r="393">
      <c r="J393" s="87" t="n"/>
      <c r="L393" s="87" t="n"/>
      <c r="M393" s="105" t="n"/>
      <c r="N393" s="106" t="n"/>
    </row>
    <row r="394">
      <c r="J394" s="87" t="n"/>
      <c r="L394" s="87" t="n"/>
      <c r="M394" s="105" t="n"/>
      <c r="N394" s="106" t="n"/>
    </row>
    <row r="395">
      <c r="J395" s="87" t="n"/>
      <c r="L395" s="87" t="n"/>
      <c r="M395" s="105" t="n"/>
      <c r="N395" s="106" t="n"/>
    </row>
    <row r="396">
      <c r="J396" s="87" t="n"/>
      <c r="L396" s="87" t="n"/>
      <c r="M396" s="105" t="n"/>
      <c r="N396" s="106" t="n"/>
    </row>
    <row r="397">
      <c r="J397" s="87" t="n"/>
      <c r="L397" s="87" t="n"/>
      <c r="M397" s="105" t="n"/>
      <c r="N397" s="106" t="n"/>
    </row>
    <row r="398">
      <c r="J398" s="87" t="n"/>
      <c r="L398" s="87" t="n"/>
      <c r="M398" s="105" t="n"/>
      <c r="N398" s="106" t="n"/>
    </row>
    <row r="399">
      <c r="J399" s="87" t="n"/>
      <c r="L399" s="87" t="n"/>
      <c r="M399" s="105" t="n"/>
      <c r="N399" s="106" t="n"/>
    </row>
    <row r="400">
      <c r="J400" s="87" t="n"/>
      <c r="L400" s="87" t="n"/>
      <c r="M400" s="105" t="n"/>
      <c r="N400" s="106" t="n"/>
    </row>
    <row r="401">
      <c r="J401" s="87" t="n"/>
      <c r="L401" s="87" t="n"/>
      <c r="M401" s="105" t="n"/>
      <c r="N401" s="106" t="n"/>
    </row>
    <row r="402">
      <c r="J402" s="87" t="n"/>
      <c r="L402" s="87" t="n"/>
      <c r="M402" s="105" t="n"/>
      <c r="N402" s="106" t="n"/>
    </row>
    <row r="403">
      <c r="J403" s="87" t="n"/>
      <c r="L403" s="87" t="n"/>
      <c r="M403" s="105" t="n"/>
      <c r="N403" s="106" t="n"/>
    </row>
    <row r="404">
      <c r="J404" s="87" t="n"/>
      <c r="L404" s="87" t="n"/>
      <c r="M404" s="105" t="n"/>
      <c r="N404" s="106" t="n"/>
    </row>
    <row r="405">
      <c r="J405" s="87" t="n"/>
      <c r="L405" s="87" t="n"/>
      <c r="M405" s="105" t="n"/>
      <c r="N405" s="106" t="n"/>
    </row>
    <row r="406">
      <c r="J406" s="87" t="n"/>
      <c r="L406" s="87" t="n"/>
      <c r="M406" s="105" t="n"/>
      <c r="N406" s="106" t="n"/>
    </row>
    <row r="407">
      <c r="J407" s="87" t="n"/>
      <c r="L407" s="87" t="n"/>
      <c r="M407" s="105" t="n"/>
      <c r="N407" s="106" t="n"/>
    </row>
    <row r="408">
      <c r="J408" s="87" t="n"/>
      <c r="L408" s="87" t="n"/>
      <c r="M408" s="105" t="n"/>
      <c r="N408" s="106" t="n"/>
    </row>
    <row r="409">
      <c r="J409" s="87" t="n"/>
      <c r="L409" s="87" t="n"/>
      <c r="M409" s="105" t="n"/>
      <c r="N409" s="106" t="n"/>
    </row>
    <row r="410">
      <c r="J410" s="87" t="n"/>
      <c r="L410" s="87" t="n"/>
      <c r="M410" s="105" t="n"/>
      <c r="N410" s="106" t="n"/>
    </row>
    <row r="411">
      <c r="J411" s="87" t="n"/>
      <c r="L411" s="87" t="n"/>
      <c r="M411" s="105" t="n"/>
      <c r="N411" s="106" t="n"/>
    </row>
    <row r="412">
      <c r="J412" s="87" t="n"/>
      <c r="L412" s="87" t="n"/>
      <c r="M412" s="105" t="n"/>
      <c r="N412" s="106" t="n"/>
    </row>
    <row r="413">
      <c r="J413" s="87" t="n"/>
      <c r="L413" s="87" t="n"/>
      <c r="M413" s="105" t="n"/>
      <c r="N413" s="106" t="n"/>
    </row>
    <row r="414">
      <c r="J414" s="87" t="n"/>
      <c r="L414" s="87" t="n"/>
      <c r="M414" s="105" t="n"/>
      <c r="N414" s="106" t="n"/>
    </row>
    <row r="415">
      <c r="J415" s="87" t="n"/>
      <c r="L415" s="87" t="n"/>
      <c r="M415" s="105" t="n"/>
      <c r="N415" s="106" t="n"/>
    </row>
    <row r="416">
      <c r="J416" s="87" t="n"/>
      <c r="L416" s="87" t="n"/>
      <c r="M416" s="105" t="n"/>
      <c r="N416" s="106" t="n"/>
    </row>
    <row r="417">
      <c r="J417" s="87" t="n"/>
      <c r="L417" s="87" t="n"/>
      <c r="M417" s="105" t="n"/>
      <c r="N417" s="106" t="n"/>
    </row>
    <row r="418">
      <c r="J418" s="87" t="n"/>
      <c r="L418" s="87" t="n"/>
      <c r="M418" s="105" t="n"/>
      <c r="N418" s="106" t="n"/>
    </row>
    <row r="419">
      <c r="J419" s="87" t="n"/>
      <c r="L419" s="87" t="n"/>
      <c r="M419" s="105" t="n"/>
      <c r="N419" s="106" t="n"/>
    </row>
    <row r="420">
      <c r="J420" s="87" t="n"/>
      <c r="L420" s="87" t="n"/>
      <c r="M420" s="105" t="n"/>
      <c r="N420" s="106" t="n"/>
    </row>
    <row r="421">
      <c r="J421" s="87" t="n"/>
      <c r="L421" s="87" t="n"/>
      <c r="M421" s="105" t="n"/>
      <c r="N421" s="106" t="n"/>
    </row>
    <row r="422">
      <c r="J422" s="87" t="n"/>
      <c r="L422" s="87" t="n"/>
      <c r="M422" s="105" t="n"/>
      <c r="N422" s="106" t="n"/>
    </row>
    <row r="423">
      <c r="J423" s="87" t="n"/>
      <c r="L423" s="87" t="n"/>
      <c r="M423" s="105" t="n"/>
      <c r="N423" s="106" t="n"/>
    </row>
    <row r="424">
      <c r="J424" s="87" t="n"/>
      <c r="L424" s="87" t="n"/>
      <c r="M424" s="105" t="n"/>
      <c r="N424" s="106" t="n"/>
    </row>
    <row r="425">
      <c r="J425" s="87" t="n"/>
      <c r="L425" s="87" t="n"/>
      <c r="M425" s="105" t="n"/>
      <c r="N425" s="106" t="n"/>
    </row>
    <row r="426">
      <c r="J426" s="87" t="n"/>
      <c r="L426" s="87" t="n"/>
      <c r="M426" s="105" t="n"/>
      <c r="N426" s="106" t="n"/>
    </row>
    <row r="427">
      <c r="J427" s="87" t="n"/>
      <c r="L427" s="87" t="n"/>
      <c r="M427" s="105" t="n"/>
      <c r="N427" s="106" t="n"/>
    </row>
    <row r="428">
      <c r="J428" s="87" t="n"/>
      <c r="L428" s="87" t="n"/>
      <c r="M428" s="105" t="n"/>
      <c r="N428" s="106" t="n"/>
    </row>
    <row r="429">
      <c r="J429" s="87" t="n"/>
      <c r="L429" s="87" t="n"/>
      <c r="M429" s="105" t="n"/>
      <c r="N429" s="106" t="n"/>
    </row>
    <row r="430">
      <c r="J430" s="87" t="n"/>
      <c r="L430" s="87" t="n"/>
      <c r="M430" s="105" t="n"/>
      <c r="N430" s="106" t="n"/>
    </row>
    <row r="431">
      <c r="J431" s="87" t="n"/>
      <c r="L431" s="87" t="n"/>
      <c r="M431" s="105" t="n"/>
      <c r="N431" s="106" t="n"/>
    </row>
    <row r="432">
      <c r="J432" s="87" t="n"/>
      <c r="L432" s="87" t="n"/>
      <c r="M432" s="105" t="n"/>
      <c r="N432" s="106" t="n"/>
    </row>
    <row r="433">
      <c r="J433" s="87" t="n"/>
      <c r="L433" s="87" t="n"/>
      <c r="M433" s="105" t="n"/>
      <c r="N433" s="106" t="n"/>
    </row>
    <row r="434">
      <c r="J434" s="87" t="n"/>
      <c r="L434" s="87" t="n"/>
      <c r="M434" s="105" t="n"/>
      <c r="N434" s="106" t="n"/>
    </row>
    <row r="435">
      <c r="J435" s="87" t="n"/>
      <c r="L435" s="87" t="n"/>
      <c r="M435" s="105" t="n"/>
      <c r="N435" s="106" t="n"/>
    </row>
    <row r="436">
      <c r="J436" s="87" t="n"/>
      <c r="L436" s="87" t="n"/>
      <c r="M436" s="105" t="n"/>
      <c r="N436" s="106" t="n"/>
    </row>
    <row r="437">
      <c r="J437" s="87" t="n"/>
      <c r="L437" s="87" t="n"/>
      <c r="M437" s="105" t="n"/>
      <c r="N437" s="106" t="n"/>
    </row>
    <row r="438">
      <c r="J438" s="87" t="n"/>
      <c r="L438" s="87" t="n"/>
      <c r="M438" s="105" t="n"/>
      <c r="N438" s="106" t="n"/>
    </row>
    <row r="439">
      <c r="J439" s="87" t="n"/>
      <c r="L439" s="87" t="n"/>
      <c r="M439" s="105" t="n"/>
      <c r="N439" s="106" t="n"/>
    </row>
    <row r="440">
      <c r="J440" s="87" t="n"/>
      <c r="L440" s="87" t="n"/>
      <c r="M440" s="105" t="n"/>
      <c r="N440" s="106" t="n"/>
    </row>
    <row r="441">
      <c r="J441" s="87" t="n"/>
      <c r="L441" s="87" t="n"/>
      <c r="M441" s="105" t="n"/>
      <c r="N441" s="106" t="n"/>
    </row>
    <row r="442">
      <c r="J442" s="87" t="n"/>
      <c r="L442" s="87" t="n"/>
      <c r="M442" s="105" t="n"/>
      <c r="N442" s="106" t="n"/>
    </row>
    <row r="443">
      <c r="J443" s="87" t="n"/>
      <c r="L443" s="87" t="n"/>
      <c r="M443" s="105" t="n"/>
      <c r="N443" s="106" t="n"/>
    </row>
    <row r="444">
      <c r="J444" s="87" t="n"/>
      <c r="L444" s="87" t="n"/>
      <c r="M444" s="105" t="n"/>
      <c r="N444" s="106" t="n"/>
    </row>
    <row r="445">
      <c r="J445" s="87" t="n"/>
      <c r="L445" s="87" t="n"/>
      <c r="M445" s="105" t="n"/>
      <c r="N445" s="106" t="n"/>
    </row>
    <row r="446">
      <c r="J446" s="87" t="n"/>
      <c r="L446" s="87" t="n"/>
      <c r="M446" s="105" t="n"/>
      <c r="N446" s="106" t="n"/>
    </row>
    <row r="447">
      <c r="J447" s="87" t="n"/>
      <c r="L447" s="87" t="n"/>
      <c r="M447" s="105" t="n"/>
      <c r="N447" s="106" t="n"/>
    </row>
    <row r="448">
      <c r="J448" s="87" t="n"/>
      <c r="L448" s="87" t="n"/>
      <c r="M448" s="105" t="n"/>
      <c r="N448" s="106" t="n"/>
    </row>
    <row r="449">
      <c r="J449" s="87" t="n"/>
      <c r="L449" s="87" t="n"/>
      <c r="M449" s="105" t="n"/>
      <c r="N449" s="106" t="n"/>
    </row>
    <row r="450">
      <c r="J450" s="87" t="n"/>
      <c r="L450" s="87" t="n"/>
      <c r="M450" s="105" t="n"/>
      <c r="N450" s="106" t="n"/>
    </row>
    <row r="451">
      <c r="J451" s="87" t="n"/>
      <c r="L451" s="87" t="n"/>
      <c r="M451" s="105" t="n"/>
      <c r="N451" s="106" t="n"/>
    </row>
    <row r="452">
      <c r="J452" s="87" t="n"/>
      <c r="L452" s="87" t="n"/>
      <c r="M452" s="105" t="n"/>
      <c r="N452" s="106" t="n"/>
    </row>
    <row r="453">
      <c r="J453" s="87" t="n"/>
      <c r="L453" s="87" t="n"/>
      <c r="M453" s="105" t="n"/>
      <c r="N453" s="106" t="n"/>
    </row>
    <row r="454">
      <c r="J454" s="87" t="n"/>
      <c r="L454" s="87" t="n"/>
      <c r="M454" s="105" t="n"/>
      <c r="N454" s="106" t="n"/>
    </row>
    <row r="455">
      <c r="J455" s="87" t="n"/>
      <c r="L455" s="87" t="n"/>
      <c r="M455" s="105" t="n"/>
      <c r="N455" s="106" t="n"/>
    </row>
    <row r="456">
      <c r="J456" s="87" t="n"/>
      <c r="L456" s="87" t="n"/>
      <c r="M456" s="105" t="n"/>
      <c r="N456" s="106" t="n"/>
    </row>
    <row r="457">
      <c r="J457" s="87" t="n"/>
      <c r="L457" s="87" t="n"/>
      <c r="M457" s="105" t="n"/>
      <c r="N457" s="106" t="n"/>
    </row>
    <row r="458">
      <c r="J458" s="87" t="n"/>
      <c r="L458" s="87" t="n"/>
      <c r="M458" s="105" t="n"/>
      <c r="N458" s="106" t="n"/>
    </row>
    <row r="459">
      <c r="J459" s="87" t="n"/>
      <c r="L459" s="87" t="n"/>
      <c r="M459" s="105" t="n"/>
      <c r="N459" s="106" t="n"/>
    </row>
    <row r="460">
      <c r="J460" s="87" t="n"/>
      <c r="L460" s="87" t="n"/>
      <c r="M460" s="105" t="n"/>
      <c r="N460" s="106" t="n"/>
    </row>
    <row r="461">
      <c r="J461" s="87" t="n"/>
      <c r="L461" s="87" t="n"/>
      <c r="M461" s="105" t="n"/>
      <c r="N461" s="106" t="n"/>
    </row>
    <row r="462">
      <c r="J462" s="87" t="n"/>
      <c r="L462" s="87" t="n"/>
      <c r="M462" s="105" t="n"/>
      <c r="N462" s="106" t="n"/>
    </row>
    <row r="463">
      <c r="J463" s="87" t="n"/>
      <c r="L463" s="87" t="n"/>
      <c r="M463" s="105" t="n"/>
      <c r="N463" s="106" t="n"/>
    </row>
    <row r="464">
      <c r="J464" s="87" t="n"/>
      <c r="L464" s="87" t="n"/>
      <c r="M464" s="105" t="n"/>
      <c r="N464" s="106" t="n"/>
    </row>
    <row r="465">
      <c r="J465" s="87" t="n"/>
      <c r="L465" s="87" t="n"/>
      <c r="M465" s="105" t="n"/>
      <c r="N465" s="106" t="n"/>
    </row>
    <row r="466">
      <c r="J466" s="87" t="n"/>
      <c r="L466" s="87" t="n"/>
      <c r="M466" s="105" t="n"/>
      <c r="N466" s="106" t="n"/>
    </row>
    <row r="467">
      <c r="J467" s="87" t="n"/>
      <c r="L467" s="87" t="n"/>
      <c r="M467" s="105" t="n"/>
      <c r="N467" s="106" t="n"/>
    </row>
    <row r="468">
      <c r="J468" s="87" t="n"/>
      <c r="L468" s="87" t="n"/>
      <c r="M468" s="105" t="n"/>
      <c r="N468" s="106" t="n"/>
    </row>
    <row r="469">
      <c r="J469" s="87" t="n"/>
      <c r="L469" s="87" t="n"/>
      <c r="M469" s="105" t="n"/>
      <c r="N469" s="106" t="n"/>
    </row>
    <row r="470">
      <c r="J470" s="87" t="n"/>
      <c r="L470" s="87" t="n"/>
      <c r="M470" s="105" t="n"/>
      <c r="N470" s="106" t="n"/>
    </row>
    <row r="471">
      <c r="J471" s="87" t="n"/>
      <c r="L471" s="87" t="n"/>
      <c r="M471" s="105" t="n"/>
      <c r="N471" s="106" t="n"/>
    </row>
    <row r="472">
      <c r="J472" s="87" t="n"/>
      <c r="L472" s="87" t="n"/>
      <c r="M472" s="105" t="n"/>
      <c r="N472" s="106" t="n"/>
    </row>
    <row r="473">
      <c r="J473" s="87" t="n"/>
      <c r="L473" s="87" t="n"/>
      <c r="M473" s="105" t="n"/>
      <c r="N473" s="106" t="n"/>
    </row>
    <row r="474">
      <c r="J474" s="87" t="n"/>
      <c r="L474" s="87" t="n"/>
      <c r="M474" s="105" t="n"/>
      <c r="N474" s="106" t="n"/>
    </row>
    <row r="475">
      <c r="J475" s="87" t="n"/>
      <c r="L475" s="87" t="n"/>
      <c r="M475" s="105" t="n"/>
      <c r="N475" s="106" t="n"/>
    </row>
    <row r="476">
      <c r="J476" s="87" t="n"/>
      <c r="L476" s="87" t="n"/>
      <c r="M476" s="105" t="n"/>
      <c r="N476" s="106" t="n"/>
    </row>
    <row r="477">
      <c r="J477" s="87" t="n"/>
      <c r="L477" s="87" t="n"/>
      <c r="M477" s="105" t="n"/>
      <c r="N477" s="106" t="n"/>
    </row>
    <row r="478">
      <c r="J478" s="87" t="n"/>
      <c r="L478" s="87" t="n"/>
      <c r="M478" s="105" t="n"/>
      <c r="N478" s="106" t="n"/>
    </row>
    <row r="479">
      <c r="J479" s="87" t="n"/>
      <c r="L479" s="87" t="n"/>
      <c r="M479" s="105" t="n"/>
      <c r="N479" s="106" t="n"/>
    </row>
    <row r="480">
      <c r="J480" s="87" t="n"/>
      <c r="L480" s="87" t="n"/>
      <c r="M480" s="105" t="n"/>
      <c r="N480" s="106" t="n"/>
    </row>
    <row r="481">
      <c r="J481" s="87" t="n"/>
      <c r="L481" s="87" t="n"/>
      <c r="M481" s="105" t="n"/>
      <c r="N481" s="106" t="n"/>
    </row>
    <row r="482">
      <c r="J482" s="87" t="n"/>
      <c r="L482" s="87" t="n"/>
      <c r="M482" s="105" t="n"/>
      <c r="N482" s="106" t="n"/>
    </row>
    <row r="483">
      <c r="J483" s="87" t="n"/>
      <c r="L483" s="87" t="n"/>
      <c r="M483" s="105" t="n"/>
      <c r="N483" s="106" t="n"/>
    </row>
    <row r="484">
      <c r="J484" s="87" t="n"/>
      <c r="L484" s="87" t="n"/>
      <c r="M484" s="105" t="n"/>
      <c r="N484" s="106" t="n"/>
    </row>
    <row r="485">
      <c r="J485" s="87" t="n"/>
      <c r="L485" s="87" t="n"/>
      <c r="M485" s="105" t="n"/>
      <c r="N485" s="106" t="n"/>
    </row>
    <row r="486">
      <c r="J486" s="87" t="n"/>
      <c r="L486" s="87" t="n"/>
      <c r="M486" s="105" t="n"/>
      <c r="N486" s="106" t="n"/>
    </row>
    <row r="487">
      <c r="J487" s="87" t="n"/>
      <c r="L487" s="87" t="n"/>
      <c r="M487" s="105" t="n"/>
      <c r="N487" s="106" t="n"/>
    </row>
    <row r="488">
      <c r="J488" s="87" t="n"/>
      <c r="L488" s="87" t="n"/>
      <c r="M488" s="105" t="n"/>
      <c r="N488" s="106" t="n"/>
    </row>
    <row r="489">
      <c r="J489" s="87" t="n"/>
      <c r="L489" s="87" t="n"/>
      <c r="M489" s="105" t="n"/>
      <c r="N489" s="106" t="n"/>
    </row>
    <row r="490">
      <c r="J490" s="87" t="n"/>
      <c r="L490" s="87" t="n"/>
      <c r="M490" s="105" t="n"/>
      <c r="N490" s="106" t="n"/>
    </row>
    <row r="491">
      <c r="J491" s="87" t="n"/>
      <c r="L491" s="87" t="n"/>
      <c r="M491" s="105" t="n"/>
      <c r="N491" s="106" t="n"/>
    </row>
    <row r="492">
      <c r="J492" s="87" t="n"/>
      <c r="L492" s="87" t="n"/>
      <c r="M492" s="105" t="n"/>
      <c r="N492" s="106" t="n"/>
    </row>
    <row r="493">
      <c r="J493" s="87" t="n"/>
      <c r="L493" s="87" t="n"/>
      <c r="M493" s="105" t="n"/>
      <c r="N493" s="106" t="n"/>
    </row>
    <row r="494">
      <c r="J494" s="87" t="n"/>
      <c r="L494" s="87" t="n"/>
      <c r="M494" s="105" t="n"/>
      <c r="N494" s="106" t="n"/>
    </row>
    <row r="495">
      <c r="J495" s="87" t="n"/>
      <c r="L495" s="87" t="n"/>
      <c r="M495" s="105" t="n"/>
      <c r="N495" s="106" t="n"/>
    </row>
    <row r="496">
      <c r="J496" s="87" t="n"/>
      <c r="L496" s="87" t="n"/>
      <c r="M496" s="105" t="n"/>
      <c r="N496" s="106" t="n"/>
    </row>
    <row r="497">
      <c r="J497" s="87" t="n"/>
      <c r="L497" s="87" t="n"/>
      <c r="M497" s="105" t="n"/>
      <c r="N497" s="106" t="n"/>
    </row>
    <row r="498">
      <c r="J498" s="87" t="n"/>
      <c r="L498" s="87" t="n"/>
      <c r="M498" s="105" t="n"/>
      <c r="N498" s="106" t="n"/>
    </row>
    <row r="499">
      <c r="J499" s="87" t="n"/>
      <c r="L499" s="87" t="n"/>
      <c r="M499" s="105" t="n"/>
      <c r="N499" s="106" t="n"/>
    </row>
    <row r="500">
      <c r="J500" s="87" t="n"/>
      <c r="L500" s="87" t="n"/>
      <c r="M500" s="105" t="n"/>
      <c r="N500" s="106" t="n"/>
    </row>
    <row r="501">
      <c r="J501" s="87" t="n"/>
      <c r="L501" s="87" t="n"/>
      <c r="M501" s="105" t="n"/>
      <c r="N501" s="106" t="n"/>
    </row>
    <row r="502">
      <c r="J502" s="87" t="n"/>
      <c r="L502" s="87" t="n"/>
      <c r="M502" s="105" t="n"/>
      <c r="N502" s="106" t="n"/>
    </row>
    <row r="503">
      <c r="J503" s="87" t="n"/>
      <c r="L503" s="87" t="n"/>
      <c r="M503" s="105" t="n"/>
      <c r="N503" s="106" t="n"/>
    </row>
    <row r="504">
      <c r="J504" s="87" t="n"/>
      <c r="L504" s="87" t="n"/>
      <c r="M504" s="105" t="n"/>
      <c r="N504" s="106" t="n"/>
    </row>
    <row r="505">
      <c r="J505" s="87" t="n"/>
      <c r="L505" s="87" t="n"/>
      <c r="M505" s="105" t="n"/>
      <c r="N505" s="106" t="n"/>
    </row>
    <row r="506">
      <c r="J506" s="87" t="n"/>
      <c r="L506" s="87" t="n"/>
      <c r="M506" s="105" t="n"/>
      <c r="N506" s="106" t="n"/>
    </row>
    <row r="507">
      <c r="J507" s="87" t="n"/>
      <c r="L507" s="87" t="n"/>
      <c r="M507" s="105" t="n"/>
      <c r="N507" s="106" t="n"/>
    </row>
    <row r="508">
      <c r="J508" s="87" t="n"/>
      <c r="L508" s="87" t="n"/>
      <c r="M508" s="105" t="n"/>
      <c r="N508" s="106" t="n"/>
    </row>
    <row r="509">
      <c r="J509" s="87" t="n"/>
      <c r="L509" s="87" t="n"/>
      <c r="M509" s="105" t="n"/>
      <c r="N509" s="106" t="n"/>
    </row>
    <row r="510">
      <c r="J510" s="87" t="n"/>
      <c r="L510" s="87" t="n"/>
      <c r="M510" s="105" t="n"/>
      <c r="N510" s="106" t="n"/>
    </row>
    <row r="511">
      <c r="J511" s="87" t="n"/>
      <c r="L511" s="87" t="n"/>
      <c r="M511" s="105" t="n"/>
      <c r="N511" s="106" t="n"/>
    </row>
    <row r="512">
      <c r="J512" s="87" t="n"/>
      <c r="L512" s="87" t="n"/>
      <c r="M512" s="105" t="n"/>
      <c r="N512" s="106" t="n"/>
    </row>
    <row r="513">
      <c r="J513" s="87" t="n"/>
      <c r="L513" s="87" t="n"/>
      <c r="M513" s="105" t="n"/>
      <c r="N513" s="106" t="n"/>
    </row>
    <row r="514">
      <c r="J514" s="87" t="n"/>
      <c r="L514" s="87" t="n"/>
      <c r="M514" s="105" t="n"/>
      <c r="N514" s="106" t="n"/>
    </row>
    <row r="515">
      <c r="J515" s="87" t="n"/>
      <c r="L515" s="87" t="n"/>
      <c r="M515" s="105" t="n"/>
      <c r="N515" s="106" t="n"/>
    </row>
    <row r="516">
      <c r="J516" s="87" t="n"/>
      <c r="L516" s="87" t="n"/>
      <c r="M516" s="105" t="n"/>
      <c r="N516" s="106" t="n"/>
    </row>
    <row r="517">
      <c r="J517" s="87" t="n"/>
      <c r="L517" s="87" t="n"/>
      <c r="M517" s="105" t="n"/>
      <c r="N517" s="106" t="n"/>
    </row>
    <row r="518">
      <c r="J518" s="87" t="n"/>
      <c r="L518" s="87" t="n"/>
      <c r="M518" s="105" t="n"/>
      <c r="N518" s="106" t="n"/>
    </row>
    <row r="519">
      <c r="J519" s="87" t="n"/>
      <c r="L519" s="87" t="n"/>
      <c r="M519" s="105" t="n"/>
      <c r="N519" s="106" t="n"/>
    </row>
    <row r="520">
      <c r="J520" s="87" t="n"/>
      <c r="L520" s="87" t="n"/>
      <c r="M520" s="105" t="n"/>
      <c r="N520" s="106" t="n"/>
    </row>
    <row r="521">
      <c r="J521" s="87" t="n"/>
      <c r="L521" s="87" t="n"/>
      <c r="M521" s="105" t="n"/>
      <c r="N521" s="106" t="n"/>
    </row>
    <row r="522">
      <c r="J522" s="87" t="n"/>
      <c r="L522" s="87" t="n"/>
      <c r="M522" s="105" t="n"/>
      <c r="N522" s="106" t="n"/>
    </row>
    <row r="523">
      <c r="J523" s="87" t="n"/>
      <c r="L523" s="87" t="n"/>
      <c r="M523" s="105" t="n"/>
      <c r="N523" s="106" t="n"/>
    </row>
    <row r="524">
      <c r="J524" s="87" t="n"/>
      <c r="L524" s="87" t="n"/>
      <c r="M524" s="105" t="n"/>
      <c r="N524" s="106" t="n"/>
    </row>
    <row r="525">
      <c r="J525" s="87" t="n"/>
      <c r="L525" s="87" t="n"/>
      <c r="M525" s="105" t="n"/>
      <c r="N525" s="106" t="n"/>
    </row>
    <row r="526">
      <c r="J526" s="87" t="n"/>
      <c r="L526" s="87" t="n"/>
      <c r="M526" s="105" t="n"/>
      <c r="N526" s="106" t="n"/>
    </row>
    <row r="527">
      <c r="J527" s="87" t="n"/>
      <c r="L527" s="87" t="n"/>
      <c r="M527" s="105" t="n"/>
      <c r="N527" s="106" t="n"/>
    </row>
    <row r="528">
      <c r="J528" s="87" t="n"/>
      <c r="L528" s="87" t="n"/>
      <c r="M528" s="105" t="n"/>
      <c r="N528" s="106" t="n"/>
    </row>
    <row r="529">
      <c r="J529" s="87" t="n"/>
      <c r="L529" s="87" t="n"/>
      <c r="M529" s="105" t="n"/>
      <c r="N529" s="106" t="n"/>
    </row>
    <row r="530">
      <c r="J530" s="87" t="n"/>
      <c r="L530" s="87" t="n"/>
      <c r="M530" s="105" t="n"/>
      <c r="N530" s="106" t="n"/>
    </row>
    <row r="531">
      <c r="J531" s="87" t="n"/>
      <c r="L531" s="87" t="n"/>
      <c r="M531" s="105" t="n"/>
      <c r="N531" s="106" t="n"/>
    </row>
    <row r="532">
      <c r="J532" s="87" t="n"/>
      <c r="L532" s="87" t="n"/>
      <c r="M532" s="105" t="n"/>
      <c r="N532" s="106" t="n"/>
    </row>
    <row r="533">
      <c r="J533" s="87" t="n"/>
      <c r="L533" s="87" t="n"/>
      <c r="M533" s="105" t="n"/>
      <c r="N533" s="106" t="n"/>
    </row>
    <row r="534">
      <c r="J534" s="87" t="n"/>
      <c r="L534" s="87" t="n"/>
      <c r="M534" s="105" t="n"/>
      <c r="N534" s="106" t="n"/>
    </row>
    <row r="535">
      <c r="J535" s="87" t="n"/>
      <c r="L535" s="87" t="n"/>
      <c r="M535" s="105" t="n"/>
      <c r="N535" s="106" t="n"/>
    </row>
    <row r="536">
      <c r="J536" s="87" t="n"/>
      <c r="L536" s="87" t="n"/>
      <c r="M536" s="105" t="n"/>
      <c r="N536" s="106" t="n"/>
    </row>
    <row r="537">
      <c r="J537" s="87" t="n"/>
      <c r="L537" s="87" t="n"/>
      <c r="M537" s="105" t="n"/>
      <c r="N537" s="106" t="n"/>
    </row>
    <row r="538">
      <c r="J538" s="87" t="n"/>
      <c r="L538" s="87" t="n"/>
      <c r="M538" s="105" t="n"/>
      <c r="N538" s="106" t="n"/>
    </row>
    <row r="539">
      <c r="J539" s="87" t="n"/>
      <c r="L539" s="87" t="n"/>
      <c r="M539" s="105" t="n"/>
      <c r="N539" s="106" t="n"/>
    </row>
    <row r="540">
      <c r="J540" s="87" t="n"/>
      <c r="L540" s="87" t="n"/>
      <c r="M540" s="105" t="n"/>
      <c r="N540" s="106" t="n"/>
    </row>
    <row r="541">
      <c r="J541" s="87" t="n"/>
      <c r="L541" s="87" t="n"/>
      <c r="M541" s="105" t="n"/>
      <c r="N541" s="106" t="n"/>
    </row>
    <row r="542">
      <c r="J542" s="87" t="n"/>
      <c r="L542" s="87" t="n"/>
      <c r="M542" s="105" t="n"/>
      <c r="N542" s="106" t="n"/>
    </row>
    <row r="543">
      <c r="J543" s="87" t="n"/>
      <c r="L543" s="87" t="n"/>
      <c r="M543" s="105" t="n"/>
      <c r="N543" s="106" t="n"/>
    </row>
    <row r="544">
      <c r="J544" s="87" t="n"/>
      <c r="L544" s="87" t="n"/>
      <c r="M544" s="105" t="n"/>
      <c r="N544" s="106" t="n"/>
    </row>
    <row r="545">
      <c r="J545" s="87" t="n"/>
      <c r="L545" s="87" t="n"/>
      <c r="M545" s="105" t="n"/>
      <c r="N545" s="106" t="n"/>
    </row>
    <row r="546">
      <c r="J546" s="87" t="n"/>
      <c r="L546" s="87" t="n"/>
      <c r="M546" s="105" t="n"/>
      <c r="N546" s="106" t="n"/>
    </row>
    <row r="547">
      <c r="J547" s="87" t="n"/>
      <c r="L547" s="87" t="n"/>
      <c r="M547" s="105" t="n"/>
      <c r="N547" s="106" t="n"/>
    </row>
    <row r="548">
      <c r="J548" s="87" t="n"/>
      <c r="L548" s="87" t="n"/>
      <c r="M548" s="105" t="n"/>
      <c r="N548" s="106" t="n"/>
    </row>
    <row r="549">
      <c r="J549" s="87" t="n"/>
      <c r="L549" s="87" t="n"/>
      <c r="M549" s="105" t="n"/>
      <c r="N549" s="106" t="n"/>
    </row>
    <row r="550">
      <c r="J550" s="87" t="n"/>
      <c r="L550" s="87" t="n"/>
      <c r="M550" s="105" t="n"/>
      <c r="N550" s="106" t="n"/>
    </row>
    <row r="551">
      <c r="J551" s="87" t="n"/>
      <c r="L551" s="87" t="n"/>
      <c r="M551" s="105" t="n"/>
      <c r="N551" s="106" t="n"/>
    </row>
    <row r="552">
      <c r="J552" s="87" t="n"/>
      <c r="L552" s="87" t="n"/>
      <c r="M552" s="105" t="n"/>
      <c r="N552" s="106" t="n"/>
    </row>
    <row r="553">
      <c r="J553" s="87" t="n"/>
      <c r="L553" s="87" t="n"/>
      <c r="M553" s="105" t="n"/>
      <c r="N553" s="106" t="n"/>
    </row>
    <row r="554">
      <c r="J554" s="87" t="n"/>
      <c r="L554" s="87" t="n"/>
      <c r="M554" s="105" t="n"/>
      <c r="N554" s="106" t="n"/>
    </row>
    <row r="555">
      <c r="J555" s="87" t="n"/>
      <c r="L555" s="87" t="n"/>
      <c r="M555" s="105" t="n"/>
      <c r="N555" s="106" t="n"/>
    </row>
    <row r="556">
      <c r="J556" s="87" t="n"/>
      <c r="L556" s="87" t="n"/>
      <c r="M556" s="105" t="n"/>
      <c r="N556" s="106" t="n"/>
    </row>
    <row r="557">
      <c r="J557" s="87" t="n"/>
      <c r="L557" s="87" t="n"/>
      <c r="M557" s="105" t="n"/>
      <c r="N557" s="106" t="n"/>
    </row>
    <row r="558">
      <c r="J558" s="87" t="n"/>
      <c r="L558" s="87" t="n"/>
      <c r="M558" s="105" t="n"/>
      <c r="N558" s="106" t="n"/>
    </row>
    <row r="559">
      <c r="J559" s="87" t="n"/>
      <c r="L559" s="87" t="n"/>
      <c r="M559" s="105" t="n"/>
      <c r="N559" s="106" t="n"/>
    </row>
    <row r="560">
      <c r="J560" s="87" t="n"/>
      <c r="L560" s="87" t="n"/>
      <c r="M560" s="105" t="n"/>
      <c r="N560" s="106" t="n"/>
    </row>
    <row r="561">
      <c r="J561" s="87" t="n"/>
      <c r="L561" s="87" t="n"/>
      <c r="M561" s="105" t="n"/>
      <c r="N561" s="106" t="n"/>
    </row>
    <row r="562">
      <c r="J562" s="87" t="n"/>
      <c r="L562" s="87" t="n"/>
      <c r="M562" s="105" t="n"/>
      <c r="N562" s="106" t="n"/>
    </row>
    <row r="563">
      <c r="J563" s="87" t="n"/>
      <c r="L563" s="87" t="n"/>
      <c r="M563" s="105" t="n"/>
      <c r="N563" s="106" t="n"/>
    </row>
    <row r="564">
      <c r="J564" s="87" t="n"/>
      <c r="L564" s="87" t="n"/>
      <c r="M564" s="105" t="n"/>
      <c r="N564" s="106" t="n"/>
    </row>
    <row r="565">
      <c r="J565" s="87" t="n"/>
      <c r="L565" s="87" t="n"/>
      <c r="M565" s="105" t="n"/>
      <c r="N565" s="106" t="n"/>
    </row>
    <row r="566">
      <c r="J566" s="87" t="n"/>
      <c r="L566" s="87" t="n"/>
      <c r="M566" s="105" t="n"/>
      <c r="N566" s="106" t="n"/>
    </row>
    <row r="567">
      <c r="J567" s="87" t="n"/>
      <c r="L567" s="87" t="n"/>
      <c r="M567" s="105" t="n"/>
      <c r="N567" s="106" t="n"/>
    </row>
    <row r="568">
      <c r="J568" s="87" t="n"/>
      <c r="L568" s="87" t="n"/>
      <c r="M568" s="105" t="n"/>
      <c r="N568" s="106" t="n"/>
    </row>
    <row r="569">
      <c r="J569" s="87" t="n"/>
      <c r="L569" s="87" t="n"/>
      <c r="M569" s="105" t="n"/>
      <c r="N569" s="106" t="n"/>
    </row>
    <row r="570">
      <c r="J570" s="87" t="n"/>
      <c r="L570" s="87" t="n"/>
      <c r="M570" s="105" t="n"/>
      <c r="N570" s="106" t="n"/>
    </row>
    <row r="571">
      <c r="J571" s="87" t="n"/>
      <c r="L571" s="87" t="n"/>
      <c r="M571" s="105" t="n"/>
      <c r="N571" s="106" t="n"/>
    </row>
    <row r="572">
      <c r="J572" s="87" t="n"/>
      <c r="L572" s="87" t="n"/>
      <c r="M572" s="105" t="n"/>
      <c r="N572" s="106" t="n"/>
    </row>
    <row r="573">
      <c r="J573" s="87" t="n"/>
      <c r="L573" s="87" t="n"/>
      <c r="M573" s="105" t="n"/>
      <c r="N573" s="106" t="n"/>
    </row>
    <row r="574">
      <c r="J574" s="87" t="n"/>
      <c r="L574" s="87" t="n"/>
      <c r="M574" s="105" t="n"/>
      <c r="N574" s="106" t="n"/>
    </row>
    <row r="575">
      <c r="J575" s="87" t="n"/>
      <c r="L575" s="87" t="n"/>
      <c r="M575" s="105" t="n"/>
      <c r="N575" s="106" t="n"/>
    </row>
    <row r="576">
      <c r="J576" s="87" t="n"/>
      <c r="L576" s="87" t="n"/>
      <c r="M576" s="105" t="n"/>
      <c r="N576" s="106" t="n"/>
    </row>
    <row r="577">
      <c r="J577" s="87" t="n"/>
      <c r="L577" s="87" t="n"/>
      <c r="M577" s="105" t="n"/>
      <c r="N577" s="106" t="n"/>
    </row>
    <row r="578">
      <c r="J578" s="87" t="n"/>
      <c r="L578" s="87" t="n"/>
      <c r="M578" s="105" t="n"/>
      <c r="N578" s="106" t="n"/>
    </row>
    <row r="579">
      <c r="J579" s="87" t="n"/>
      <c r="L579" s="87" t="n"/>
      <c r="M579" s="105" t="n"/>
      <c r="N579" s="106" t="n"/>
    </row>
    <row r="580">
      <c r="J580" s="87" t="n"/>
      <c r="L580" s="87" t="n"/>
      <c r="M580" s="105" t="n"/>
      <c r="N580" s="106" t="n"/>
    </row>
    <row r="581">
      <c r="J581" s="87" t="n"/>
      <c r="L581" s="87" t="n"/>
      <c r="M581" s="105" t="n"/>
      <c r="N581" s="106" t="n"/>
    </row>
    <row r="582">
      <c r="J582" s="87" t="n"/>
      <c r="L582" s="87" t="n"/>
      <c r="M582" s="105" t="n"/>
      <c r="N582" s="106" t="n"/>
    </row>
    <row r="583">
      <c r="J583" s="87" t="n"/>
      <c r="L583" s="87" t="n"/>
      <c r="M583" s="105" t="n"/>
      <c r="N583" s="106" t="n"/>
    </row>
    <row r="584">
      <c r="J584" s="87" t="n"/>
      <c r="L584" s="87" t="n"/>
      <c r="M584" s="105" t="n"/>
      <c r="N584" s="106" t="n"/>
    </row>
    <row r="585">
      <c r="J585" s="87" t="n"/>
      <c r="L585" s="87" t="n"/>
      <c r="M585" s="105" t="n"/>
      <c r="N585" s="106" t="n"/>
    </row>
    <row r="586">
      <c r="J586" s="87" t="n"/>
      <c r="L586" s="87" t="n"/>
      <c r="M586" s="105" t="n"/>
      <c r="N586" s="106" t="n"/>
    </row>
    <row r="587">
      <c r="J587" s="87" t="n"/>
      <c r="L587" s="87" t="n"/>
      <c r="M587" s="105" t="n"/>
      <c r="N587" s="106" t="n"/>
    </row>
    <row r="588">
      <c r="J588" s="87" t="n"/>
      <c r="L588" s="87" t="n"/>
      <c r="M588" s="105" t="n"/>
      <c r="N588" s="106" t="n"/>
    </row>
    <row r="589">
      <c r="J589" s="87" t="n"/>
      <c r="L589" s="87" t="n"/>
      <c r="M589" s="105" t="n"/>
      <c r="N589" s="106" t="n"/>
    </row>
    <row r="590">
      <c r="J590" s="87" t="n"/>
      <c r="L590" s="87" t="n"/>
      <c r="M590" s="105" t="n"/>
      <c r="N590" s="106" t="n"/>
    </row>
    <row r="591">
      <c r="J591" s="87" t="n"/>
      <c r="L591" s="87" t="n"/>
      <c r="M591" s="105" t="n"/>
      <c r="N591" s="106" t="n"/>
    </row>
    <row r="592">
      <c r="J592" s="87" t="n"/>
      <c r="L592" s="87" t="n"/>
      <c r="M592" s="105" t="n"/>
      <c r="N592" s="106" t="n"/>
    </row>
    <row r="593">
      <c r="J593" s="87" t="n"/>
      <c r="L593" s="87" t="n"/>
      <c r="M593" s="105" t="n"/>
      <c r="N593" s="106" t="n"/>
    </row>
    <row r="594">
      <c r="J594" s="87" t="n"/>
      <c r="L594" s="87" t="n"/>
      <c r="M594" s="105" t="n"/>
      <c r="N594" s="106" t="n"/>
    </row>
    <row r="595">
      <c r="J595" s="87" t="n"/>
      <c r="L595" s="87" t="n"/>
      <c r="M595" s="105" t="n"/>
      <c r="N595" s="106" t="n"/>
    </row>
    <row r="596">
      <c r="J596" s="87" t="n"/>
      <c r="L596" s="87" t="n"/>
      <c r="M596" s="105" t="n"/>
      <c r="N596" s="106" t="n"/>
    </row>
    <row r="597">
      <c r="J597" s="87" t="n"/>
      <c r="L597" s="87" t="n"/>
      <c r="M597" s="105" t="n"/>
      <c r="N597" s="106" t="n"/>
    </row>
    <row r="598">
      <c r="J598" s="87" t="n"/>
      <c r="L598" s="87" t="n"/>
      <c r="M598" s="105" t="n"/>
      <c r="N598" s="106" t="n"/>
    </row>
    <row r="599">
      <c r="J599" s="87" t="n"/>
      <c r="L599" s="87" t="n"/>
      <c r="M599" s="105" t="n"/>
      <c r="N599" s="106" t="n"/>
    </row>
    <row r="600">
      <c r="J600" s="87" t="n"/>
      <c r="L600" s="87" t="n"/>
      <c r="M600" s="105" t="n"/>
      <c r="N600" s="106" t="n"/>
    </row>
    <row r="601">
      <c r="J601" s="87" t="n"/>
      <c r="L601" s="87" t="n"/>
      <c r="M601" s="105" t="n"/>
      <c r="N601" s="106" t="n"/>
    </row>
    <row r="602">
      <c r="J602" s="87" t="n"/>
      <c r="L602" s="87" t="n"/>
      <c r="M602" s="105" t="n"/>
      <c r="N602" s="106" t="n"/>
    </row>
    <row r="603">
      <c r="J603" s="87" t="n"/>
      <c r="L603" s="87" t="n"/>
      <c r="M603" s="105" t="n"/>
      <c r="N603" s="106" t="n"/>
    </row>
    <row r="604">
      <c r="J604" s="87" t="n"/>
      <c r="L604" s="87" t="n"/>
      <c r="M604" s="105" t="n"/>
      <c r="N604" s="106" t="n"/>
    </row>
    <row r="605">
      <c r="J605" s="87" t="n"/>
      <c r="L605" s="87" t="n"/>
      <c r="M605" s="105" t="n"/>
      <c r="N605" s="106" t="n"/>
    </row>
    <row r="606">
      <c r="J606" s="87" t="n"/>
      <c r="L606" s="87" t="n"/>
      <c r="M606" s="105" t="n"/>
      <c r="N606" s="106" t="n"/>
    </row>
    <row r="607">
      <c r="J607" s="87" t="n"/>
      <c r="L607" s="87" t="n"/>
      <c r="M607" s="105" t="n"/>
      <c r="N607" s="106" t="n"/>
    </row>
    <row r="608">
      <c r="J608" s="87" t="n"/>
      <c r="L608" s="87" t="n"/>
      <c r="M608" s="105" t="n"/>
      <c r="N608" s="106" t="n"/>
    </row>
    <row r="609">
      <c r="J609" s="87" t="n"/>
      <c r="L609" s="87" t="n"/>
      <c r="M609" s="105" t="n"/>
      <c r="N609" s="106" t="n"/>
    </row>
    <row r="610">
      <c r="J610" s="87" t="n"/>
      <c r="L610" s="87" t="n"/>
      <c r="M610" s="105" t="n"/>
      <c r="N610" s="106" t="n"/>
    </row>
    <row r="611">
      <c r="J611" s="87" t="n"/>
      <c r="L611" s="87" t="n"/>
      <c r="M611" s="105" t="n"/>
      <c r="N611" s="106" t="n"/>
    </row>
    <row r="612">
      <c r="J612" s="87" t="n"/>
      <c r="L612" s="87" t="n"/>
      <c r="M612" s="105" t="n"/>
      <c r="N612" s="106" t="n"/>
    </row>
    <row r="613">
      <c r="J613" s="87" t="n"/>
      <c r="L613" s="87" t="n"/>
      <c r="M613" s="105" t="n"/>
      <c r="N613" s="106" t="n"/>
    </row>
    <row r="614">
      <c r="J614" s="87" t="n"/>
      <c r="L614" s="87" t="n"/>
      <c r="M614" s="105" t="n"/>
      <c r="N614" s="106" t="n"/>
    </row>
    <row r="615">
      <c r="J615" s="87" t="n"/>
      <c r="L615" s="87" t="n"/>
      <c r="M615" s="105" t="n"/>
      <c r="N615" s="106" t="n"/>
    </row>
    <row r="616">
      <c r="J616" s="87" t="n"/>
      <c r="L616" s="87" t="n"/>
      <c r="M616" s="105" t="n"/>
      <c r="N616" s="106" t="n"/>
    </row>
    <row r="617">
      <c r="J617" s="87" t="n"/>
      <c r="L617" s="87" t="n"/>
      <c r="M617" s="105" t="n"/>
      <c r="N617" s="106" t="n"/>
    </row>
    <row r="618">
      <c r="J618" s="87" t="n"/>
      <c r="L618" s="87" t="n"/>
      <c r="M618" s="105" t="n"/>
      <c r="N618" s="106" t="n"/>
    </row>
    <row r="619">
      <c r="J619" s="87" t="n"/>
      <c r="L619" s="87" t="n"/>
      <c r="M619" s="105" t="n"/>
      <c r="N619" s="106" t="n"/>
    </row>
    <row r="620">
      <c r="J620" s="87" t="n"/>
      <c r="L620" s="87" t="n"/>
      <c r="M620" s="105" t="n"/>
      <c r="N620" s="106" t="n"/>
    </row>
    <row r="621">
      <c r="J621" s="87" t="n"/>
      <c r="L621" s="87" t="n"/>
      <c r="M621" s="105" t="n"/>
      <c r="N621" s="106" t="n"/>
    </row>
    <row r="622">
      <c r="J622" s="87" t="n"/>
      <c r="L622" s="87" t="n"/>
      <c r="M622" s="105" t="n"/>
      <c r="N622" s="106" t="n"/>
    </row>
    <row r="623">
      <c r="J623" s="87" t="n"/>
      <c r="L623" s="87" t="n"/>
      <c r="M623" s="105" t="n"/>
      <c r="N623" s="106" t="n"/>
    </row>
    <row r="624">
      <c r="J624" s="87" t="n"/>
      <c r="L624" s="87" t="n"/>
      <c r="M624" s="105" t="n"/>
      <c r="N624" s="106" t="n"/>
    </row>
    <row r="625">
      <c r="J625" s="87" t="n"/>
      <c r="L625" s="87" t="n"/>
      <c r="M625" s="105" t="n"/>
      <c r="N625" s="106" t="n"/>
    </row>
    <row r="626">
      <c r="J626" s="87" t="n"/>
      <c r="L626" s="87" t="n"/>
      <c r="M626" s="105" t="n"/>
      <c r="N626" s="106" t="n"/>
    </row>
    <row r="627">
      <c r="J627" s="87" t="n"/>
      <c r="L627" s="87" t="n"/>
      <c r="M627" s="105" t="n"/>
      <c r="N627" s="106" t="n"/>
    </row>
    <row r="628">
      <c r="J628" s="87" t="n"/>
      <c r="L628" s="87" t="n"/>
      <c r="M628" s="105" t="n"/>
      <c r="N628" s="106" t="n"/>
    </row>
    <row r="629">
      <c r="J629" s="87" t="n"/>
      <c r="L629" s="87" t="n"/>
      <c r="M629" s="105" t="n"/>
      <c r="N629" s="106" t="n"/>
    </row>
    <row r="630">
      <c r="J630" s="87" t="n"/>
      <c r="L630" s="87" t="n"/>
      <c r="M630" s="105" t="n"/>
      <c r="N630" s="106" t="n"/>
    </row>
    <row r="631">
      <c r="J631" s="87" t="n"/>
      <c r="L631" s="87" t="n"/>
      <c r="M631" s="105" t="n"/>
      <c r="N631" s="106" t="n"/>
    </row>
    <row r="632">
      <c r="J632" s="87" t="n"/>
      <c r="L632" s="87" t="n"/>
      <c r="M632" s="105" t="n"/>
      <c r="N632" s="106" t="n"/>
    </row>
    <row r="633">
      <c r="J633" s="87" t="n"/>
      <c r="L633" s="87" t="n"/>
      <c r="M633" s="105" t="n"/>
      <c r="N633" s="106" t="n"/>
    </row>
    <row r="634">
      <c r="J634" s="87" t="n"/>
      <c r="L634" s="87" t="n"/>
      <c r="M634" s="105" t="n"/>
      <c r="N634" s="106" t="n"/>
    </row>
    <row r="635">
      <c r="J635" s="87" t="n"/>
      <c r="L635" s="87" t="n"/>
      <c r="M635" s="105" t="n"/>
      <c r="N635" s="106" t="n"/>
    </row>
    <row r="636">
      <c r="J636" s="87" t="n"/>
      <c r="L636" s="87" t="n"/>
      <c r="M636" s="105" t="n"/>
      <c r="N636" s="106" t="n"/>
    </row>
    <row r="637">
      <c r="J637" s="87" t="n"/>
      <c r="L637" s="87" t="n"/>
      <c r="M637" s="105" t="n"/>
      <c r="N637" s="106" t="n"/>
    </row>
    <row r="638">
      <c r="J638" s="87" t="n"/>
      <c r="L638" s="87" t="n"/>
      <c r="M638" s="105" t="n"/>
      <c r="N638" s="106" t="n"/>
    </row>
    <row r="639">
      <c r="J639" s="87" t="n"/>
      <c r="L639" s="87" t="n"/>
      <c r="M639" s="105" t="n"/>
      <c r="N639" s="106" t="n"/>
    </row>
    <row r="640">
      <c r="J640" s="87" t="n"/>
      <c r="L640" s="87" t="n"/>
      <c r="M640" s="105" t="n"/>
      <c r="N640" s="106" t="n"/>
    </row>
    <row r="641">
      <c r="J641" s="87" t="n"/>
      <c r="L641" s="87" t="n"/>
      <c r="M641" s="105" t="n"/>
      <c r="N641" s="106" t="n"/>
    </row>
    <row r="642">
      <c r="J642" s="87" t="n"/>
      <c r="L642" s="87" t="n"/>
      <c r="M642" s="105" t="n"/>
      <c r="N642" s="106" t="n"/>
    </row>
    <row r="643">
      <c r="J643" s="87" t="n"/>
      <c r="L643" s="87" t="n"/>
      <c r="M643" s="105" t="n"/>
      <c r="N643" s="106" t="n"/>
    </row>
    <row r="644">
      <c r="J644" s="87" t="n"/>
      <c r="L644" s="87" t="n"/>
      <c r="M644" s="105" t="n"/>
      <c r="N644" s="106" t="n"/>
    </row>
    <row r="645">
      <c r="J645" s="87" t="n"/>
      <c r="L645" s="87" t="n"/>
      <c r="M645" s="105" t="n"/>
      <c r="N645" s="106" t="n"/>
    </row>
    <row r="646">
      <c r="J646" s="87" t="n"/>
      <c r="L646" s="87" t="n"/>
      <c r="M646" s="105" t="n"/>
      <c r="N646" s="106" t="n"/>
    </row>
    <row r="647">
      <c r="J647" s="87" t="n"/>
      <c r="L647" s="87" t="n"/>
      <c r="M647" s="105" t="n"/>
      <c r="N647" s="106" t="n"/>
    </row>
    <row r="648">
      <c r="J648" s="87" t="n"/>
      <c r="L648" s="87" t="n"/>
      <c r="M648" s="105" t="n"/>
      <c r="N648" s="106" t="n"/>
    </row>
    <row r="649">
      <c r="J649" s="87" t="n"/>
      <c r="L649" s="87" t="n"/>
      <c r="M649" s="105" t="n"/>
      <c r="N649" s="106" t="n"/>
    </row>
    <row r="650">
      <c r="J650" s="87" t="n"/>
      <c r="L650" s="87" t="n"/>
      <c r="M650" s="105" t="n"/>
      <c r="N650" s="106" t="n"/>
    </row>
    <row r="651">
      <c r="J651" s="87" t="n"/>
      <c r="L651" s="87" t="n"/>
      <c r="M651" s="105" t="n"/>
      <c r="N651" s="106" t="n"/>
    </row>
    <row r="652">
      <c r="J652" s="87" t="n"/>
      <c r="L652" s="87" t="n"/>
      <c r="M652" s="105" t="n"/>
      <c r="N652" s="106" t="n"/>
    </row>
    <row r="653">
      <c r="J653" s="87" t="n"/>
      <c r="L653" s="87" t="n"/>
      <c r="M653" s="105" t="n"/>
      <c r="N653" s="106" t="n"/>
    </row>
    <row r="654">
      <c r="J654" s="87" t="n"/>
      <c r="L654" s="87" t="n"/>
      <c r="M654" s="105" t="n"/>
      <c r="N654" s="106" t="n"/>
    </row>
    <row r="655">
      <c r="J655" s="87" t="n"/>
      <c r="L655" s="87" t="n"/>
      <c r="M655" s="105" t="n"/>
      <c r="N655" s="106" t="n"/>
    </row>
    <row r="656">
      <c r="J656" s="87" t="n"/>
      <c r="L656" s="87" t="n"/>
      <c r="M656" s="105" t="n"/>
      <c r="N656" s="106" t="n"/>
    </row>
    <row r="657">
      <c r="J657" s="87" t="n"/>
      <c r="L657" s="87" t="n"/>
      <c r="M657" s="105" t="n"/>
      <c r="N657" s="106" t="n"/>
    </row>
    <row r="658">
      <c r="J658" s="87" t="n"/>
      <c r="L658" s="87" t="n"/>
      <c r="M658" s="105" t="n"/>
      <c r="N658" s="106" t="n"/>
    </row>
    <row r="659">
      <c r="J659" s="87" t="n"/>
      <c r="L659" s="87" t="n"/>
      <c r="M659" s="105" t="n"/>
      <c r="N659" s="106" t="n"/>
    </row>
    <row r="660">
      <c r="J660" s="87" t="n"/>
      <c r="L660" s="87" t="n"/>
      <c r="M660" s="105" t="n"/>
      <c r="N660" s="106" t="n"/>
    </row>
    <row r="661">
      <c r="J661" s="87" t="n"/>
      <c r="L661" s="87" t="n"/>
      <c r="M661" s="105" t="n"/>
      <c r="N661" s="106" t="n"/>
    </row>
    <row r="662">
      <c r="J662" s="87" t="n"/>
      <c r="L662" s="87" t="n"/>
      <c r="M662" s="105" t="n"/>
      <c r="N662" s="106" t="n"/>
    </row>
    <row r="663">
      <c r="J663" s="87" t="n"/>
      <c r="L663" s="87" t="n"/>
      <c r="M663" s="105" t="n"/>
      <c r="N663" s="106" t="n"/>
    </row>
    <row r="664">
      <c r="J664" s="87" t="n"/>
      <c r="L664" s="87" t="n"/>
      <c r="M664" s="105" t="n"/>
      <c r="N664" s="106" t="n"/>
    </row>
    <row r="665">
      <c r="J665" s="87" t="n"/>
      <c r="L665" s="87" t="n"/>
      <c r="M665" s="105" t="n"/>
      <c r="N665" s="106" t="n"/>
    </row>
    <row r="666">
      <c r="J666" s="87" t="n"/>
      <c r="L666" s="87" t="n"/>
      <c r="M666" s="105" t="n"/>
      <c r="N666" s="106" t="n"/>
    </row>
    <row r="667">
      <c r="J667" s="87" t="n"/>
      <c r="L667" s="87" t="n"/>
      <c r="M667" s="105" t="n"/>
      <c r="N667" s="106" t="n"/>
    </row>
    <row r="668">
      <c r="J668" s="87" t="n"/>
      <c r="L668" s="87" t="n"/>
      <c r="M668" s="105" t="n"/>
      <c r="N668" s="106" t="n"/>
    </row>
    <row r="669">
      <c r="J669" s="87" t="n"/>
      <c r="L669" s="87" t="n"/>
      <c r="M669" s="105" t="n"/>
      <c r="N669" s="106" t="n"/>
    </row>
    <row r="670">
      <c r="J670" s="87" t="n"/>
      <c r="L670" s="87" t="n"/>
      <c r="M670" s="105" t="n"/>
      <c r="N670" s="106" t="n"/>
    </row>
    <row r="671">
      <c r="J671" s="87" t="n"/>
      <c r="L671" s="87" t="n"/>
      <c r="M671" s="105" t="n"/>
      <c r="N671" s="106" t="n"/>
    </row>
    <row r="672">
      <c r="J672" s="87" t="n"/>
      <c r="L672" s="87" t="n"/>
      <c r="M672" s="105" t="n"/>
      <c r="N672" s="106" t="n"/>
    </row>
    <row r="673">
      <c r="J673" s="87" t="n"/>
      <c r="L673" s="87" t="n"/>
      <c r="M673" s="105" t="n"/>
      <c r="N673" s="106" t="n"/>
    </row>
    <row r="674">
      <c r="J674" s="87" t="n"/>
      <c r="L674" s="87" t="n"/>
      <c r="M674" s="105" t="n"/>
      <c r="N674" s="106" t="n"/>
    </row>
    <row r="675">
      <c r="J675" s="87" t="n"/>
      <c r="L675" s="87" t="n"/>
      <c r="M675" s="105" t="n"/>
      <c r="N675" s="106" t="n"/>
    </row>
    <row r="676">
      <c r="J676" s="87" t="n"/>
      <c r="L676" s="87" t="n"/>
      <c r="M676" s="105" t="n"/>
      <c r="N676" s="106" t="n"/>
    </row>
    <row r="677">
      <c r="J677" s="87" t="n"/>
      <c r="L677" s="87" t="n"/>
      <c r="M677" s="105" t="n"/>
      <c r="N677" s="106" t="n"/>
    </row>
    <row r="678">
      <c r="J678" s="87" t="n"/>
      <c r="L678" s="87" t="n"/>
      <c r="M678" s="105" t="n"/>
      <c r="N678" s="106" t="n"/>
    </row>
    <row r="679">
      <c r="J679" s="87" t="n"/>
      <c r="L679" s="87" t="n"/>
      <c r="M679" s="105" t="n"/>
      <c r="N679" s="106" t="n"/>
    </row>
    <row r="680">
      <c r="J680" s="87" t="n"/>
      <c r="L680" s="87" t="n"/>
      <c r="M680" s="105" t="n"/>
      <c r="N680" s="106" t="n"/>
    </row>
    <row r="681">
      <c r="J681" s="87" t="n"/>
      <c r="L681" s="87" t="n"/>
      <c r="M681" s="105" t="n"/>
      <c r="N681" s="106" t="n"/>
    </row>
    <row r="682">
      <c r="J682" s="87" t="n"/>
      <c r="L682" s="87" t="n"/>
      <c r="M682" s="105" t="n"/>
      <c r="N682" s="106" t="n"/>
    </row>
    <row r="683">
      <c r="J683" s="87" t="n"/>
      <c r="L683" s="87" t="n"/>
      <c r="M683" s="105" t="n"/>
      <c r="N683" s="106" t="n"/>
    </row>
    <row r="684">
      <c r="J684" s="87" t="n"/>
      <c r="L684" s="87" t="n"/>
      <c r="M684" s="105" t="n"/>
      <c r="N684" s="106" t="n"/>
    </row>
    <row r="685">
      <c r="J685" s="87" t="n"/>
      <c r="L685" s="87" t="n"/>
      <c r="M685" s="105" t="n"/>
      <c r="N685" s="106" t="n"/>
    </row>
    <row r="686">
      <c r="J686" s="87" t="n"/>
      <c r="L686" s="87" t="n"/>
      <c r="M686" s="105" t="n"/>
      <c r="N686" s="106" t="n"/>
    </row>
    <row r="687">
      <c r="J687" s="87" t="n"/>
      <c r="L687" s="87" t="n"/>
      <c r="M687" s="105" t="n"/>
      <c r="N687" s="106" t="n"/>
    </row>
    <row r="688">
      <c r="J688" s="87" t="n"/>
      <c r="L688" s="87" t="n"/>
      <c r="M688" s="105" t="n"/>
      <c r="N688" s="106" t="n"/>
    </row>
    <row r="689">
      <c r="J689" s="87" t="n"/>
      <c r="L689" s="87" t="n"/>
      <c r="M689" s="105" t="n"/>
      <c r="N689" s="106" t="n"/>
    </row>
    <row r="690">
      <c r="J690" s="87" t="n"/>
      <c r="L690" s="87" t="n"/>
      <c r="M690" s="105" t="n"/>
      <c r="N690" s="106" t="n"/>
    </row>
    <row r="691">
      <c r="J691" s="87" t="n"/>
      <c r="L691" s="87" t="n"/>
      <c r="M691" s="105" t="n"/>
      <c r="N691" s="106" t="n"/>
    </row>
    <row r="692">
      <c r="J692" s="87" t="n"/>
      <c r="L692" s="87" t="n"/>
      <c r="M692" s="105" t="n"/>
      <c r="N692" s="106" t="n"/>
    </row>
    <row r="693">
      <c r="J693" s="87" t="n"/>
      <c r="L693" s="87" t="n"/>
      <c r="M693" s="105" t="n"/>
      <c r="N693" s="106" t="n"/>
    </row>
    <row r="694">
      <c r="J694" s="87" t="n"/>
      <c r="L694" s="87" t="n"/>
      <c r="M694" s="105" t="n"/>
      <c r="N694" s="106" t="n"/>
    </row>
    <row r="695">
      <c r="J695" s="87" t="n"/>
      <c r="L695" s="87" t="n"/>
      <c r="M695" s="105" t="n"/>
      <c r="N695" s="106" t="n"/>
    </row>
    <row r="696">
      <c r="J696" s="87" t="n"/>
      <c r="L696" s="87" t="n"/>
      <c r="M696" s="105" t="n"/>
      <c r="N696" s="106" t="n"/>
    </row>
    <row r="697">
      <c r="J697" s="87" t="n"/>
      <c r="L697" s="87" t="n"/>
      <c r="M697" s="105" t="n"/>
      <c r="N697" s="106" t="n"/>
    </row>
    <row r="698">
      <c r="J698" s="87" t="n"/>
      <c r="L698" s="87" t="n"/>
      <c r="M698" s="105" t="n"/>
      <c r="N698" s="106" t="n"/>
    </row>
    <row r="699">
      <c r="J699" s="87" t="n"/>
      <c r="L699" s="87" t="n"/>
      <c r="M699" s="105" t="n"/>
      <c r="N699" s="106" t="n"/>
    </row>
    <row r="700">
      <c r="J700" s="87" t="n"/>
      <c r="L700" s="87" t="n"/>
      <c r="M700" s="105" t="n"/>
      <c r="N700" s="106" t="n"/>
    </row>
    <row r="701">
      <c r="J701" s="87" t="n"/>
      <c r="L701" s="87" t="n"/>
      <c r="M701" s="105" t="n"/>
      <c r="N701" s="106" t="n"/>
    </row>
    <row r="702">
      <c r="J702" s="87" t="n"/>
      <c r="L702" s="87" t="n"/>
      <c r="M702" s="105" t="n"/>
      <c r="N702" s="106" t="n"/>
    </row>
    <row r="703">
      <c r="J703" s="87" t="n"/>
      <c r="L703" s="87" t="n"/>
      <c r="M703" s="105" t="n"/>
      <c r="N703" s="106" t="n"/>
    </row>
    <row r="704">
      <c r="J704" s="87" t="n"/>
      <c r="L704" s="87" t="n"/>
      <c r="M704" s="105" t="n"/>
      <c r="N704" s="106" t="n"/>
    </row>
    <row r="705">
      <c r="J705" s="87" t="n"/>
      <c r="L705" s="87" t="n"/>
      <c r="M705" s="105" t="n"/>
      <c r="N705" s="106" t="n"/>
    </row>
    <row r="706">
      <c r="J706" s="87" t="n"/>
      <c r="L706" s="87" t="n"/>
      <c r="M706" s="105" t="n"/>
      <c r="N706" s="106" t="n"/>
    </row>
    <row r="707">
      <c r="J707" s="87" t="n"/>
      <c r="L707" s="87" t="n"/>
      <c r="M707" s="105" t="n"/>
      <c r="N707" s="106" t="n"/>
    </row>
    <row r="708">
      <c r="J708" s="87" t="n"/>
      <c r="L708" s="87" t="n"/>
      <c r="M708" s="105" t="n"/>
      <c r="N708" s="106" t="n"/>
    </row>
    <row r="709">
      <c r="J709" s="87" t="n"/>
      <c r="L709" s="87" t="n"/>
      <c r="M709" s="105" t="n"/>
      <c r="N709" s="106" t="n"/>
    </row>
    <row r="710">
      <c r="J710" s="87" t="n"/>
      <c r="L710" s="87" t="n"/>
      <c r="M710" s="105" t="n"/>
      <c r="N710" s="106" t="n"/>
    </row>
    <row r="711">
      <c r="J711" s="87" t="n"/>
      <c r="L711" s="87" t="n"/>
      <c r="M711" s="105" t="n"/>
      <c r="N711" s="106" t="n"/>
    </row>
    <row r="712">
      <c r="J712" s="87" t="n"/>
      <c r="L712" s="87" t="n"/>
      <c r="M712" s="105" t="n"/>
      <c r="N712" s="106" t="n"/>
    </row>
    <row r="713">
      <c r="J713" s="87" t="n"/>
      <c r="L713" s="87" t="n"/>
      <c r="M713" s="105" t="n"/>
      <c r="N713" s="106" t="n"/>
    </row>
    <row r="714">
      <c r="J714" s="87" t="n"/>
      <c r="L714" s="87" t="n"/>
      <c r="M714" s="105" t="n"/>
      <c r="N714" s="106" t="n"/>
    </row>
    <row r="715">
      <c r="J715" s="87" t="n"/>
      <c r="L715" s="87" t="n"/>
      <c r="M715" s="105" t="n"/>
      <c r="N715" s="106" t="n"/>
    </row>
    <row r="716">
      <c r="J716" s="87" t="n"/>
      <c r="L716" s="87" t="n"/>
      <c r="M716" s="105" t="n"/>
      <c r="N716" s="106" t="n"/>
    </row>
    <row r="717">
      <c r="J717" s="87" t="n"/>
      <c r="L717" s="87" t="n"/>
      <c r="M717" s="105" t="n"/>
      <c r="N717" s="106" t="n"/>
    </row>
    <row r="718">
      <c r="J718" s="87" t="n"/>
      <c r="L718" s="87" t="n"/>
      <c r="M718" s="105" t="n"/>
      <c r="N718" s="106" t="n"/>
    </row>
    <row r="719">
      <c r="J719" s="87" t="n"/>
      <c r="L719" s="87" t="n"/>
      <c r="M719" s="105" t="n"/>
      <c r="N719" s="106" t="n"/>
    </row>
    <row r="720">
      <c r="J720" s="87" t="n"/>
      <c r="L720" s="87" t="n"/>
      <c r="M720" s="105" t="n"/>
      <c r="N720" s="106" t="n"/>
    </row>
    <row r="721">
      <c r="J721" s="87" t="n"/>
      <c r="L721" s="87" t="n"/>
      <c r="M721" s="105" t="n"/>
      <c r="N721" s="106" t="n"/>
    </row>
    <row r="722">
      <c r="J722" s="87" t="n"/>
      <c r="L722" s="87" t="n"/>
      <c r="M722" s="105" t="n"/>
      <c r="N722" s="106" t="n"/>
    </row>
    <row r="723">
      <c r="J723" s="87" t="n"/>
      <c r="L723" s="87" t="n"/>
      <c r="M723" s="105" t="n"/>
      <c r="N723" s="106" t="n"/>
    </row>
    <row r="724">
      <c r="J724" s="87" t="n"/>
      <c r="L724" s="87" t="n"/>
      <c r="M724" s="105" t="n"/>
      <c r="N724" s="106" t="n"/>
    </row>
    <row r="725">
      <c r="J725" s="87" t="n"/>
      <c r="L725" s="87" t="n"/>
      <c r="M725" s="105" t="n"/>
      <c r="N725" s="106" t="n"/>
    </row>
    <row r="726">
      <c r="J726" s="87" t="n"/>
      <c r="L726" s="87" t="n"/>
      <c r="M726" s="105" t="n"/>
      <c r="N726" s="106" t="n"/>
    </row>
    <row r="727">
      <c r="J727" s="87" t="n"/>
      <c r="L727" s="87" t="n"/>
      <c r="M727" s="105" t="n"/>
      <c r="N727" s="106" t="n"/>
    </row>
    <row r="728">
      <c r="J728" s="87" t="n"/>
      <c r="L728" s="87" t="n"/>
      <c r="M728" s="105" t="n"/>
      <c r="N728" s="106" t="n"/>
    </row>
    <row r="729">
      <c r="J729" s="87" t="n"/>
      <c r="L729" s="87" t="n"/>
      <c r="M729" s="105" t="n"/>
      <c r="N729" s="106" t="n"/>
    </row>
    <row r="730">
      <c r="J730" s="87" t="n"/>
      <c r="L730" s="87" t="n"/>
      <c r="M730" s="105" t="n"/>
      <c r="N730" s="106" t="n"/>
    </row>
    <row r="731">
      <c r="J731" s="87" t="n"/>
      <c r="L731" s="87" t="n"/>
      <c r="M731" s="105" t="n"/>
      <c r="N731" s="106" t="n"/>
    </row>
    <row r="732">
      <c r="J732" s="87" t="n"/>
      <c r="L732" s="87" t="n"/>
      <c r="M732" s="105" t="n"/>
      <c r="N732" s="106" t="n"/>
    </row>
    <row r="733">
      <c r="J733" s="87" t="n"/>
      <c r="L733" s="87" t="n"/>
      <c r="M733" s="105" t="n"/>
      <c r="N733" s="106" t="n"/>
    </row>
    <row r="734">
      <c r="J734" s="87" t="n"/>
      <c r="L734" s="87" t="n"/>
      <c r="M734" s="105" t="n"/>
      <c r="N734" s="106" t="n"/>
    </row>
    <row r="735">
      <c r="J735" s="87" t="n"/>
      <c r="L735" s="87" t="n"/>
      <c r="M735" s="105" t="n"/>
      <c r="N735" s="106" t="n"/>
    </row>
    <row r="736">
      <c r="J736" s="87" t="n"/>
      <c r="L736" s="87" t="n"/>
      <c r="M736" s="105" t="n"/>
      <c r="N736" s="106" t="n"/>
    </row>
    <row r="737">
      <c r="J737" s="87" t="n"/>
      <c r="L737" s="87" t="n"/>
      <c r="M737" s="105" t="n"/>
      <c r="N737" s="106" t="n"/>
    </row>
    <row r="738">
      <c r="J738" s="87" t="n"/>
      <c r="L738" s="87" t="n"/>
      <c r="M738" s="105" t="n"/>
      <c r="N738" s="106" t="n"/>
    </row>
    <row r="739">
      <c r="J739" s="87" t="n"/>
      <c r="L739" s="87" t="n"/>
      <c r="M739" s="105" t="n"/>
      <c r="N739" s="106" t="n"/>
    </row>
    <row r="740">
      <c r="J740" s="87" t="n"/>
      <c r="L740" s="87" t="n"/>
      <c r="M740" s="105" t="n"/>
      <c r="N740" s="106" t="n"/>
    </row>
    <row r="741">
      <c r="J741" s="87" t="n"/>
      <c r="L741" s="87" t="n"/>
      <c r="M741" s="105" t="n"/>
      <c r="N741" s="106" t="n"/>
    </row>
    <row r="742">
      <c r="J742" s="87" t="n"/>
      <c r="L742" s="87" t="n"/>
      <c r="M742" s="105" t="n"/>
      <c r="N742" s="106" t="n"/>
    </row>
    <row r="743">
      <c r="J743" s="87" t="n"/>
      <c r="L743" s="87" t="n"/>
      <c r="M743" s="105" t="n"/>
      <c r="N743" s="106" t="n"/>
    </row>
    <row r="744">
      <c r="J744" s="87" t="n"/>
      <c r="L744" s="87" t="n"/>
      <c r="M744" s="105" t="n"/>
      <c r="N744" s="106" t="n"/>
    </row>
    <row r="745">
      <c r="J745" s="87" t="n"/>
      <c r="L745" s="87" t="n"/>
      <c r="M745" s="105" t="n"/>
      <c r="N745" s="106" t="n"/>
    </row>
    <row r="746">
      <c r="J746" s="87" t="n"/>
      <c r="L746" s="87" t="n"/>
      <c r="M746" s="105" t="n"/>
      <c r="N746" s="106" t="n"/>
    </row>
    <row r="747">
      <c r="J747" s="87" t="n"/>
      <c r="L747" s="87" t="n"/>
      <c r="M747" s="105" t="n"/>
      <c r="N747" s="106" t="n"/>
    </row>
    <row r="748">
      <c r="J748" s="87" t="n"/>
      <c r="L748" s="87" t="n"/>
      <c r="M748" s="105" t="n"/>
      <c r="N748" s="106" t="n"/>
    </row>
    <row r="749">
      <c r="J749" s="87" t="n"/>
      <c r="L749" s="87" t="n"/>
      <c r="M749" s="105" t="n"/>
      <c r="N749" s="106" t="n"/>
    </row>
    <row r="750">
      <c r="J750" s="87" t="n"/>
      <c r="L750" s="87" t="n"/>
      <c r="M750" s="105" t="n"/>
      <c r="N750" s="106" t="n"/>
    </row>
    <row r="751">
      <c r="J751" s="87" t="n"/>
      <c r="L751" s="87" t="n"/>
      <c r="M751" s="105" t="n"/>
      <c r="N751" s="106" t="n"/>
    </row>
    <row r="752">
      <c r="J752" s="87" t="n"/>
      <c r="L752" s="87" t="n"/>
      <c r="M752" s="105" t="n"/>
      <c r="N752" s="106" t="n"/>
    </row>
    <row r="753">
      <c r="J753" s="87" t="n"/>
      <c r="L753" s="87" t="n"/>
      <c r="M753" s="105" t="n"/>
      <c r="N753" s="106" t="n"/>
    </row>
    <row r="754">
      <c r="J754" s="87" t="n"/>
      <c r="L754" s="87" t="n"/>
      <c r="M754" s="105" t="n"/>
      <c r="N754" s="106" t="n"/>
    </row>
    <row r="755">
      <c r="J755" s="87" t="n"/>
      <c r="L755" s="87" t="n"/>
      <c r="M755" s="105" t="n"/>
      <c r="N755" s="106" t="n"/>
    </row>
    <row r="756">
      <c r="J756" s="87" t="n"/>
      <c r="L756" s="87" t="n"/>
      <c r="M756" s="105" t="n"/>
      <c r="N756" s="106" t="n"/>
    </row>
    <row r="757">
      <c r="J757" s="87" t="n"/>
      <c r="L757" s="87" t="n"/>
      <c r="M757" s="105" t="n"/>
      <c r="N757" s="106" t="n"/>
    </row>
    <row r="758">
      <c r="J758" s="87" t="n"/>
      <c r="L758" s="87" t="n"/>
      <c r="M758" s="105" t="n"/>
      <c r="N758" s="106" t="n"/>
    </row>
    <row r="759">
      <c r="J759" s="87" t="n"/>
      <c r="L759" s="87" t="n"/>
      <c r="M759" s="105" t="n"/>
      <c r="N759" s="106" t="n"/>
    </row>
    <row r="760">
      <c r="J760" s="87" t="n"/>
      <c r="L760" s="87" t="n"/>
      <c r="M760" s="105" t="n"/>
      <c r="N760" s="106" t="n"/>
    </row>
    <row r="761">
      <c r="J761" s="87" t="n"/>
      <c r="L761" s="87" t="n"/>
      <c r="M761" s="105" t="n"/>
      <c r="N761" s="106" t="n"/>
    </row>
    <row r="762">
      <c r="J762" s="87" t="n"/>
      <c r="L762" s="87" t="n"/>
      <c r="M762" s="105" t="n"/>
      <c r="N762" s="106" t="n"/>
    </row>
    <row r="763">
      <c r="J763" s="87" t="n"/>
      <c r="L763" s="87" t="n"/>
      <c r="M763" s="105" t="n"/>
      <c r="N763" s="106" t="n"/>
    </row>
    <row r="764">
      <c r="J764" s="87" t="n"/>
      <c r="L764" s="87" t="n"/>
      <c r="M764" s="105" t="n"/>
      <c r="N764" s="106" t="n"/>
    </row>
    <row r="765">
      <c r="J765" s="87" t="n"/>
      <c r="L765" s="87" t="n"/>
      <c r="M765" s="105" t="n"/>
      <c r="N765" s="106" t="n"/>
    </row>
    <row r="766">
      <c r="J766" s="87" t="n"/>
      <c r="L766" s="87" t="n"/>
      <c r="M766" s="105" t="n"/>
      <c r="N766" s="106" t="n"/>
    </row>
    <row r="767">
      <c r="J767" s="87" t="n"/>
      <c r="L767" s="87" t="n"/>
      <c r="M767" s="105" t="n"/>
      <c r="N767" s="106" t="n"/>
    </row>
    <row r="768">
      <c r="J768" s="87" t="n"/>
      <c r="L768" s="87" t="n"/>
      <c r="M768" s="105" t="n"/>
      <c r="N768" s="106" t="n"/>
    </row>
    <row r="769">
      <c r="J769" s="87" t="n"/>
      <c r="L769" s="87" t="n"/>
      <c r="M769" s="105" t="n"/>
      <c r="N769" s="106" t="n"/>
    </row>
    <row r="770">
      <c r="J770" s="87" t="n"/>
      <c r="L770" s="87" t="n"/>
      <c r="M770" s="105" t="n"/>
      <c r="N770" s="106" t="n"/>
    </row>
    <row r="771">
      <c r="J771" s="87" t="n"/>
      <c r="L771" s="87" t="n"/>
      <c r="M771" s="105" t="n"/>
      <c r="N771" s="106" t="n"/>
    </row>
    <row r="772">
      <c r="J772" s="87" t="n"/>
      <c r="L772" s="87" t="n"/>
      <c r="M772" s="105" t="n"/>
      <c r="N772" s="106" t="n"/>
    </row>
    <row r="773">
      <c r="J773" s="87" t="n"/>
      <c r="L773" s="87" t="n"/>
      <c r="M773" s="105" t="n"/>
      <c r="N773" s="106" t="n"/>
    </row>
    <row r="774">
      <c r="J774" s="87" t="n"/>
      <c r="L774" s="87" t="n"/>
      <c r="M774" s="105" t="n"/>
      <c r="N774" s="106" t="n"/>
    </row>
    <row r="775">
      <c r="J775" s="87" t="n"/>
      <c r="L775" s="87" t="n"/>
      <c r="M775" s="105" t="n"/>
      <c r="N775" s="106" t="n"/>
    </row>
    <row r="776">
      <c r="J776" s="87" t="n"/>
      <c r="L776" s="87" t="n"/>
      <c r="M776" s="105" t="n"/>
      <c r="N776" s="106" t="n"/>
    </row>
    <row r="777">
      <c r="J777" s="87" t="n"/>
      <c r="L777" s="87" t="n"/>
      <c r="M777" s="105" t="n"/>
      <c r="N777" s="106" t="n"/>
    </row>
    <row r="778">
      <c r="J778" s="87" t="n"/>
      <c r="L778" s="87" t="n"/>
      <c r="M778" s="105" t="n"/>
      <c r="N778" s="106" t="n"/>
    </row>
    <row r="779">
      <c r="J779" s="87" t="n"/>
      <c r="L779" s="87" t="n"/>
      <c r="M779" s="105" t="n"/>
      <c r="N779" s="106" t="n"/>
    </row>
    <row r="780">
      <c r="J780" s="87" t="n"/>
      <c r="L780" s="87" t="n"/>
      <c r="M780" s="105" t="n"/>
      <c r="N780" s="106" t="n"/>
    </row>
    <row r="781">
      <c r="J781" s="87" t="n"/>
      <c r="L781" s="87" t="n"/>
      <c r="M781" s="105" t="n"/>
      <c r="N781" s="106" t="n"/>
    </row>
    <row r="782">
      <c r="J782" s="87" t="n"/>
      <c r="L782" s="87" t="n"/>
      <c r="M782" s="105" t="n"/>
      <c r="N782" s="106" t="n"/>
    </row>
    <row r="783">
      <c r="J783" s="87" t="n"/>
      <c r="L783" s="87" t="n"/>
      <c r="M783" s="105" t="n"/>
      <c r="N783" s="106" t="n"/>
    </row>
    <row r="784">
      <c r="J784" s="87" t="n"/>
      <c r="L784" s="87" t="n"/>
      <c r="M784" s="105" t="n"/>
      <c r="N784" s="106" t="n"/>
    </row>
    <row r="785">
      <c r="J785" s="87" t="n"/>
      <c r="L785" s="87" t="n"/>
      <c r="M785" s="105" t="n"/>
      <c r="N785" s="106" t="n"/>
    </row>
    <row r="786">
      <c r="J786" s="87" t="n"/>
      <c r="L786" s="87" t="n"/>
      <c r="M786" s="105" t="n"/>
      <c r="N786" s="106" t="n"/>
    </row>
    <row r="787">
      <c r="J787" s="87" t="n"/>
      <c r="L787" s="87" t="n"/>
      <c r="M787" s="105" t="n"/>
      <c r="N787" s="106" t="n"/>
    </row>
    <row r="788">
      <c r="J788" s="87" t="n"/>
      <c r="L788" s="87" t="n"/>
      <c r="M788" s="105" t="n"/>
      <c r="N788" s="106" t="n"/>
    </row>
    <row r="789">
      <c r="J789" s="87" t="n"/>
      <c r="L789" s="87" t="n"/>
      <c r="M789" s="105" t="n"/>
      <c r="N789" s="106" t="n"/>
    </row>
    <row r="790">
      <c r="J790" s="87" t="n"/>
      <c r="L790" s="87" t="n"/>
      <c r="M790" s="105" t="n"/>
      <c r="N790" s="106" t="n"/>
    </row>
    <row r="791">
      <c r="J791" s="87" t="n"/>
      <c r="L791" s="87" t="n"/>
      <c r="M791" s="105" t="n"/>
      <c r="N791" s="106" t="n"/>
    </row>
    <row r="792">
      <c r="J792" s="87" t="n"/>
      <c r="L792" s="87" t="n"/>
      <c r="M792" s="105" t="n"/>
      <c r="N792" s="106" t="n"/>
    </row>
    <row r="793">
      <c r="J793" s="87" t="n"/>
      <c r="L793" s="87" t="n"/>
      <c r="M793" s="105" t="n"/>
      <c r="N793" s="106" t="n"/>
    </row>
    <row r="794">
      <c r="J794" s="87" t="n"/>
      <c r="L794" s="87" t="n"/>
      <c r="M794" s="105" t="n"/>
      <c r="N794" s="106" t="n"/>
    </row>
    <row r="795">
      <c r="J795" s="87" t="n"/>
      <c r="L795" s="87" t="n"/>
      <c r="M795" s="105" t="n"/>
      <c r="N795" s="106" t="n"/>
    </row>
    <row r="796">
      <c r="J796" s="87" t="n"/>
      <c r="L796" s="87" t="n"/>
      <c r="M796" s="105" t="n"/>
      <c r="N796" s="106" t="n"/>
    </row>
    <row r="797">
      <c r="J797" s="87" t="n"/>
      <c r="L797" s="87" t="n"/>
      <c r="M797" s="105" t="n"/>
      <c r="N797" s="106" t="n"/>
    </row>
    <row r="798">
      <c r="J798" s="87" t="n"/>
      <c r="L798" s="87" t="n"/>
      <c r="M798" s="105" t="n"/>
      <c r="N798" s="106" t="n"/>
    </row>
    <row r="799">
      <c r="J799" s="87" t="n"/>
      <c r="L799" s="87" t="n"/>
      <c r="M799" s="105" t="n"/>
      <c r="N799" s="106" t="n"/>
    </row>
    <row r="800">
      <c r="J800" s="87" t="n"/>
      <c r="L800" s="87" t="n"/>
      <c r="M800" s="105" t="n"/>
      <c r="N800" s="106" t="n"/>
    </row>
    <row r="801">
      <c r="J801" s="87" t="n"/>
      <c r="L801" s="87" t="n"/>
      <c r="M801" s="105" t="n"/>
      <c r="N801" s="106" t="n"/>
    </row>
    <row r="802">
      <c r="J802" s="87" t="n"/>
      <c r="L802" s="87" t="n"/>
      <c r="M802" s="105" t="n"/>
      <c r="N802" s="106" t="n"/>
    </row>
    <row r="803">
      <c r="J803" s="87" t="n"/>
      <c r="L803" s="87" t="n"/>
      <c r="M803" s="105" t="n"/>
      <c r="N803" s="106" t="n"/>
    </row>
    <row r="804">
      <c r="J804" s="87" t="n"/>
      <c r="L804" s="87" t="n"/>
      <c r="M804" s="105" t="n"/>
      <c r="N804" s="106" t="n"/>
    </row>
    <row r="805">
      <c r="J805" s="87" t="n"/>
      <c r="L805" s="87" t="n"/>
      <c r="M805" s="105" t="n"/>
      <c r="N805" s="106" t="n"/>
    </row>
    <row r="806">
      <c r="J806" s="87" t="n"/>
      <c r="L806" s="87" t="n"/>
      <c r="M806" s="105" t="n"/>
      <c r="N806" s="106" t="n"/>
    </row>
    <row r="807">
      <c r="J807" s="87" t="n"/>
      <c r="L807" s="87" t="n"/>
      <c r="M807" s="105" t="n"/>
      <c r="N807" s="106" t="n"/>
    </row>
    <row r="808">
      <c r="J808" s="87" t="n"/>
      <c r="L808" s="87" t="n"/>
      <c r="M808" s="105" t="n"/>
      <c r="N808" s="106" t="n"/>
    </row>
    <row r="809">
      <c r="J809" s="87" t="n"/>
      <c r="L809" s="87" t="n"/>
      <c r="M809" s="105" t="n"/>
      <c r="N809" s="106" t="n"/>
    </row>
    <row r="810">
      <c r="J810" s="87" t="n"/>
      <c r="L810" s="87" t="n"/>
      <c r="M810" s="105" t="n"/>
      <c r="N810" s="106" t="n"/>
    </row>
    <row r="811">
      <c r="J811" s="87" t="n"/>
      <c r="L811" s="87" t="n"/>
      <c r="M811" s="105" t="n"/>
      <c r="N811" s="106" t="n"/>
    </row>
    <row r="812">
      <c r="J812" s="87" t="n"/>
      <c r="L812" s="87" t="n"/>
      <c r="M812" s="105" t="n"/>
      <c r="N812" s="106" t="n"/>
    </row>
    <row r="813">
      <c r="J813" s="87" t="n"/>
      <c r="L813" s="87" t="n"/>
      <c r="M813" s="105" t="n"/>
      <c r="N813" s="106" t="n"/>
    </row>
    <row r="814">
      <c r="J814" s="87" t="n"/>
      <c r="L814" s="87" t="n"/>
      <c r="M814" s="105" t="n"/>
      <c r="N814" s="106" t="n"/>
    </row>
    <row r="815">
      <c r="J815" s="87" t="n"/>
      <c r="L815" s="87" t="n"/>
      <c r="M815" s="105" t="n"/>
      <c r="N815" s="106" t="n"/>
    </row>
    <row r="816">
      <c r="J816" s="87" t="n"/>
      <c r="L816" s="87" t="n"/>
      <c r="M816" s="105" t="n"/>
      <c r="N816" s="106" t="n"/>
    </row>
    <row r="817">
      <c r="J817" s="87" t="n"/>
      <c r="L817" s="87" t="n"/>
      <c r="M817" s="105" t="n"/>
      <c r="N817" s="106" t="n"/>
    </row>
    <row r="818">
      <c r="J818" s="87" t="n"/>
      <c r="L818" s="87" t="n"/>
      <c r="M818" s="105" t="n"/>
      <c r="N818" s="106" t="n"/>
    </row>
    <row r="819">
      <c r="J819" s="87" t="n"/>
      <c r="L819" s="87" t="n"/>
      <c r="M819" s="105" t="n"/>
      <c r="N819" s="106" t="n"/>
    </row>
    <row r="820">
      <c r="J820" s="87" t="n"/>
      <c r="L820" s="87" t="n"/>
      <c r="M820" s="105" t="n"/>
      <c r="N820" s="106" t="n"/>
    </row>
    <row r="821">
      <c r="J821" s="87" t="n"/>
      <c r="L821" s="87" t="n"/>
      <c r="M821" s="105" t="n"/>
      <c r="N821" s="106" t="n"/>
    </row>
    <row r="822">
      <c r="J822" s="87" t="n"/>
      <c r="L822" s="87" t="n"/>
      <c r="M822" s="105" t="n"/>
      <c r="N822" s="106" t="n"/>
    </row>
    <row r="823">
      <c r="J823" s="87" t="n"/>
      <c r="L823" s="87" t="n"/>
      <c r="M823" s="105" t="n"/>
      <c r="N823" s="106" t="n"/>
    </row>
    <row r="824">
      <c r="J824" s="87" t="n"/>
      <c r="L824" s="87" t="n"/>
      <c r="M824" s="105" t="n"/>
      <c r="N824" s="106" t="n"/>
    </row>
    <row r="825">
      <c r="J825" s="87" t="n"/>
      <c r="L825" s="87" t="n"/>
      <c r="M825" s="105" t="n"/>
      <c r="N825" s="106" t="n"/>
    </row>
    <row r="826">
      <c r="J826" s="87" t="n"/>
      <c r="L826" s="87" t="n"/>
      <c r="M826" s="105" t="n"/>
      <c r="N826" s="106" t="n"/>
    </row>
    <row r="827">
      <c r="J827" s="87" t="n"/>
      <c r="L827" s="87" t="n"/>
      <c r="M827" s="105" t="n"/>
      <c r="N827" s="106" t="n"/>
    </row>
    <row r="828">
      <c r="J828" s="87" t="n"/>
      <c r="L828" s="87" t="n"/>
      <c r="M828" s="105" t="n"/>
      <c r="N828" s="106" t="n"/>
    </row>
    <row r="829">
      <c r="J829" s="87" t="n"/>
      <c r="L829" s="87" t="n"/>
      <c r="M829" s="105" t="n"/>
      <c r="N829" s="106" t="n"/>
    </row>
    <row r="830">
      <c r="J830" s="87" t="n"/>
      <c r="L830" s="87" t="n"/>
      <c r="M830" s="105" t="n"/>
      <c r="N830" s="106" t="n"/>
    </row>
    <row r="831">
      <c r="J831" s="87" t="n"/>
      <c r="L831" s="87" t="n"/>
      <c r="M831" s="105" t="n"/>
      <c r="N831" s="106" t="n"/>
    </row>
    <row r="832">
      <c r="J832" s="87" t="n"/>
      <c r="L832" s="87" t="n"/>
      <c r="M832" s="105" t="n"/>
      <c r="N832" s="106" t="n"/>
    </row>
    <row r="833">
      <c r="J833" s="87" t="n"/>
      <c r="L833" s="87" t="n"/>
      <c r="M833" s="105" t="n"/>
      <c r="N833" s="106" t="n"/>
    </row>
    <row r="834">
      <c r="J834" s="87" t="n"/>
      <c r="L834" s="87" t="n"/>
      <c r="M834" s="105" t="n"/>
      <c r="N834" s="106" t="n"/>
    </row>
    <row r="835">
      <c r="J835" s="87" t="n"/>
      <c r="L835" s="87" t="n"/>
      <c r="M835" s="105" t="n"/>
      <c r="N835" s="106" t="n"/>
    </row>
    <row r="836">
      <c r="J836" s="87" t="n"/>
      <c r="L836" s="87" t="n"/>
      <c r="M836" s="105" t="n"/>
      <c r="N836" s="106" t="n"/>
    </row>
    <row r="837">
      <c r="J837" s="87" t="n"/>
      <c r="L837" s="87" t="n"/>
      <c r="M837" s="105" t="n"/>
      <c r="N837" s="106" t="n"/>
    </row>
    <row r="838">
      <c r="J838" s="87" t="n"/>
      <c r="L838" s="87" t="n"/>
      <c r="M838" s="105" t="n"/>
      <c r="N838" s="106" t="n"/>
    </row>
    <row r="839">
      <c r="J839" s="87" t="n"/>
      <c r="L839" s="87" t="n"/>
      <c r="M839" s="105" t="n"/>
      <c r="N839" s="106" t="n"/>
    </row>
    <row r="840">
      <c r="J840" s="87" t="n"/>
      <c r="L840" s="87" t="n"/>
      <c r="M840" s="105" t="n"/>
      <c r="N840" s="106" t="n"/>
    </row>
    <row r="841">
      <c r="J841" s="87" t="n"/>
      <c r="L841" s="87" t="n"/>
      <c r="M841" s="105" t="n"/>
      <c r="N841" s="106" t="n"/>
    </row>
    <row r="842">
      <c r="J842" s="87" t="n"/>
      <c r="L842" s="87" t="n"/>
      <c r="M842" s="105" t="n"/>
      <c r="N842" s="106" t="n"/>
    </row>
    <row r="843">
      <c r="J843" s="87" t="n"/>
      <c r="L843" s="87" t="n"/>
      <c r="M843" s="105" t="n"/>
      <c r="N843" s="106" t="n"/>
    </row>
    <row r="844">
      <c r="J844" s="87" t="n"/>
      <c r="L844" s="87" t="n"/>
      <c r="M844" s="105" t="n"/>
      <c r="N844" s="106" t="n"/>
    </row>
    <row r="845">
      <c r="J845" s="87" t="n"/>
      <c r="L845" s="87" t="n"/>
      <c r="M845" s="105" t="n"/>
      <c r="N845" s="106" t="n"/>
    </row>
    <row r="846">
      <c r="J846" s="87" t="n"/>
      <c r="L846" s="87" t="n"/>
      <c r="M846" s="105" t="n"/>
      <c r="N846" s="106" t="n"/>
    </row>
    <row r="847">
      <c r="J847" s="87" t="n"/>
      <c r="L847" s="87" t="n"/>
      <c r="M847" s="105" t="n"/>
      <c r="N847" s="106" t="n"/>
    </row>
    <row r="848">
      <c r="J848" s="87" t="n"/>
      <c r="L848" s="87" t="n"/>
      <c r="M848" s="105" t="n"/>
      <c r="N848" s="106" t="n"/>
    </row>
    <row r="849">
      <c r="J849" s="87" t="n"/>
      <c r="L849" s="87" t="n"/>
      <c r="M849" s="105" t="n"/>
      <c r="N849" s="106" t="n"/>
    </row>
    <row r="850">
      <c r="J850" s="87" t="n"/>
      <c r="L850" s="87" t="n"/>
      <c r="M850" s="105" t="n"/>
      <c r="N850" s="106" t="n"/>
    </row>
    <row r="851">
      <c r="J851" s="87" t="n"/>
      <c r="L851" s="87" t="n"/>
      <c r="M851" s="105" t="n"/>
      <c r="N851" s="106" t="n"/>
    </row>
    <row r="852">
      <c r="J852" s="87" t="n"/>
      <c r="L852" s="87" t="n"/>
      <c r="M852" s="105" t="n"/>
      <c r="N852" s="106" t="n"/>
    </row>
    <row r="853">
      <c r="J853" s="87" t="n"/>
      <c r="L853" s="87" t="n"/>
      <c r="M853" s="105" t="n"/>
      <c r="N853" s="106" t="n"/>
    </row>
    <row r="854">
      <c r="J854" s="87" t="n"/>
      <c r="L854" s="87" t="n"/>
      <c r="M854" s="105" t="n"/>
      <c r="N854" s="106" t="n"/>
    </row>
    <row r="855">
      <c r="J855" s="87" t="n"/>
      <c r="L855" s="87" t="n"/>
      <c r="M855" s="105" t="n"/>
      <c r="N855" s="106" t="n"/>
    </row>
    <row r="856">
      <c r="J856" s="87" t="n"/>
      <c r="L856" s="87" t="n"/>
      <c r="M856" s="105" t="n"/>
      <c r="N856" s="106" t="n"/>
    </row>
    <row r="857">
      <c r="J857" s="87" t="n"/>
      <c r="L857" s="87" t="n"/>
      <c r="M857" s="105" t="n"/>
      <c r="N857" s="106" t="n"/>
    </row>
    <row r="858">
      <c r="J858" s="87" t="n"/>
      <c r="L858" s="87" t="n"/>
      <c r="M858" s="105" t="n"/>
      <c r="N858" s="106" t="n"/>
    </row>
    <row r="859">
      <c r="J859" s="87" t="n"/>
      <c r="L859" s="87" t="n"/>
      <c r="M859" s="105" t="n"/>
      <c r="N859" s="106" t="n"/>
    </row>
    <row r="860">
      <c r="J860" s="87" t="n"/>
      <c r="L860" s="87" t="n"/>
      <c r="M860" s="105" t="n"/>
      <c r="N860" s="106" t="n"/>
    </row>
    <row r="861">
      <c r="J861" s="87" t="n"/>
      <c r="L861" s="87" t="n"/>
      <c r="M861" s="105" t="n"/>
      <c r="N861" s="106" t="n"/>
    </row>
    <row r="862">
      <c r="J862" s="87" t="n"/>
      <c r="L862" s="87" t="n"/>
      <c r="M862" s="105" t="n"/>
      <c r="N862" s="106" t="n"/>
    </row>
    <row r="863">
      <c r="J863" s="87" t="n"/>
      <c r="L863" s="87" t="n"/>
      <c r="M863" s="105" t="n"/>
      <c r="N863" s="106" t="n"/>
    </row>
    <row r="864">
      <c r="J864" s="87" t="n"/>
      <c r="L864" s="87" t="n"/>
      <c r="M864" s="105" t="n"/>
      <c r="N864" s="106" t="n"/>
    </row>
    <row r="865">
      <c r="J865" s="87" t="n"/>
      <c r="L865" s="87" t="n"/>
      <c r="M865" s="105" t="n"/>
      <c r="N865" s="106" t="n"/>
    </row>
    <row r="866">
      <c r="J866" s="87" t="n"/>
      <c r="L866" s="87" t="n"/>
      <c r="M866" s="105" t="n"/>
      <c r="N866" s="106" t="n"/>
    </row>
    <row r="867">
      <c r="J867" s="87" t="n"/>
      <c r="L867" s="87" t="n"/>
      <c r="M867" s="105" t="n"/>
      <c r="N867" s="106" t="n"/>
    </row>
    <row r="868">
      <c r="J868" s="87" t="n"/>
      <c r="L868" s="87" t="n"/>
      <c r="M868" s="105" t="n"/>
      <c r="N868" s="106" t="n"/>
    </row>
    <row r="869">
      <c r="J869" s="87" t="n"/>
      <c r="L869" s="87" t="n"/>
      <c r="M869" s="105" t="n"/>
      <c r="N869" s="106" t="n"/>
    </row>
    <row r="870">
      <c r="J870" s="87" t="n"/>
      <c r="L870" s="87" t="n"/>
      <c r="M870" s="105" t="n"/>
      <c r="N870" s="106" t="n"/>
    </row>
    <row r="871">
      <c r="J871" s="87" t="n"/>
      <c r="L871" s="87" t="n"/>
      <c r="M871" s="105" t="n"/>
      <c r="N871" s="106" t="n"/>
    </row>
    <row r="872">
      <c r="J872" s="87" t="n"/>
      <c r="L872" s="87" t="n"/>
      <c r="M872" s="105" t="n"/>
      <c r="N872" s="106" t="n"/>
    </row>
    <row r="873">
      <c r="J873" s="87" t="n"/>
      <c r="L873" s="87" t="n"/>
      <c r="M873" s="105" t="n"/>
      <c r="N873" s="106" t="n"/>
    </row>
    <row r="874">
      <c r="J874" s="87" t="n"/>
      <c r="L874" s="87" t="n"/>
      <c r="M874" s="105" t="n"/>
      <c r="N874" s="106" t="n"/>
    </row>
    <row r="875">
      <c r="J875" s="87" t="n"/>
      <c r="L875" s="87" t="n"/>
      <c r="M875" s="105" t="n"/>
      <c r="N875" s="106" t="n"/>
    </row>
    <row r="876">
      <c r="J876" s="87" t="n"/>
      <c r="L876" s="87" t="n"/>
      <c r="M876" s="105" t="n"/>
      <c r="N876" s="106" t="n"/>
    </row>
    <row r="877">
      <c r="J877" s="87" t="n"/>
      <c r="L877" s="87" t="n"/>
      <c r="M877" s="105" t="n"/>
      <c r="N877" s="106" t="n"/>
    </row>
    <row r="878">
      <c r="J878" s="87" t="n"/>
      <c r="L878" s="87" t="n"/>
      <c r="M878" s="105" t="n"/>
      <c r="N878" s="106" t="n"/>
    </row>
    <row r="879">
      <c r="J879" s="87" t="n"/>
      <c r="L879" s="87" t="n"/>
      <c r="M879" s="105" t="n"/>
      <c r="N879" s="106" t="n"/>
    </row>
    <row r="880">
      <c r="J880" s="87" t="n"/>
      <c r="L880" s="87" t="n"/>
      <c r="M880" s="105" t="n"/>
      <c r="N880" s="106" t="n"/>
    </row>
    <row r="881">
      <c r="J881" s="87" t="n"/>
      <c r="L881" s="87" t="n"/>
      <c r="M881" s="105" t="n"/>
      <c r="N881" s="106" t="n"/>
    </row>
    <row r="882">
      <c r="J882" s="87" t="n"/>
      <c r="L882" s="87" t="n"/>
      <c r="M882" s="105" t="n"/>
      <c r="N882" s="106" t="n"/>
    </row>
    <row r="883">
      <c r="J883" s="87" t="n"/>
      <c r="L883" s="87" t="n"/>
      <c r="M883" s="105" t="n"/>
      <c r="N883" s="106" t="n"/>
    </row>
    <row r="884">
      <c r="J884" s="87" t="n"/>
      <c r="L884" s="87" t="n"/>
      <c r="M884" s="105" t="n"/>
      <c r="N884" s="106" t="n"/>
    </row>
    <row r="885">
      <c r="J885" s="87" t="n"/>
      <c r="L885" s="87" t="n"/>
      <c r="M885" s="105" t="n"/>
      <c r="N885" s="106" t="n"/>
    </row>
    <row r="886">
      <c r="J886" s="87" t="n"/>
      <c r="L886" s="87" t="n"/>
      <c r="M886" s="105" t="n"/>
      <c r="N886" s="106" t="n"/>
    </row>
    <row r="887">
      <c r="J887" s="87" t="n"/>
      <c r="L887" s="87" t="n"/>
      <c r="M887" s="105" t="n"/>
      <c r="N887" s="106" t="n"/>
    </row>
    <row r="888">
      <c r="J888" s="87" t="n"/>
      <c r="L888" s="87" t="n"/>
      <c r="M888" s="105" t="n"/>
      <c r="N888" s="106" t="n"/>
    </row>
    <row r="889">
      <c r="J889" s="87" t="n"/>
      <c r="L889" s="87" t="n"/>
      <c r="M889" s="105" t="n"/>
      <c r="N889" s="106" t="n"/>
    </row>
    <row r="890">
      <c r="J890" s="87" t="n"/>
      <c r="L890" s="87" t="n"/>
      <c r="M890" s="105" t="n"/>
      <c r="N890" s="106" t="n"/>
    </row>
    <row r="891">
      <c r="J891" s="87" t="n"/>
      <c r="L891" s="87" t="n"/>
      <c r="M891" s="105" t="n"/>
      <c r="N891" s="106" t="n"/>
    </row>
    <row r="892">
      <c r="J892" s="87" t="n"/>
      <c r="L892" s="87" t="n"/>
      <c r="M892" s="105" t="n"/>
      <c r="N892" s="106" t="n"/>
    </row>
    <row r="893">
      <c r="J893" s="87" t="n"/>
      <c r="L893" s="87" t="n"/>
      <c r="M893" s="105" t="n"/>
      <c r="N893" s="106" t="n"/>
    </row>
    <row r="894">
      <c r="J894" s="87" t="n"/>
      <c r="L894" s="87" t="n"/>
      <c r="M894" s="105" t="n"/>
      <c r="N894" s="106" t="n"/>
    </row>
    <row r="895">
      <c r="J895" s="87" t="n"/>
      <c r="L895" s="87" t="n"/>
      <c r="M895" s="105" t="n"/>
      <c r="N895" s="106" t="n"/>
    </row>
    <row r="896">
      <c r="J896" s="87" t="n"/>
      <c r="L896" s="87" t="n"/>
      <c r="M896" s="105" t="n"/>
      <c r="N896" s="106" t="n"/>
    </row>
    <row r="897">
      <c r="J897" s="87" t="n"/>
      <c r="L897" s="87" t="n"/>
      <c r="M897" s="105" t="n"/>
      <c r="N897" s="106" t="n"/>
    </row>
    <row r="898">
      <c r="J898" s="87" t="n"/>
      <c r="L898" s="87" t="n"/>
      <c r="M898" s="105" t="n"/>
      <c r="N898" s="106" t="n"/>
    </row>
    <row r="899">
      <c r="J899" s="87" t="n"/>
      <c r="L899" s="87" t="n"/>
      <c r="M899" s="105" t="n"/>
      <c r="N899" s="106" t="n"/>
    </row>
    <row r="900">
      <c r="J900" s="87" t="n"/>
      <c r="L900" s="87" t="n"/>
      <c r="M900" s="105" t="n"/>
      <c r="N900" s="106" t="n"/>
    </row>
    <row r="901">
      <c r="J901" s="87" t="n"/>
      <c r="L901" s="87" t="n"/>
      <c r="M901" s="105" t="n"/>
      <c r="N901" s="106" t="n"/>
    </row>
    <row r="902">
      <c r="J902" s="87" t="n"/>
      <c r="L902" s="87" t="n"/>
      <c r="M902" s="105" t="n"/>
      <c r="N902" s="106" t="n"/>
    </row>
    <row r="903">
      <c r="J903" s="87" t="n"/>
      <c r="L903" s="87" t="n"/>
      <c r="M903" s="105" t="n"/>
      <c r="N903" s="106" t="n"/>
    </row>
    <row r="904">
      <c r="J904" s="87" t="n"/>
      <c r="L904" s="87" t="n"/>
      <c r="M904" s="105" t="n"/>
      <c r="N904" s="106" t="n"/>
    </row>
    <row r="905">
      <c r="J905" s="87" t="n"/>
      <c r="L905" s="87" t="n"/>
      <c r="M905" s="105" t="n"/>
      <c r="N905" s="106" t="n"/>
    </row>
    <row r="906">
      <c r="J906" s="87" t="n"/>
      <c r="L906" s="87" t="n"/>
      <c r="M906" s="105" t="n"/>
      <c r="N906" s="106" t="n"/>
    </row>
    <row r="907">
      <c r="J907" s="87" t="n"/>
      <c r="L907" s="87" t="n"/>
      <c r="M907" s="105" t="n"/>
      <c r="N907" s="106" t="n"/>
    </row>
    <row r="908">
      <c r="J908" s="87" t="n"/>
      <c r="L908" s="87" t="n"/>
      <c r="M908" s="105" t="n"/>
      <c r="N908" s="106" t="n"/>
    </row>
    <row r="909">
      <c r="J909" s="87" t="n"/>
      <c r="L909" s="87" t="n"/>
      <c r="M909" s="105" t="n"/>
      <c r="N909" s="106" t="n"/>
    </row>
    <row r="910">
      <c r="J910" s="87" t="n"/>
      <c r="L910" s="87" t="n"/>
      <c r="M910" s="105" t="n"/>
      <c r="N910" s="106" t="n"/>
    </row>
    <row r="911">
      <c r="J911" s="87" t="n"/>
      <c r="L911" s="87" t="n"/>
      <c r="M911" s="105" t="n"/>
      <c r="N911" s="106" t="n"/>
    </row>
    <row r="912">
      <c r="J912" s="87" t="n"/>
      <c r="L912" s="87" t="n"/>
      <c r="M912" s="105" t="n"/>
      <c r="N912" s="106" t="n"/>
    </row>
    <row r="913">
      <c r="J913" s="87" t="n"/>
      <c r="L913" s="87" t="n"/>
      <c r="M913" s="105" t="n"/>
      <c r="N913" s="106" t="n"/>
    </row>
    <row r="914">
      <c r="J914" s="87" t="n"/>
      <c r="L914" s="87" t="n"/>
      <c r="M914" s="105" t="n"/>
      <c r="N914" s="106" t="n"/>
    </row>
    <row r="915">
      <c r="J915" s="87" t="n"/>
      <c r="L915" s="87" t="n"/>
      <c r="M915" s="105" t="n"/>
      <c r="N915" s="106" t="n"/>
    </row>
    <row r="916">
      <c r="J916" s="87" t="n"/>
      <c r="L916" s="87" t="n"/>
      <c r="M916" s="105" t="n"/>
      <c r="N916" s="106" t="n"/>
    </row>
    <row r="917">
      <c r="J917" s="87" t="n"/>
      <c r="L917" s="87" t="n"/>
      <c r="M917" s="105" t="n"/>
      <c r="N917" s="106" t="n"/>
    </row>
    <row r="918">
      <c r="J918" s="87" t="n"/>
      <c r="L918" s="87" t="n"/>
      <c r="M918" s="105" t="n"/>
      <c r="N918" s="106" t="n"/>
    </row>
    <row r="919">
      <c r="J919" s="87" t="n"/>
      <c r="L919" s="87" t="n"/>
      <c r="M919" s="105" t="n"/>
      <c r="N919" s="106" t="n"/>
    </row>
    <row r="920">
      <c r="J920" s="87" t="n"/>
      <c r="L920" s="87" t="n"/>
      <c r="M920" s="105" t="n"/>
      <c r="N920" s="106" t="n"/>
    </row>
    <row r="921">
      <c r="J921" s="87" t="n"/>
      <c r="L921" s="87" t="n"/>
      <c r="M921" s="105" t="n"/>
      <c r="N921" s="106" t="n"/>
    </row>
    <row r="922">
      <c r="J922" s="87" t="n"/>
      <c r="L922" s="87" t="n"/>
      <c r="M922" s="105" t="n"/>
      <c r="N922" s="106" t="n"/>
    </row>
    <row r="923">
      <c r="J923" s="87" t="n"/>
      <c r="L923" s="87" t="n"/>
      <c r="M923" s="105" t="n"/>
      <c r="N923" s="106" t="n"/>
    </row>
    <row r="924">
      <c r="J924" s="87" t="n"/>
      <c r="L924" s="87" t="n"/>
      <c r="M924" s="105" t="n"/>
      <c r="N924" s="106" t="n"/>
    </row>
    <row r="925">
      <c r="J925" s="87" t="n"/>
      <c r="L925" s="87" t="n"/>
      <c r="M925" s="105" t="n"/>
      <c r="N925" s="106" t="n"/>
    </row>
    <row r="926">
      <c r="J926" s="87" t="n"/>
      <c r="L926" s="87" t="n"/>
      <c r="M926" s="105" t="n"/>
      <c r="N926" s="106" t="n"/>
    </row>
    <row r="927">
      <c r="J927" s="87" t="n"/>
      <c r="L927" s="87" t="n"/>
      <c r="M927" s="105" t="n"/>
      <c r="N927" s="106" t="n"/>
    </row>
    <row r="928">
      <c r="J928" s="87" t="n"/>
      <c r="L928" s="87" t="n"/>
      <c r="M928" s="105" t="n"/>
      <c r="N928" s="106" t="n"/>
    </row>
    <row r="929">
      <c r="J929" s="87" t="n"/>
      <c r="L929" s="87" t="n"/>
      <c r="M929" s="105" t="n"/>
      <c r="N929" s="106" t="n"/>
    </row>
    <row r="930">
      <c r="J930" s="87" t="n"/>
      <c r="L930" s="87" t="n"/>
      <c r="M930" s="105" t="n"/>
      <c r="N930" s="106" t="n"/>
    </row>
    <row r="931">
      <c r="J931" s="87" t="n"/>
      <c r="L931" s="87" t="n"/>
      <c r="M931" s="105" t="n"/>
      <c r="N931" s="106" t="n"/>
    </row>
    <row r="932">
      <c r="J932" s="87" t="n"/>
      <c r="L932" s="87" t="n"/>
      <c r="M932" s="105" t="n"/>
      <c r="N932" s="106" t="n"/>
    </row>
    <row r="933">
      <c r="J933" s="87" t="n"/>
      <c r="L933" s="87" t="n"/>
      <c r="M933" s="105" t="n"/>
      <c r="N933" s="106" t="n"/>
    </row>
    <row r="934">
      <c r="J934" s="87" t="n"/>
      <c r="L934" s="87" t="n"/>
      <c r="M934" s="105" t="n"/>
      <c r="N934" s="106" t="n"/>
    </row>
    <row r="935">
      <c r="J935" s="87" t="n"/>
      <c r="L935" s="87" t="n"/>
      <c r="M935" s="105" t="n"/>
      <c r="N935" s="106" t="n"/>
    </row>
    <row r="936">
      <c r="J936" s="87" t="n"/>
      <c r="L936" s="87" t="n"/>
      <c r="M936" s="105" t="n"/>
      <c r="N936" s="106" t="n"/>
    </row>
    <row r="937">
      <c r="J937" s="87" t="n"/>
      <c r="L937" s="87" t="n"/>
      <c r="M937" s="105" t="n"/>
      <c r="N937" s="106" t="n"/>
    </row>
    <row r="938">
      <c r="J938" s="87" t="n"/>
      <c r="L938" s="87" t="n"/>
      <c r="M938" s="105" t="n"/>
      <c r="N938" s="106" t="n"/>
    </row>
    <row r="939">
      <c r="J939" s="87" t="n"/>
      <c r="L939" s="87" t="n"/>
      <c r="M939" s="105" t="n"/>
      <c r="N939" s="106" t="n"/>
    </row>
    <row r="940">
      <c r="J940" s="87" t="n"/>
      <c r="L940" s="87" t="n"/>
      <c r="M940" s="105" t="n"/>
      <c r="N940" s="106" t="n"/>
    </row>
    <row r="941">
      <c r="J941" s="87" t="n"/>
      <c r="L941" s="87" t="n"/>
      <c r="M941" s="105" t="n"/>
      <c r="N941" s="106" t="n"/>
    </row>
    <row r="942">
      <c r="J942" s="87" t="n"/>
      <c r="L942" s="87" t="n"/>
      <c r="M942" s="105" t="n"/>
      <c r="N942" s="106" t="n"/>
    </row>
    <row r="943">
      <c r="J943" s="87" t="n"/>
      <c r="L943" s="87" t="n"/>
      <c r="M943" s="105" t="n"/>
      <c r="N943" s="106" t="n"/>
    </row>
    <row r="944">
      <c r="J944" s="87" t="n"/>
      <c r="L944" s="87" t="n"/>
      <c r="M944" s="105" t="n"/>
      <c r="N944" s="106" t="n"/>
    </row>
    <row r="945">
      <c r="J945" s="87" t="n"/>
      <c r="L945" s="87" t="n"/>
      <c r="M945" s="105" t="n"/>
      <c r="N945" s="106" t="n"/>
    </row>
    <row r="946">
      <c r="J946" s="87" t="n"/>
      <c r="L946" s="87" t="n"/>
      <c r="M946" s="105" t="n"/>
      <c r="N946" s="106" t="n"/>
    </row>
    <row r="947">
      <c r="J947" s="87" t="n"/>
      <c r="L947" s="87" t="n"/>
      <c r="M947" s="105" t="n"/>
      <c r="N947" s="106" t="n"/>
    </row>
    <row r="948">
      <c r="J948" s="87" t="n"/>
      <c r="L948" s="87" t="n"/>
      <c r="M948" s="105" t="n"/>
      <c r="N948" s="106" t="n"/>
    </row>
    <row r="949">
      <c r="J949" s="87" t="n"/>
      <c r="L949" s="87" t="n"/>
      <c r="M949" s="105" t="n"/>
      <c r="N949" s="106" t="n"/>
    </row>
    <row r="950">
      <c r="J950" s="87" t="n"/>
      <c r="L950" s="87" t="n"/>
      <c r="M950" s="105" t="n"/>
      <c r="N950" s="106" t="n"/>
    </row>
    <row r="951">
      <c r="J951" s="87" t="n"/>
      <c r="L951" s="87" t="n"/>
      <c r="M951" s="105" t="n"/>
      <c r="N951" s="106" t="n"/>
    </row>
    <row r="952">
      <c r="J952" s="87" t="n"/>
      <c r="L952" s="87" t="n"/>
      <c r="M952" s="105" t="n"/>
      <c r="N952" s="106" t="n"/>
    </row>
    <row r="953">
      <c r="J953" s="87" t="n"/>
      <c r="L953" s="87" t="n"/>
      <c r="M953" s="105" t="n"/>
      <c r="N953" s="106" t="n"/>
    </row>
    <row r="954">
      <c r="J954" s="87" t="n"/>
      <c r="L954" s="87" t="n"/>
      <c r="M954" s="105" t="n"/>
      <c r="N954" s="106" t="n"/>
    </row>
    <row r="955">
      <c r="J955" s="87" t="n"/>
      <c r="L955" s="87" t="n"/>
      <c r="M955" s="105" t="n"/>
      <c r="N955" s="106" t="n"/>
    </row>
    <row r="956">
      <c r="J956" s="87" t="n"/>
      <c r="L956" s="87" t="n"/>
      <c r="M956" s="105" t="n"/>
      <c r="N956" s="106" t="n"/>
    </row>
    <row r="957">
      <c r="J957" s="87" t="n"/>
      <c r="L957" s="87" t="n"/>
      <c r="M957" s="105" t="n"/>
      <c r="N957" s="106" t="n"/>
    </row>
    <row r="958">
      <c r="J958" s="87" t="n"/>
      <c r="L958" s="87" t="n"/>
      <c r="M958" s="105" t="n"/>
      <c r="N958" s="106" t="n"/>
    </row>
    <row r="959">
      <c r="J959" s="87" t="n"/>
      <c r="L959" s="87" t="n"/>
      <c r="M959" s="105" t="n"/>
      <c r="N959" s="106" t="n"/>
    </row>
    <row r="960">
      <c r="J960" s="87" t="n"/>
      <c r="L960" s="87" t="n"/>
      <c r="M960" s="105" t="n"/>
      <c r="N960" s="106" t="n"/>
    </row>
    <row r="961">
      <c r="J961" s="87" t="n"/>
      <c r="L961" s="87" t="n"/>
      <c r="M961" s="105" t="n"/>
      <c r="N961" s="106" t="n"/>
    </row>
    <row r="962">
      <c r="J962" s="87" t="n"/>
      <c r="L962" s="87" t="n"/>
      <c r="M962" s="105" t="n"/>
      <c r="N962" s="106" t="n"/>
    </row>
    <row r="963">
      <c r="J963" s="87" t="n"/>
      <c r="L963" s="87" t="n"/>
      <c r="M963" s="105" t="n"/>
      <c r="N963" s="106" t="n"/>
    </row>
    <row r="964">
      <c r="J964" s="87" t="n"/>
      <c r="L964" s="87" t="n"/>
      <c r="M964" s="105" t="n"/>
      <c r="N964" s="106" t="n"/>
    </row>
    <row r="965">
      <c r="J965" s="87" t="n"/>
      <c r="L965" s="87" t="n"/>
      <c r="M965" s="105" t="n"/>
      <c r="N965" s="106" t="n"/>
    </row>
    <row r="966">
      <c r="J966" s="87" t="n"/>
      <c r="L966" s="87" t="n"/>
      <c r="M966" s="105" t="n"/>
      <c r="N966" s="106" t="n"/>
    </row>
    <row r="967">
      <c r="J967" s="87" t="n"/>
      <c r="L967" s="87" t="n"/>
      <c r="M967" s="105" t="n"/>
      <c r="N967" s="106" t="n"/>
    </row>
    <row r="968">
      <c r="J968" s="87" t="n"/>
      <c r="L968" s="87" t="n"/>
      <c r="M968" s="105" t="n"/>
      <c r="N968" s="106" t="n"/>
    </row>
    <row r="969">
      <c r="J969" s="87" t="n"/>
      <c r="L969" s="87" t="n"/>
      <c r="M969" s="105" t="n"/>
      <c r="N969" s="106" t="n"/>
    </row>
    <row r="970">
      <c r="J970" s="87" t="n"/>
      <c r="L970" s="87" t="n"/>
      <c r="M970" s="105" t="n"/>
      <c r="N970" s="106" t="n"/>
    </row>
    <row r="971">
      <c r="J971" s="87" t="n"/>
      <c r="L971" s="87" t="n"/>
      <c r="M971" s="105" t="n"/>
      <c r="N971" s="106" t="n"/>
    </row>
    <row r="972">
      <c r="J972" s="87" t="n"/>
      <c r="L972" s="87" t="n"/>
      <c r="M972" s="105" t="n"/>
      <c r="N972" s="106" t="n"/>
    </row>
    <row r="973">
      <c r="J973" s="87" t="n"/>
      <c r="L973" s="87" t="n"/>
      <c r="M973" s="105" t="n"/>
      <c r="N973" s="106" t="n"/>
    </row>
    <row r="974">
      <c r="J974" s="87" t="n"/>
      <c r="L974" s="87" t="n"/>
      <c r="M974" s="105" t="n"/>
      <c r="N974" s="106" t="n"/>
    </row>
    <row r="975">
      <c r="J975" s="87" t="n"/>
      <c r="L975" s="87" t="n"/>
      <c r="M975" s="105" t="n"/>
      <c r="N975" s="106" t="n"/>
    </row>
    <row r="976">
      <c r="J976" s="87" t="n"/>
      <c r="L976" s="87" t="n"/>
      <c r="M976" s="105" t="n"/>
      <c r="N976" s="106" t="n"/>
    </row>
    <row r="977">
      <c r="J977" s="87" t="n"/>
      <c r="L977" s="87" t="n"/>
      <c r="M977" s="105" t="n"/>
      <c r="N977" s="106" t="n"/>
    </row>
    <row r="978">
      <c r="J978" s="87" t="n"/>
      <c r="L978" s="87" t="n"/>
      <c r="M978" s="105" t="n"/>
      <c r="N978" s="106" t="n"/>
    </row>
    <row r="979">
      <c r="J979" s="87" t="n"/>
      <c r="L979" s="87" t="n"/>
      <c r="M979" s="105" t="n"/>
      <c r="N979" s="106" t="n"/>
    </row>
    <row r="980">
      <c r="J980" s="87" t="n"/>
      <c r="L980" s="87" t="n"/>
      <c r="M980" s="105" t="n"/>
      <c r="N980" s="106" t="n"/>
    </row>
    <row r="981">
      <c r="J981" s="87" t="n"/>
      <c r="L981" s="87" t="n"/>
      <c r="M981" s="105" t="n"/>
      <c r="N981" s="106" t="n"/>
    </row>
    <row r="982">
      <c r="J982" s="87" t="n"/>
      <c r="L982" s="87" t="n"/>
      <c r="M982" s="105" t="n"/>
      <c r="N982" s="106" t="n"/>
    </row>
    <row r="983">
      <c r="J983" s="87" t="n"/>
      <c r="L983" s="87" t="n"/>
      <c r="M983" s="105" t="n"/>
      <c r="N983" s="106" t="n"/>
    </row>
    <row r="984">
      <c r="J984" s="87" t="n"/>
      <c r="L984" s="87" t="n"/>
      <c r="M984" s="105" t="n"/>
      <c r="N984" s="106" t="n"/>
    </row>
    <row r="985">
      <c r="J985" s="87" t="n"/>
      <c r="L985" s="87" t="n"/>
      <c r="M985" s="105" t="n"/>
      <c r="N985" s="106" t="n"/>
    </row>
    <row r="986">
      <c r="J986" s="87" t="n"/>
      <c r="L986" s="87" t="n"/>
      <c r="M986" s="105" t="n"/>
      <c r="N986" s="106" t="n"/>
    </row>
    <row r="987">
      <c r="J987" s="87" t="n"/>
      <c r="L987" s="87" t="n"/>
      <c r="M987" s="105" t="n"/>
      <c r="N987" s="106" t="n"/>
    </row>
    <row r="988">
      <c r="J988" s="87" t="n"/>
      <c r="L988" s="87" t="n"/>
      <c r="M988" s="105" t="n"/>
      <c r="N988" s="106" t="n"/>
    </row>
    <row r="989">
      <c r="J989" s="87" t="n"/>
      <c r="L989" s="87" t="n"/>
      <c r="M989" s="105" t="n"/>
      <c r="N989" s="106" t="n"/>
    </row>
    <row r="990">
      <c r="J990" s="87" t="n"/>
      <c r="L990" s="87" t="n"/>
      <c r="M990" s="105" t="n"/>
      <c r="N990" s="106" t="n"/>
    </row>
    <row r="991">
      <c r="J991" s="87" t="n"/>
      <c r="L991" s="87" t="n"/>
      <c r="M991" s="105" t="n"/>
      <c r="N991" s="106" t="n"/>
    </row>
    <row r="992">
      <c r="J992" s="87" t="n"/>
      <c r="L992" s="87" t="n"/>
      <c r="M992" s="105" t="n"/>
      <c r="N992" s="106" t="n"/>
    </row>
    <row r="993">
      <c r="J993" s="87" t="n"/>
      <c r="L993" s="87" t="n"/>
      <c r="M993" s="105" t="n"/>
      <c r="N993" s="106" t="n"/>
    </row>
    <row r="994">
      <c r="J994" s="87" t="n"/>
      <c r="L994" s="87" t="n"/>
      <c r="M994" s="105" t="n"/>
      <c r="N994" s="106" t="n"/>
    </row>
    <row r="995">
      <c r="J995" s="87" t="n"/>
      <c r="L995" s="87" t="n"/>
      <c r="M995" s="105" t="n"/>
      <c r="N995" s="106" t="n"/>
    </row>
    <row r="996">
      <c r="J996" s="87" t="n"/>
      <c r="L996" s="87" t="n"/>
      <c r="M996" s="105" t="n"/>
      <c r="N996" s="106" t="n"/>
    </row>
    <row r="997">
      <c r="J997" s="87" t="n"/>
      <c r="L997" s="87" t="n"/>
      <c r="M997" s="105" t="n"/>
      <c r="N997" s="106" t="n"/>
    </row>
    <row r="998">
      <c r="J998" s="87" t="n"/>
      <c r="L998" s="87" t="n"/>
      <c r="M998" s="105" t="n"/>
      <c r="N998" s="106" t="n"/>
    </row>
  </sheetData>
  <mergeCells count="72">
    <mergeCell ref="B91:C91"/>
    <mergeCell ref="A24:B24"/>
    <mergeCell ref="B16:C16"/>
    <mergeCell ref="B100:C100"/>
    <mergeCell ref="B54:C54"/>
    <mergeCell ref="B7:C7"/>
    <mergeCell ref="B72:C72"/>
    <mergeCell ref="B90:C90"/>
    <mergeCell ref="B81:C81"/>
    <mergeCell ref="B22:C22"/>
    <mergeCell ref="B93:C93"/>
    <mergeCell ref="B27:C27"/>
    <mergeCell ref="B102:C102"/>
    <mergeCell ref="B18:C18"/>
    <mergeCell ref="B43:C43"/>
    <mergeCell ref="B39:C39"/>
    <mergeCell ref="B79:C79"/>
    <mergeCell ref="B52:C52"/>
    <mergeCell ref="B21:C21"/>
    <mergeCell ref="B48:C48"/>
    <mergeCell ref="A108:B108"/>
    <mergeCell ref="B98:C98"/>
    <mergeCell ref="M109:N109"/>
    <mergeCell ref="B42:C42"/>
    <mergeCell ref="B61:C61"/>
    <mergeCell ref="A46:B46"/>
    <mergeCell ref="B101:C101"/>
    <mergeCell ref="M108:N108"/>
    <mergeCell ref="A109:C109"/>
    <mergeCell ref="B17:C17"/>
    <mergeCell ref="B88:C88"/>
    <mergeCell ref="B8:C8"/>
    <mergeCell ref="B53:C53"/>
    <mergeCell ref="B69:C69"/>
    <mergeCell ref="B87:C87"/>
    <mergeCell ref="B44:C44"/>
    <mergeCell ref="B38:C38"/>
    <mergeCell ref="B78:C78"/>
    <mergeCell ref="A86:B86"/>
    <mergeCell ref="B29:C29"/>
    <mergeCell ref="A76:B76"/>
    <mergeCell ref="B103:C103"/>
    <mergeCell ref="B19:C19"/>
    <mergeCell ref="B34:C34"/>
    <mergeCell ref="M86:N86"/>
    <mergeCell ref="B28:C28"/>
    <mergeCell ref="M46:N46"/>
    <mergeCell ref="B99:C99"/>
    <mergeCell ref="B37:C37"/>
    <mergeCell ref="B40:C40"/>
    <mergeCell ref="B49:C49"/>
    <mergeCell ref="A97:B97"/>
    <mergeCell ref="M97:N97"/>
    <mergeCell ref="B55:C55"/>
    <mergeCell ref="B92:C92"/>
    <mergeCell ref="B68:C68"/>
    <mergeCell ref="M24:N24"/>
    <mergeCell ref="M76:N76"/>
    <mergeCell ref="B15:C15"/>
    <mergeCell ref="B30:C30"/>
    <mergeCell ref="A1:C1"/>
    <mergeCell ref="B104:C104"/>
    <mergeCell ref="B80:C80"/>
    <mergeCell ref="B51:C51"/>
    <mergeCell ref="B95:C95"/>
    <mergeCell ref="B89:C89"/>
    <mergeCell ref="B36:C36"/>
    <mergeCell ref="B94:C94"/>
    <mergeCell ref="B50:C50"/>
    <mergeCell ref="B26:C26"/>
    <mergeCell ref="B41:C41"/>
    <mergeCell ref="B35:C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A99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42.63" customWidth="1" style="270" min="2" max="2"/>
    <col width="15.63" customWidth="1" style="270" min="3" max="3"/>
    <col width="15.88" customWidth="1" style="270" min="4" max="4"/>
    <col width="15" customWidth="1" style="270" min="7" max="7"/>
    <col width="21" customWidth="1" style="270" min="10" max="10"/>
    <col width="20.63" customWidth="1" style="270" min="12" max="12"/>
  </cols>
  <sheetData>
    <row r="1">
      <c r="A1" s="111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215" t="n"/>
      <c r="J1" s="87" t="n"/>
      <c r="L1" s="87" t="n"/>
      <c r="M1" s="105" t="n"/>
      <c r="N1" s="106" t="n"/>
    </row>
    <row r="2">
      <c r="A2" s="186" t="inlineStr">
        <is>
          <t>VIGENCIA:</t>
        </is>
      </c>
      <c r="B2" s="108" t="n">
        <v>45154</v>
      </c>
      <c r="C2" s="223" t="n"/>
      <c r="D2" s="110" t="n"/>
      <c r="E2" s="111" t="n"/>
      <c r="F2" s="111" t="n"/>
      <c r="G2" s="111" t="n"/>
      <c r="H2" s="111" t="n"/>
      <c r="I2" s="215" t="n"/>
      <c r="J2" s="87" t="n"/>
      <c r="L2" s="87" t="n"/>
      <c r="M2" s="105" t="n"/>
      <c r="N2" s="106" t="n"/>
    </row>
    <row r="3">
      <c r="J3" s="87" t="n"/>
      <c r="L3" s="87" t="n"/>
      <c r="M3" s="105" t="n"/>
      <c r="N3" s="106" t="n"/>
    </row>
    <row r="4">
      <c r="B4" s="223" t="n"/>
      <c r="C4" s="223" t="n"/>
      <c r="D4" s="118" t="inlineStr">
        <is>
          <t>Lista 20 con -7 y -2</t>
        </is>
      </c>
      <c r="E4" s="188" t="inlineStr">
        <is>
          <t xml:space="preserve">Mayorista </t>
        </is>
      </c>
      <c r="F4" s="188" t="inlineStr">
        <is>
          <t xml:space="preserve">Minorista </t>
        </is>
      </c>
      <c r="G4" s="188" t="inlineStr">
        <is>
          <t>Minorista con IVA</t>
        </is>
      </c>
      <c r="H4" s="188" t="inlineStr">
        <is>
          <t>Redondeado</t>
        </is>
      </c>
      <c r="J4" s="87" t="inlineStr">
        <is>
          <t>Antes del 7 + 2% ANTERIOR</t>
        </is>
      </c>
      <c r="L4" s="87" t="inlineStr">
        <is>
          <t>Antes del 7 + 2% ACTUAL</t>
        </is>
      </c>
      <c r="M4" s="119" t="n"/>
      <c r="N4" s="120" t="inlineStr">
        <is>
          <t>% Aumento</t>
        </is>
      </c>
      <c r="O4" s="118" t="n"/>
    </row>
    <row r="5">
      <c r="A5" s="117" t="inlineStr">
        <is>
          <t>JABONES</t>
        </is>
      </c>
      <c r="B5" s="223" t="n"/>
      <c r="C5" s="223" t="n"/>
      <c r="D5" s="118" t="n"/>
      <c r="J5" s="87" t="n"/>
      <c r="L5" s="87" t="n"/>
      <c r="M5" s="119" t="n"/>
      <c r="N5" s="120" t="n"/>
      <c r="O5" s="118" t="n"/>
    </row>
    <row r="6">
      <c r="A6" s="124" t="n"/>
      <c r="B6" s="223" t="n"/>
      <c r="C6" s="223" t="n"/>
      <c r="D6" s="237" t="n"/>
      <c r="J6" s="87" t="n"/>
      <c r="L6" s="87" t="n"/>
      <c r="M6" s="128" t="n"/>
      <c r="N6" s="120" t="n"/>
      <c r="O6" s="237" t="n"/>
    </row>
    <row r="7">
      <c r="A7" s="124" t="n">
        <v>701</v>
      </c>
      <c r="B7" s="223" t="inlineStr">
        <is>
          <t>Botella 1 lt. Servicio Dilución DMQ</t>
        </is>
      </c>
      <c r="D7" s="237">
        <f>L7*0.93*0.98</f>
        <v/>
      </c>
      <c r="E7" s="87">
        <f>D7*1.3*1.105</f>
        <v/>
      </c>
      <c r="F7" s="87">
        <f>D7*1.3*1.105/0.9</f>
        <v/>
      </c>
      <c r="G7" s="87">
        <f>F7*1.21</f>
        <v/>
      </c>
      <c r="H7" s="87">
        <f>ROUND(G7/100,0)*100</f>
        <v/>
      </c>
      <c r="J7" s="87" t="n">
        <v>1289.22087</v>
      </c>
      <c r="L7" s="127" t="n">
        <v>1945</v>
      </c>
      <c r="M7" s="128" t="n"/>
      <c r="N7" s="120">
        <f>(L7/J7)-1</f>
        <v/>
      </c>
      <c r="O7" s="237" t="n"/>
    </row>
    <row r="8">
      <c r="A8" s="124" t="n">
        <v>720</v>
      </c>
      <c r="B8" s="223" t="inlineStr">
        <is>
          <t>Bidon x 5 lts. Jabón Líquido Tocador</t>
        </is>
      </c>
      <c r="D8" s="237">
        <f>L8*0.93*0.98</f>
        <v/>
      </c>
      <c r="E8" s="87">
        <f>D8*1.3*1.105</f>
        <v/>
      </c>
      <c r="F8" s="87">
        <f>D8*1.3*1.105/0.9</f>
        <v/>
      </c>
      <c r="G8" s="87">
        <f>F8*1.21</f>
        <v/>
      </c>
      <c r="H8" s="87">
        <f>ROUND(G8/100,0)*100</f>
        <v/>
      </c>
      <c r="J8" s="87" t="n">
        <v>4043.161794</v>
      </c>
      <c r="L8" s="230" t="n">
        <v>6099.78</v>
      </c>
      <c r="M8" s="128" t="n"/>
      <c r="N8" s="120">
        <f>(L8/J8)-1</f>
        <v/>
      </c>
      <c r="O8" s="237" t="n"/>
    </row>
    <row r="9">
      <c r="A9" s="124" t="n"/>
      <c r="B9" s="223" t="n"/>
      <c r="C9" s="223" t="n"/>
      <c r="D9" s="237" t="n"/>
      <c r="J9" s="87" t="n"/>
      <c r="L9" s="215" t="n"/>
      <c r="M9" s="128" t="n"/>
      <c r="N9" s="120" t="n"/>
      <c r="O9" s="237" t="n"/>
    </row>
    <row r="10">
      <c r="A10" s="117" t="inlineStr">
        <is>
          <t>TOALLAS</t>
        </is>
      </c>
      <c r="B10" s="223" t="n"/>
      <c r="C10" s="223" t="n"/>
      <c r="D10" s="237" t="n"/>
      <c r="J10" s="87" t="n"/>
      <c r="L10" s="215" t="n"/>
      <c r="M10" s="119" t="n"/>
      <c r="N10" s="120" t="n"/>
      <c r="O10" s="237" t="n"/>
    </row>
    <row r="11">
      <c r="A11" s="131" t="n"/>
      <c r="B11" s="223" t="n"/>
      <c r="C11" s="223" t="n"/>
      <c r="D11" s="237" t="n"/>
      <c r="J11" s="87" t="n"/>
      <c r="L11" s="215" t="n"/>
      <c r="M11" s="119" t="n"/>
      <c r="N11" s="120" t="n"/>
      <c r="O11" s="237" t="n"/>
    </row>
    <row r="12">
      <c r="A12" s="124" t="n">
        <v>901</v>
      </c>
      <c r="B12" s="223" t="inlineStr">
        <is>
          <t>Toallas Blancas Super 21x25</t>
        </is>
      </c>
      <c r="C12" s="223" t="n"/>
      <c r="D12" s="237">
        <f>L12*0.93*0.98</f>
        <v/>
      </c>
      <c r="E12" s="87">
        <f>D12*1.3*1.105</f>
        <v/>
      </c>
      <c r="F12" s="87">
        <f>D12*1.3*1.105/0.9</f>
        <v/>
      </c>
      <c r="G12" s="87">
        <f>F12*1.21</f>
        <v/>
      </c>
      <c r="H12" s="87">
        <f>ROUND(G12/100,0)*100</f>
        <v/>
      </c>
      <c r="J12" s="87" t="n">
        <v>4798.119984000001</v>
      </c>
      <c r="L12" s="127" t="n">
        <v>7238.77</v>
      </c>
      <c r="M12" s="128" t="n"/>
      <c r="N12" s="120">
        <f>(L12/J12)-1</f>
        <v/>
      </c>
      <c r="O12" s="237" t="n"/>
    </row>
    <row r="13">
      <c r="A13" s="124" t="n">
        <v>902</v>
      </c>
      <c r="B13" s="223" t="inlineStr">
        <is>
          <t>Toallas Blancas Pura Simple</t>
        </is>
      </c>
      <c r="C13" s="223" t="n"/>
      <c r="D13" s="237">
        <f>L13*0.93*0.98</f>
        <v/>
      </c>
      <c r="E13" s="87">
        <f>D13*1.3*1.105</f>
        <v/>
      </c>
      <c r="F13" s="87">
        <f>D13*1.3*1.105/0.9</f>
        <v/>
      </c>
      <c r="G13" s="87">
        <f>F13*1.21</f>
        <v/>
      </c>
      <c r="H13" s="87">
        <f>ROUND(G13/100,0)*100</f>
        <v/>
      </c>
      <c r="J13" s="87" t="n">
        <v>5323.30512</v>
      </c>
      <c r="L13" s="230" t="n">
        <v>8027.1</v>
      </c>
      <c r="M13" s="128" t="n"/>
      <c r="N13" s="120">
        <f>(L13/J13)-1</f>
        <v/>
      </c>
      <c r="O13" s="237" t="n"/>
    </row>
    <row r="14">
      <c r="A14" s="124" t="n">
        <v>903</v>
      </c>
      <c r="B14" s="223" t="inlineStr">
        <is>
          <t>Toallas Blancas Pura Doble</t>
        </is>
      </c>
      <c r="C14" s="223" t="n"/>
      <c r="D14" s="237">
        <f>L14*0.93*0.98</f>
        <v/>
      </c>
      <c r="E14" s="87">
        <f>D14*1.3*1.105</f>
        <v/>
      </c>
      <c r="F14" s="87">
        <f>D14*1.3*1.105/0.9</f>
        <v/>
      </c>
      <c r="G14" s="87">
        <f>F14*1.21</f>
        <v/>
      </c>
      <c r="H14" s="87">
        <f>ROUND(G14/100,0)*100</f>
        <v/>
      </c>
      <c r="J14" s="87" t="n">
        <v>6630.088668</v>
      </c>
      <c r="L14" s="230" t="n">
        <v>9925.6</v>
      </c>
      <c r="M14" s="128" t="n"/>
      <c r="N14" s="120">
        <f>(L14/J14)-1</f>
        <v/>
      </c>
      <c r="O14" s="237" t="n"/>
    </row>
    <row r="15">
      <c r="A15" s="124" t="n">
        <v>914</v>
      </c>
      <c r="B15" s="223" t="inlineStr">
        <is>
          <t>Toalla Blanca Unitas (17,5x25 cm)</t>
        </is>
      </c>
      <c r="D15" s="237">
        <f>L15*0.93*0.98</f>
        <v/>
      </c>
      <c r="E15" s="87">
        <f>D15*1.3*1.105</f>
        <v/>
      </c>
      <c r="F15" s="87">
        <f>D15*1.3*1.105/0.9</f>
        <v/>
      </c>
      <c r="G15" s="87">
        <f>F15*1.21</f>
        <v/>
      </c>
      <c r="H15" s="87">
        <f>ROUND(G15/100,0)*100</f>
        <v/>
      </c>
      <c r="J15" s="87" t="n">
        <v>3656.017302</v>
      </c>
      <c r="L15" s="230" t="n">
        <v>5515.72</v>
      </c>
      <c r="M15" s="128" t="n"/>
      <c r="N15" s="120">
        <f>(L15/J15)-1</f>
        <v/>
      </c>
      <c r="O15" s="237" t="n"/>
    </row>
    <row r="16">
      <c r="A16" s="124" t="n">
        <v>916</v>
      </c>
      <c r="B16" s="223" t="inlineStr">
        <is>
          <t>Toalla Blanca Especial 21 x 25 ( tiza )</t>
        </is>
      </c>
      <c r="D16" s="237">
        <f>L16*0.93*0.98</f>
        <v/>
      </c>
      <c r="E16" s="87">
        <f>D16*1.3*1.105</f>
        <v/>
      </c>
      <c r="F16" s="87">
        <f>D16*1.3*1.105/0.9</f>
        <v/>
      </c>
      <c r="G16" s="87">
        <f>F16*1.21</f>
        <v/>
      </c>
      <c r="H16" s="87">
        <f>ROUND(G16/100,0)*100</f>
        <v/>
      </c>
      <c r="J16" s="87" t="n">
        <v>4474.782606</v>
      </c>
      <c r="L16" s="230" t="n">
        <v>6750.96</v>
      </c>
      <c r="M16" s="128" t="n"/>
      <c r="N16" s="120">
        <f>(L16/J16)-1</f>
        <v/>
      </c>
      <c r="O16" s="237" t="n"/>
    </row>
    <row r="17">
      <c r="A17" s="124" t="n">
        <v>920</v>
      </c>
      <c r="B17" s="223" t="inlineStr">
        <is>
          <t>Toalla Blanca Especial 21 x 37 ( tiza )</t>
        </is>
      </c>
      <c r="D17" s="237">
        <f>L17*0.93*0.98</f>
        <v/>
      </c>
      <c r="E17" s="87">
        <f>D17*1.3*1.105</f>
        <v/>
      </c>
      <c r="F17" s="87">
        <f>D17*1.3*1.105/0.9</f>
        <v/>
      </c>
      <c r="G17" s="87">
        <f>F17*1.21</f>
        <v/>
      </c>
      <c r="H17" s="87">
        <f>ROUND(G17/100,0)*100</f>
        <v/>
      </c>
      <c r="J17" s="87" t="n">
        <v>6104.274666</v>
      </c>
      <c r="L17" s="230" t="n">
        <v>9209.32</v>
      </c>
      <c r="M17" s="128" t="n"/>
      <c r="N17" s="120">
        <f>(L17/J17)-1</f>
        <v/>
      </c>
      <c r="O17" s="237" t="n"/>
    </row>
    <row r="18">
      <c r="A18" s="124" t="n">
        <v>927</v>
      </c>
      <c r="B18" s="223" t="inlineStr">
        <is>
          <t>Toalla Blanca Especial 17,5 x 25 ( tiza ) Unita</t>
        </is>
      </c>
      <c r="D18" s="237">
        <f>L18*0.93*0.98</f>
        <v/>
      </c>
      <c r="E18" s="87">
        <f>D18*1.3*1.105</f>
        <v/>
      </c>
      <c r="F18" s="87">
        <f>D18*1.3*1.105/0.9</f>
        <v/>
      </c>
      <c r="G18" s="87">
        <f>F18*1.21</f>
        <v/>
      </c>
      <c r="H18" s="87">
        <f>ROUND(G18/100,0)*100</f>
        <v/>
      </c>
      <c r="J18" s="87" t="n">
        <v>3507.641382</v>
      </c>
      <c r="L18" s="230" t="n">
        <v>5291.86</v>
      </c>
      <c r="M18" s="128" t="n"/>
      <c r="N18" s="120">
        <f>(L18/J18)-1</f>
        <v/>
      </c>
      <c r="O18" s="237" t="n"/>
    </row>
    <row r="19">
      <c r="A19" s="124" t="n">
        <v>928</v>
      </c>
      <c r="B19" s="223" t="inlineStr">
        <is>
          <t>Cajas x 2500 Toallas Beige 21x37</t>
        </is>
      </c>
      <c r="D19" s="237">
        <f>L19*0.93*0.98</f>
        <v/>
      </c>
      <c r="E19" s="87">
        <f>D19*1.3*1.105</f>
        <v/>
      </c>
      <c r="F19" s="87">
        <f>D19*1.3*1.105/0.9</f>
        <v/>
      </c>
      <c r="G19" s="87">
        <f>F19*1.21</f>
        <v/>
      </c>
      <c r="H19" s="87">
        <f>ROUND(G19/100,0)*100</f>
        <v/>
      </c>
      <c r="J19" s="87" t="n">
        <v>5169.816246</v>
      </c>
      <c r="L19" s="230" t="n">
        <v>7809.44</v>
      </c>
      <c r="M19" s="128" t="n"/>
      <c r="N19" s="120">
        <f>(L19/J19)-1</f>
        <v/>
      </c>
      <c r="O19" s="237" t="n"/>
    </row>
    <row r="20">
      <c r="A20" s="124" t="n">
        <v>930</v>
      </c>
      <c r="B20" s="223" t="inlineStr">
        <is>
          <t>Toalla Blanca Super 21x37 cm</t>
        </is>
      </c>
      <c r="C20" s="223" t="n"/>
      <c r="D20" s="237">
        <f>L20*0.93*0.98</f>
        <v/>
      </c>
      <c r="E20" s="87">
        <f>D20*1.3*1.105</f>
        <v/>
      </c>
      <c r="F20" s="87">
        <f>D20*1.3*1.105/0.9</f>
        <v/>
      </c>
      <c r="G20" s="87">
        <f>F20*1.21</f>
        <v/>
      </c>
      <c r="H20" s="87">
        <f>ROUND(G20/100,0)*100</f>
        <v/>
      </c>
      <c r="J20" s="87" t="n">
        <v>6598.244352000001</v>
      </c>
      <c r="L20" s="230" t="n">
        <v>9954.559999999999</v>
      </c>
      <c r="M20" s="128" t="n"/>
      <c r="N20" s="120">
        <f>(L20/J20)-1</f>
        <v/>
      </c>
      <c r="O20" s="237" t="n"/>
    </row>
    <row r="21">
      <c r="A21" s="124" t="n">
        <v>931</v>
      </c>
      <c r="B21" s="223" t="inlineStr">
        <is>
          <t>Caja x 2500 Toallas Beige Unitas 17,5 cm x 25 cm</t>
        </is>
      </c>
      <c r="D21" s="237">
        <f>L21*0.93*0.98</f>
        <v/>
      </c>
      <c r="E21" s="87">
        <f>D21*1.3*1.105</f>
        <v/>
      </c>
      <c r="F21" s="87">
        <f>D21*1.3*1.105/0.9</f>
        <v/>
      </c>
      <c r="G21" s="87">
        <f>F21*1.21</f>
        <v/>
      </c>
      <c r="H21" s="87">
        <f>ROUND(G21/100,0)*100</f>
        <v/>
      </c>
      <c r="I21" s="87">
        <f>F21*1.1</f>
        <v/>
      </c>
      <c r="J21" s="87" t="n">
        <v>3227.066892</v>
      </c>
      <c r="L21" s="230" t="n">
        <v>4868.56</v>
      </c>
      <c r="M21" s="128" t="n"/>
      <c r="N21" s="120">
        <f>(L21/J21)-1</f>
        <v/>
      </c>
      <c r="O21" s="237" t="n"/>
    </row>
    <row r="22">
      <c r="A22" s="124" t="n">
        <v>932</v>
      </c>
      <c r="B22" s="223" t="inlineStr">
        <is>
          <t>Caja x 2500 Toallas Beige 21 cm x 25 cm simple hoja</t>
        </is>
      </c>
      <c r="D22" s="237">
        <f>L22*0.93*0.98</f>
        <v/>
      </c>
      <c r="E22" s="87">
        <f>D22*1.3*1.105</f>
        <v/>
      </c>
      <c r="F22" s="87">
        <f>D22*1.3*1.105/0.9</f>
        <v/>
      </c>
      <c r="G22" s="87">
        <f>F22*1.21</f>
        <v/>
      </c>
      <c r="H22" s="87">
        <f>ROUND(G22/100,0)*100</f>
        <v/>
      </c>
      <c r="J22" s="87" t="n">
        <v>3679.403826</v>
      </c>
      <c r="L22" s="230" t="n">
        <v>5551</v>
      </c>
      <c r="M22" s="128" t="n"/>
      <c r="N22" s="120">
        <f>(L22/J22)-1</f>
        <v/>
      </c>
      <c r="O22" s="237" t="n"/>
    </row>
    <row r="23">
      <c r="A23" s="124" t="n"/>
      <c r="B23" s="223" t="n"/>
      <c r="C23" s="223" t="n"/>
      <c r="D23" s="237" t="n"/>
      <c r="J23" s="87" t="n"/>
      <c r="L23" s="87" t="n"/>
      <c r="M23" s="128" t="n"/>
      <c r="N23" s="120" t="n"/>
      <c r="O23" s="237" t="n"/>
    </row>
    <row r="24">
      <c r="A24" s="117" t="inlineStr">
        <is>
          <t>TOALLAS EN ROLLO</t>
        </is>
      </c>
      <c r="B24" s="271" t="n"/>
      <c r="C24" s="223" t="n"/>
      <c r="D24" s="237" t="n"/>
      <c r="J24" s="87" t="n"/>
      <c r="L24" s="87" t="n"/>
      <c r="M24" s="119" t="n"/>
      <c r="O24" s="237" t="n"/>
    </row>
    <row r="25">
      <c r="A25" s="131" t="n"/>
      <c r="B25" s="111" t="n"/>
      <c r="C25" s="223" t="n"/>
      <c r="D25" s="237" t="n"/>
      <c r="J25" s="87" t="n"/>
      <c r="L25" s="87" t="n"/>
      <c r="M25" s="119" t="n"/>
      <c r="N25" s="132" t="n"/>
      <c r="O25" s="237" t="n"/>
    </row>
    <row r="26">
      <c r="A26" s="124" t="n">
        <v>204</v>
      </c>
      <c r="B26" s="223" t="inlineStr">
        <is>
          <t>Pack X 2 Rollos de toalla x 300 mts Blanca</t>
        </is>
      </c>
      <c r="D26" s="237">
        <f>L26*0.93*0.98</f>
        <v/>
      </c>
      <c r="E26" s="87">
        <f>D26*1.3*1.105</f>
        <v/>
      </c>
      <c r="F26" s="87">
        <f>D26*1.3*1.105/0.9</f>
        <v/>
      </c>
      <c r="G26" s="87">
        <f>F26*1.21</f>
        <v/>
      </c>
      <c r="H26" s="87">
        <f>ROUND(G26/100,0)*100</f>
        <v/>
      </c>
      <c r="J26" s="87" t="n">
        <v>7241.474016</v>
      </c>
      <c r="L26" s="127" t="n">
        <v>10924.98</v>
      </c>
      <c r="M26" s="128" t="n"/>
      <c r="N26" s="120">
        <f>(L26/J26)-1</f>
        <v/>
      </c>
      <c r="O26" s="237" t="n"/>
    </row>
    <row r="27">
      <c r="A27" s="124" t="n">
        <v>205</v>
      </c>
      <c r="B27" s="223" t="inlineStr">
        <is>
          <t>Pack X 2 Rollos de toalla x 240 mts Blanca</t>
        </is>
      </c>
      <c r="D27" s="237">
        <f>L27*0.93*0.98</f>
        <v/>
      </c>
      <c r="E27" s="87">
        <f>D27*1.3*1.105</f>
        <v/>
      </c>
      <c r="F27" s="87">
        <f>D27*1.3*1.105/0.9</f>
        <v/>
      </c>
      <c r="G27" s="87">
        <f>F27*1.21</f>
        <v/>
      </c>
      <c r="H27" s="87">
        <f>ROUND(G27/100,0)*100</f>
        <v/>
      </c>
      <c r="J27" s="87" t="n">
        <v>9228.180192000002</v>
      </c>
      <c r="L27" s="230" t="n">
        <v>13922.26</v>
      </c>
      <c r="M27" s="128" t="n"/>
      <c r="N27" s="120">
        <f>(L27/J27)-1</f>
        <v/>
      </c>
      <c r="O27" s="237" t="n"/>
    </row>
    <row r="28">
      <c r="A28" s="133" t="n">
        <v>116</v>
      </c>
      <c r="B28" s="134" t="inlineStr">
        <is>
          <t>Pack x 6 Rollos de Toallas x 200 mts. Blanca</t>
        </is>
      </c>
      <c r="D28" s="135">
        <f>L28*0.93*0.98</f>
        <v/>
      </c>
      <c r="E28" s="87">
        <f>D28*1.3*1.105</f>
        <v/>
      </c>
      <c r="F28" s="87">
        <f>D28*1.3*1.105/0.9</f>
        <v/>
      </c>
      <c r="G28" s="87">
        <f>F28*1.21</f>
        <v/>
      </c>
      <c r="H28" s="87">
        <f>ROUND(G28/100,0)*100</f>
        <v/>
      </c>
      <c r="J28" s="87" t="n">
        <v>7300.705902000001</v>
      </c>
      <c r="L28" s="230" t="n">
        <v>11014.34</v>
      </c>
      <c r="M28" s="128" t="n"/>
      <c r="N28" s="120">
        <f>(L28/J28)-1</f>
        <v/>
      </c>
      <c r="O28" s="135" t="n"/>
    </row>
    <row r="29">
      <c r="A29" s="124" t="n">
        <v>135</v>
      </c>
      <c r="B29" s="223" t="inlineStr">
        <is>
          <t>Recarga Original P/Dispenser Celmatic 2500 U. Dobles</t>
        </is>
      </c>
      <c r="D29" s="237">
        <f>L29*0.93*0.98</f>
        <v/>
      </c>
      <c r="E29" s="87">
        <f>D29*1.3*1.105</f>
        <v/>
      </c>
      <c r="F29" s="87">
        <f>D29*1.3*1.105/0.9</f>
        <v/>
      </c>
      <c r="G29" s="87">
        <f>F29*1.21</f>
        <v/>
      </c>
      <c r="H29" s="87">
        <f>ROUND(G29/100,0)*100</f>
        <v/>
      </c>
      <c r="J29" s="87" t="n">
        <v>3538.246194</v>
      </c>
      <c r="L29" s="230" t="n">
        <v>5338.02</v>
      </c>
      <c r="M29" s="128" t="n"/>
      <c r="N29" s="120">
        <f>(L29/J29)-1</f>
        <v/>
      </c>
      <c r="O29" s="237" t="n"/>
    </row>
    <row r="30">
      <c r="A30" s="124" t="n">
        <v>136</v>
      </c>
      <c r="B30" s="223" t="inlineStr">
        <is>
          <t>Pack x 4 Recarga Celmatic Due 2400 U. Dobles</t>
        </is>
      </c>
      <c r="D30" s="237">
        <f>L30*0.93*0.98</f>
        <v/>
      </c>
      <c r="E30" s="87">
        <f>D30*1.3*1.105</f>
        <v/>
      </c>
      <c r="F30" s="87">
        <f>D30*1.3*1.105/0.9</f>
        <v/>
      </c>
      <c r="G30" s="87">
        <f>F30*1.21</f>
        <v/>
      </c>
      <c r="H30" s="87">
        <f>ROUND(G30/100,0)*100</f>
        <v/>
      </c>
      <c r="J30" s="87" t="n">
        <v>2819.835144</v>
      </c>
      <c r="L30" s="230" t="n">
        <v>4254.18</v>
      </c>
      <c r="M30" s="128" t="n"/>
      <c r="N30" s="120">
        <f>(L30/J30)-1</f>
        <v/>
      </c>
      <c r="O30" s="237" t="n"/>
    </row>
    <row r="31">
      <c r="A31" s="124" t="n"/>
      <c r="B31" s="223" t="n"/>
      <c r="C31" s="223" t="n"/>
      <c r="D31" s="237">
        <f>D28/6</f>
        <v/>
      </c>
      <c r="J31" s="87" t="n"/>
      <c r="L31" s="87" t="n"/>
      <c r="M31" s="128" t="n"/>
      <c r="N31" s="120" t="n"/>
      <c r="O31" s="237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 t="n"/>
      <c r="J32" s="87" t="n"/>
      <c r="L32" s="87" t="n"/>
      <c r="M32" s="119" t="n"/>
      <c r="N32" s="120" t="n"/>
      <c r="O32" s="137" t="n"/>
    </row>
    <row r="33">
      <c r="A33" s="131" t="n"/>
      <c r="B33" s="158" t="n"/>
      <c r="C33" s="223" t="n"/>
      <c r="D33" s="169" t="n"/>
      <c r="J33" s="87" t="n"/>
      <c r="L33" s="87" t="n"/>
      <c r="M33" s="119" t="n"/>
      <c r="N33" s="120" t="n"/>
      <c r="O33" s="169" t="n"/>
    </row>
    <row r="34">
      <c r="A34" s="124" t="n">
        <v>501</v>
      </c>
      <c r="B34" s="140" t="inlineStr">
        <is>
          <t>Pack x 2 rollos Cel-Soft de 22,5 x 150 mts</t>
        </is>
      </c>
      <c r="D34" s="237">
        <f>L34*0.93*0.98</f>
        <v/>
      </c>
      <c r="E34" s="87">
        <f>D34*1.3*1.105</f>
        <v/>
      </c>
      <c r="F34" s="87">
        <f>D34*1.3*1.105/0.9</f>
        <v/>
      </c>
      <c r="G34" s="87">
        <f>F34*1.21</f>
        <v/>
      </c>
      <c r="H34" s="87">
        <f>ROUND(G34/100,0)*100</f>
        <v/>
      </c>
      <c r="J34" s="87" t="n">
        <v>51.9498</v>
      </c>
      <c r="L34" s="127" t="n">
        <v>61.27</v>
      </c>
      <c r="M34" s="128" t="n"/>
      <c r="N34" s="141">
        <f>(L34/J34)-1</f>
        <v/>
      </c>
      <c r="O34" s="237" t="n"/>
    </row>
    <row r="35">
      <c r="A35" s="124" t="n">
        <v>505</v>
      </c>
      <c r="B35" s="223" t="inlineStr">
        <is>
          <t>Caja x 2000 U. Servilletas Cel-Soft 30 x 40 cm</t>
        </is>
      </c>
      <c r="D35" s="237">
        <f>L35*0.93*0.98</f>
        <v/>
      </c>
      <c r="E35" s="87">
        <f>D35*1.3*1.105</f>
        <v/>
      </c>
      <c r="F35" s="87">
        <f>D35*1.3*1.105/0.9</f>
        <v/>
      </c>
      <c r="G35" s="87">
        <f>F35*1.21</f>
        <v/>
      </c>
      <c r="H35" s="87">
        <f>ROUND(G35/100,0)*100</f>
        <v/>
      </c>
      <c r="J35" s="87" t="n">
        <v>249.486636</v>
      </c>
      <c r="L35" s="230" t="n">
        <v>294.28</v>
      </c>
      <c r="M35" s="128" t="n"/>
      <c r="N35" s="120">
        <f>(L35/J35)-1</f>
        <v/>
      </c>
      <c r="O35" s="237" t="n"/>
    </row>
    <row r="36">
      <c r="A36" s="124" t="n">
        <v>506</v>
      </c>
      <c r="B36" s="223" t="inlineStr">
        <is>
          <t>Caja x 3500 Toallas Cel-Soft 21 x 25 cm Blancas</t>
        </is>
      </c>
      <c r="D36" s="237">
        <f>L36*0.93*0.98</f>
        <v/>
      </c>
      <c r="E36" s="87">
        <f>D36*1.3*1.105</f>
        <v/>
      </c>
      <c r="F36" s="87">
        <f>D36*1.3*1.105/0.9</f>
        <v/>
      </c>
      <c r="G36" s="87">
        <f>F36*1.21</f>
        <v/>
      </c>
      <c r="H36" s="87">
        <f>ROUND(G36/100,0)*100</f>
        <v/>
      </c>
      <c r="J36" s="87" t="n">
        <v>139.644708</v>
      </c>
      <c r="L36" s="230" t="n">
        <v>164.7</v>
      </c>
      <c r="M36" s="128" t="n"/>
      <c r="N36" s="120">
        <f>(L36/J36)-1</f>
        <v/>
      </c>
      <c r="O36" s="237" t="n"/>
    </row>
    <row r="37">
      <c r="A37" s="124" t="n">
        <v>512</v>
      </c>
      <c r="B37" s="223" t="inlineStr">
        <is>
          <t>Caja x 2000 U. Servilletas Cel-Soft 30 x 25 cm</t>
        </is>
      </c>
      <c r="D37" s="237">
        <f>L37*0.93*0.98</f>
        <v/>
      </c>
      <c r="E37" s="87">
        <f>D37*1.3*1.105</f>
        <v/>
      </c>
      <c r="F37" s="87">
        <f>D37*1.3*1.105/0.9</f>
        <v/>
      </c>
      <c r="G37" s="87">
        <f>F37*1.21</f>
        <v/>
      </c>
      <c r="H37" s="87">
        <f>ROUND(G37/100,0)*100</f>
        <v/>
      </c>
      <c r="I37" s="87">
        <f>D37*1.21*400/10</f>
        <v/>
      </c>
      <c r="J37" s="87" t="n">
        <v>158.273724</v>
      </c>
      <c r="L37" s="230" t="n">
        <v>186.84</v>
      </c>
      <c r="M37" s="128" t="n"/>
      <c r="N37" s="120">
        <f>(L37/J37)-1</f>
        <v/>
      </c>
      <c r="O37" s="237" t="n"/>
    </row>
    <row r="38">
      <c r="A38" s="124" t="n">
        <v>514</v>
      </c>
      <c r="B38" s="223" t="inlineStr">
        <is>
          <t>Caja por 600 servilletas Celsoft 40x40 Victoria Ambra</t>
        </is>
      </c>
      <c r="D38" s="237">
        <f>L38*0.93*0.98</f>
        <v/>
      </c>
      <c r="E38" s="87">
        <f>D38*1.3*1.105</f>
        <v/>
      </c>
      <c r="F38" s="87">
        <f>D38*1.3*1.105/0.9</f>
        <v/>
      </c>
      <c r="G38" s="87">
        <f>F38*1.21</f>
        <v/>
      </c>
      <c r="H38" s="87">
        <f>ROUND(G38/100,0)*100</f>
        <v/>
      </c>
      <c r="J38" s="87" t="n">
        <v>170.61408</v>
      </c>
      <c r="L38" s="230" t="n">
        <v>201.24</v>
      </c>
      <c r="M38" s="128" t="n"/>
      <c r="N38" s="120">
        <f>(L38/J38)-1</f>
        <v/>
      </c>
      <c r="O38" s="237" t="n"/>
    </row>
    <row r="39">
      <c r="A39" s="124" t="n">
        <v>515</v>
      </c>
      <c r="B39" s="223" t="inlineStr">
        <is>
          <t>Caja por 600 servilletas Celsoft 40x40 Victoria Nero</t>
        </is>
      </c>
      <c r="D39" s="237">
        <f>L39*0.93*0.98</f>
        <v/>
      </c>
      <c r="E39" s="87">
        <f>D39*1.3*1.105</f>
        <v/>
      </c>
      <c r="F39" s="87">
        <f>D39*1.3*1.105/0.9</f>
        <v/>
      </c>
      <c r="G39" s="87">
        <f>F39*1.21</f>
        <v/>
      </c>
      <c r="H39" s="87">
        <f>ROUND(G39/100,0)*100</f>
        <v/>
      </c>
      <c r="J39" s="87" t="n">
        <v>170.61408</v>
      </c>
      <c r="L39" s="230" t="n">
        <v>201.24</v>
      </c>
      <c r="M39" s="128" t="n"/>
      <c r="N39" s="120">
        <f>(L39/J39)-1</f>
        <v/>
      </c>
      <c r="O39" s="237" t="n"/>
    </row>
    <row r="40">
      <c r="A40" s="124" t="n">
        <v>516</v>
      </c>
      <c r="B40" s="223" t="inlineStr">
        <is>
          <t>Caja por 600 servilletas Celsoft 40x40 Tasca Bordeaux</t>
        </is>
      </c>
      <c r="D40" s="237">
        <f>L40*0.93*0.98</f>
        <v/>
      </c>
      <c r="E40" s="87">
        <f>D40*1.3*1.105</f>
        <v/>
      </c>
      <c r="F40" s="87">
        <f>D40*1.3*1.105/0.9</f>
        <v/>
      </c>
      <c r="G40" s="87">
        <f>F40*1.21</f>
        <v/>
      </c>
      <c r="H40" s="87">
        <f>ROUND(G40/100,0)*100</f>
        <v/>
      </c>
      <c r="J40" s="87" t="n">
        <v>201.182436</v>
      </c>
      <c r="L40" s="230" t="n">
        <v>237.29</v>
      </c>
      <c r="M40" s="128" t="n"/>
      <c r="N40" s="120">
        <f>(L40/J40)-1</f>
        <v/>
      </c>
      <c r="O40" s="237" t="n"/>
    </row>
    <row r="41">
      <c r="A41" s="124" t="n">
        <v>517</v>
      </c>
      <c r="B41" s="223" t="inlineStr">
        <is>
          <t>Caja por 600 servilletas Celsoft 40x40 Tasca Nero</t>
        </is>
      </c>
      <c r="D41" s="237">
        <f>L41*0.93*0.98</f>
        <v/>
      </c>
      <c r="E41" s="87">
        <f>D41*1.3*1.105</f>
        <v/>
      </c>
      <c r="F41" s="87">
        <f>D41*1.3*1.105/0.9</f>
        <v/>
      </c>
      <c r="G41" s="87">
        <f>F41*1.21</f>
        <v/>
      </c>
      <c r="H41" s="87">
        <f>ROUND(G41/100,0)*100</f>
        <v/>
      </c>
      <c r="J41" s="87" t="n">
        <v>201.182436</v>
      </c>
      <c r="L41" s="230" t="n">
        <v>237.29</v>
      </c>
      <c r="M41" s="128" t="n"/>
      <c r="N41" s="120">
        <f>(L41/J41)-1</f>
        <v/>
      </c>
      <c r="O41" s="237" t="n"/>
    </row>
    <row r="42">
      <c r="A42" s="124" t="n">
        <v>518</v>
      </c>
      <c r="B42" s="223" t="inlineStr">
        <is>
          <t>Caja por 600 servilletas Celsoft 40x40 Tasca Lino Avorio</t>
        </is>
      </c>
      <c r="D42" s="237">
        <f>L42*0.93*0.98</f>
        <v/>
      </c>
      <c r="E42" s="87">
        <f>D42*1.3*1.105</f>
        <v/>
      </c>
      <c r="F42" s="87">
        <f>D42*1.3*1.105/0.9</f>
        <v/>
      </c>
      <c r="G42" s="87">
        <f>F42*1.21</f>
        <v/>
      </c>
      <c r="H42" s="87">
        <f>ROUND(G42/100,0)*100</f>
        <v/>
      </c>
      <c r="J42" s="87" t="n">
        <v>170.61408</v>
      </c>
      <c r="L42" s="230" t="n">
        <v>201.24</v>
      </c>
      <c r="M42" s="128" t="n"/>
      <c r="N42" s="120">
        <f>(L42/J42)-1</f>
        <v/>
      </c>
      <c r="O42" s="237" t="n"/>
    </row>
    <row r="43">
      <c r="A43" s="124" t="n">
        <v>519</v>
      </c>
      <c r="B43" s="223" t="inlineStr">
        <is>
          <t>Caja por 600 servilletas Celsoft 40x40 Taca Iuta Grigio</t>
        </is>
      </c>
      <c r="D43" s="237">
        <f>L43*0.93*0.98</f>
        <v/>
      </c>
      <c r="E43" s="87">
        <f>D43*1.3*1.105</f>
        <v/>
      </c>
      <c r="F43" s="87">
        <f>D43*1.3*1.105/0.9</f>
        <v/>
      </c>
      <c r="G43" s="87">
        <f>F43*1.21</f>
        <v/>
      </c>
      <c r="H43" s="87">
        <f>ROUND(G43/100,0)*100</f>
        <v/>
      </c>
      <c r="J43" s="87" t="n">
        <v>170.61408</v>
      </c>
      <c r="L43" s="230" t="n">
        <v>201.24</v>
      </c>
      <c r="M43" s="128" t="n"/>
      <c r="N43" s="120">
        <f>(L43/J43)-1</f>
        <v/>
      </c>
      <c r="O43" s="237" t="n"/>
    </row>
    <row r="44">
      <c r="A44" s="124" t="n">
        <v>520</v>
      </c>
      <c r="B44" s="223" t="inlineStr">
        <is>
          <t>Caja de servilletas Celsoft 40 x 40 SAMPLER 300 Unid</t>
        </is>
      </c>
      <c r="D44" s="237">
        <f>L44*0.93*0.98</f>
        <v/>
      </c>
      <c r="E44" s="87">
        <f>D44*1.3*1.105</f>
        <v/>
      </c>
      <c r="F44" s="87">
        <f>D44*1.3*1.105/0.9</f>
        <v/>
      </c>
      <c r="G44" s="87">
        <f>F44*1.21</f>
        <v/>
      </c>
      <c r="H44" s="87">
        <f>ROUND(G44/100,0)*100</f>
        <v/>
      </c>
      <c r="J44" s="87" t="n">
        <v>90.31062600000001</v>
      </c>
      <c r="L44" s="230" t="n">
        <v>106.52</v>
      </c>
      <c r="M44" s="128" t="n"/>
      <c r="N44" s="120">
        <f>(L44/J44)-1</f>
        <v/>
      </c>
      <c r="O44" s="237" t="n"/>
    </row>
    <row r="45">
      <c r="A45" s="124" t="n"/>
      <c r="B45" s="223" t="n"/>
      <c r="C45" s="223" t="n"/>
      <c r="D45" s="237" t="n"/>
      <c r="J45" s="87" t="n"/>
      <c r="L45" s="87" t="n"/>
      <c r="M45" s="128" t="n"/>
      <c r="N45" s="120" t="n"/>
      <c r="O45" s="237" t="n"/>
    </row>
    <row r="46">
      <c r="A46" s="142" t="inlineStr">
        <is>
          <t>PAPEL HIGIENICO</t>
        </is>
      </c>
      <c r="B46" s="271" t="n"/>
      <c r="C46" s="223" t="n"/>
      <c r="D46" s="237" t="n"/>
      <c r="J46" s="87" t="n"/>
      <c r="L46" s="87" t="n"/>
      <c r="M46" s="144" t="n"/>
      <c r="O46" s="237" t="n"/>
    </row>
    <row r="47">
      <c r="A47" s="111" t="n"/>
      <c r="B47" s="223" t="n"/>
      <c r="C47" s="223" t="n"/>
      <c r="D47" s="237" t="n"/>
      <c r="J47" s="87" t="n"/>
      <c r="L47" s="87" t="n"/>
      <c r="M47" s="144" t="n"/>
      <c r="N47" s="120" t="n"/>
      <c r="O47" s="237" t="n"/>
    </row>
    <row r="48">
      <c r="A48" s="124" t="n">
        <v>211</v>
      </c>
      <c r="B48" s="223" t="inlineStr">
        <is>
          <t>Pack x18 Rollos Higienico Racional D/H x 60 mts</t>
        </is>
      </c>
      <c r="D48" s="237">
        <f>L48*0.93*0.98</f>
        <v/>
      </c>
      <c r="E48" s="87">
        <f>D48*1.3*1.105</f>
        <v/>
      </c>
      <c r="F48" s="87">
        <f>D48*1.3*1.105/0.9</f>
        <v/>
      </c>
      <c r="G48" s="87">
        <f>F48*1.21</f>
        <v/>
      </c>
      <c r="H48" s="87">
        <f>ROUND(G48/100,0)*100</f>
        <v/>
      </c>
      <c r="J48" s="87" t="n">
        <v>5186.303472</v>
      </c>
      <c r="L48" s="127" t="n">
        <v>7824.41</v>
      </c>
      <c r="M48" s="128" t="n"/>
      <c r="N48" s="120">
        <f>(L48/J48)-1</f>
        <v/>
      </c>
      <c r="O48" s="237" t="n"/>
    </row>
    <row r="49">
      <c r="A49" s="124" t="n">
        <v>213</v>
      </c>
      <c r="B49" s="223" t="inlineStr">
        <is>
          <t>Pack x 4 Rollos Higienico Racional x 500 mts Buje 7,5</t>
        </is>
      </c>
      <c r="D49" s="237">
        <f>L49*0.93*0.98</f>
        <v/>
      </c>
      <c r="E49" s="87">
        <f>D49*1.3*1.105</f>
        <v/>
      </c>
      <c r="F49" s="87">
        <f>D49*1.3*1.105/0.9</f>
        <v/>
      </c>
      <c r="G49" s="87">
        <f>F49*1.21</f>
        <v/>
      </c>
      <c r="H49" s="87">
        <f>ROUND(G49/100,0)*100</f>
        <v/>
      </c>
      <c r="J49" s="87" t="n">
        <v>4019.474508</v>
      </c>
      <c r="L49" s="230" t="n">
        <v>6064.05</v>
      </c>
      <c r="M49" s="128" t="n"/>
      <c r="N49" s="120">
        <f>(L49/J49)-1</f>
        <v/>
      </c>
      <c r="O49" s="237" t="n"/>
    </row>
    <row r="50">
      <c r="A50" s="182" t="n">
        <v>214</v>
      </c>
      <c r="B50" s="224" t="inlineStr">
        <is>
          <t>Pack x 18 rollos Papel Higienico Racional x 122 mts</t>
        </is>
      </c>
      <c r="D50" s="184">
        <f>L50*0.93*0.98</f>
        <v/>
      </c>
      <c r="E50" s="87">
        <f>D50*1.3*1.105</f>
        <v/>
      </c>
      <c r="F50" s="87">
        <f>D50*1.3*1.105/0.9</f>
        <v/>
      </c>
      <c r="G50" s="87">
        <f>F50*1.21</f>
        <v/>
      </c>
      <c r="H50" s="87">
        <f>ROUND(G50/100,0)*100</f>
        <v/>
      </c>
      <c r="J50" s="87" t="n">
        <v>4938.165708</v>
      </c>
      <c r="L50" s="230" t="n">
        <v>7450.06</v>
      </c>
      <c r="M50" s="128" t="n"/>
      <c r="N50" s="120">
        <f>(L50/J50)-1</f>
        <v/>
      </c>
      <c r="O50" s="184" t="n"/>
    </row>
    <row r="51">
      <c r="A51" s="124" t="n">
        <v>218</v>
      </c>
      <c r="B51" s="223" t="inlineStr">
        <is>
          <t>Pack x 8 rollos Higienico Racional x 265 mts buje 7,5</t>
        </is>
      </c>
      <c r="D51" s="237">
        <f>L51*0.93*0.98</f>
        <v/>
      </c>
      <c r="E51" s="87">
        <f>D51*1.3*1.105</f>
        <v/>
      </c>
      <c r="F51" s="87">
        <f>D51*1.3*1.105/0.9</f>
        <v/>
      </c>
      <c r="G51" s="87">
        <f>F51*1.21</f>
        <v/>
      </c>
      <c r="H51" s="87">
        <f>ROUND(G51/100,0)*100</f>
        <v/>
      </c>
      <c r="J51" s="87" t="n">
        <v>4545.005976</v>
      </c>
      <c r="L51" s="230" t="n">
        <v>6856.9</v>
      </c>
      <c r="M51" s="128" t="n"/>
      <c r="N51" s="120">
        <f>(L51/J51)-1</f>
        <v/>
      </c>
      <c r="O51" s="237" t="n"/>
    </row>
    <row r="52">
      <c r="A52" s="133" t="n">
        <v>220</v>
      </c>
      <c r="B52" s="134" t="inlineStr">
        <is>
          <t>Pack x 8 Rollos Papel Higienico Racional x 300 mts</t>
        </is>
      </c>
      <c r="D52" s="135">
        <f>L52*0.93*0.98</f>
        <v/>
      </c>
      <c r="E52" s="87">
        <f>D52*1.3*1.105</f>
        <v/>
      </c>
      <c r="F52" s="87">
        <f>D52*1.3*1.105/0.9</f>
        <v/>
      </c>
      <c r="G52" s="87">
        <f>F52*1.21</f>
        <v/>
      </c>
      <c r="H52" s="87">
        <f>ROUND(G52/100,0)*100</f>
        <v/>
      </c>
      <c r="J52" s="87" t="n">
        <v>5179.176324</v>
      </c>
      <c r="L52" s="230" t="n">
        <v>7813.65</v>
      </c>
      <c r="M52" s="128" t="n"/>
      <c r="N52" s="120">
        <f>(L52/J52)-1</f>
        <v/>
      </c>
      <c r="O52" s="135" t="n"/>
    </row>
    <row r="53">
      <c r="A53" s="124" t="n">
        <v>222</v>
      </c>
      <c r="B53" s="223" t="inlineStr">
        <is>
          <t>Pack x 8 Rollos Papel Higienico x 260 mts Buje4,5</t>
        </is>
      </c>
      <c r="D53" s="237">
        <f>L53*0.93*0.98</f>
        <v/>
      </c>
      <c r="E53" s="87">
        <f>D53*1.3*1.105</f>
        <v/>
      </c>
      <c r="F53" s="87">
        <f>D53*1.3*1.105/0.9</f>
        <v/>
      </c>
      <c r="G53" s="87">
        <f>F53*1.21</f>
        <v/>
      </c>
      <c r="H53" s="87">
        <f>ROUND(G53/100,0)*100</f>
        <v/>
      </c>
      <c r="J53" s="87" t="n">
        <v>4396.739423999999</v>
      </c>
      <c r="L53" s="230" t="n">
        <v>6633.22</v>
      </c>
      <c r="M53" s="128" t="n"/>
      <c r="N53" s="120">
        <f>(L53/J53)-1</f>
        <v/>
      </c>
      <c r="O53" s="237" t="n"/>
    </row>
    <row r="54">
      <c r="A54" s="124" t="n">
        <v>909</v>
      </c>
      <c r="B54" s="223" t="inlineStr">
        <is>
          <t>Papel Higiénico 20 x 14,5 8000 h. 4000 usos</t>
        </is>
      </c>
      <c r="D54" s="237">
        <f>L54*0.93*0.98</f>
        <v/>
      </c>
      <c r="E54" s="87">
        <f>D54*1.3*1.105</f>
        <v/>
      </c>
      <c r="F54" s="87">
        <f>D54*1.3*1.105/0.9</f>
        <v/>
      </c>
      <c r="G54" s="87">
        <f>F54*1.21</f>
        <v/>
      </c>
      <c r="H54" s="87">
        <f>ROUND(G54/100,0)*100</f>
        <v/>
      </c>
      <c r="J54" s="87" t="n">
        <v>6790.394814</v>
      </c>
      <c r="L54" s="230" t="n">
        <v>10244.45</v>
      </c>
      <c r="M54" s="128" t="n"/>
      <c r="N54" s="120">
        <f>(L54/J54)-1</f>
        <v/>
      </c>
      <c r="O54" s="237" t="n"/>
    </row>
    <row r="55">
      <c r="A55" s="124" t="n">
        <v>912</v>
      </c>
      <c r="B55" s="223" t="inlineStr">
        <is>
          <t>Papel Higienico UNITAS(18x14,5cm) 8000 h/4000 usos</t>
        </is>
      </c>
      <c r="D55" s="237">
        <f>L55*0.93*0.98</f>
        <v/>
      </c>
      <c r="E55" s="87">
        <f>D55*1.3*1.105</f>
        <v/>
      </c>
      <c r="F55" s="87">
        <f>D55*1.3*1.105/0.9</f>
        <v/>
      </c>
      <c r="G55" s="87">
        <f>F55*1.21</f>
        <v/>
      </c>
      <c r="H55" s="87">
        <f>ROUND(G55/100,0)*100</f>
        <v/>
      </c>
      <c r="I55" s="87">
        <f>F55*1.1</f>
        <v/>
      </c>
      <c r="J55" s="87" t="n">
        <v>5456.241924000001</v>
      </c>
      <c r="L55" s="230" t="n">
        <v>8231.16</v>
      </c>
      <c r="M55" s="128" t="n"/>
      <c r="N55" s="120">
        <f>(L55/J55)-1</f>
        <v/>
      </c>
      <c r="O55" s="237" t="n"/>
    </row>
    <row r="56">
      <c r="A56" s="124" t="n"/>
      <c r="B56" s="223" t="n"/>
      <c r="C56" s="223" t="n"/>
      <c r="D56" s="237" t="n"/>
      <c r="J56" s="87" t="n"/>
      <c r="L56" s="87" t="n"/>
      <c r="M56" s="128" t="n"/>
      <c r="N56" s="120" t="n"/>
      <c r="O56" s="237" t="n"/>
    </row>
    <row r="57">
      <c r="A57" s="124" t="n"/>
      <c r="B57" s="108" t="n">
        <v>44896</v>
      </c>
      <c r="C57" s="223" t="n"/>
      <c r="D57" s="237" t="n"/>
      <c r="J57" s="87" t="n"/>
      <c r="L57" s="87" t="n"/>
      <c r="M57" s="128" t="n"/>
      <c r="N57" s="156" t="n"/>
      <c r="O57" s="237" t="n"/>
    </row>
    <row r="58">
      <c r="A58" s="124" t="n"/>
      <c r="B58" s="223" t="n"/>
      <c r="C58" s="223" t="n"/>
      <c r="D58" s="237" t="n"/>
      <c r="J58" s="87" t="n"/>
      <c r="L58" s="87" t="n"/>
      <c r="M58" s="128" t="n"/>
      <c r="N58" s="120" t="n"/>
      <c r="O58" s="237" t="n"/>
    </row>
    <row r="59">
      <c r="A59" s="117" t="inlineStr">
        <is>
          <t>CAMILLEROS</t>
        </is>
      </c>
      <c r="B59" s="223" t="n"/>
      <c r="C59" s="223" t="n"/>
      <c r="D59" s="237" t="n"/>
      <c r="J59" s="87" t="n"/>
      <c r="L59" s="87" t="n"/>
      <c r="M59" s="119" t="n"/>
      <c r="N59" s="120" t="n"/>
      <c r="O59" s="237" t="n"/>
    </row>
    <row r="60">
      <c r="A60" s="131" t="n"/>
      <c r="B60" s="223" t="n"/>
      <c r="C60" s="223" t="n"/>
      <c r="D60" s="237" t="n"/>
      <c r="J60" s="87" t="n"/>
      <c r="L60" s="87" t="n"/>
      <c r="M60" s="119" t="n"/>
      <c r="N60" s="120" t="n"/>
      <c r="O60" s="237" t="n"/>
    </row>
    <row r="61">
      <c r="A61" s="124" t="n">
        <v>301</v>
      </c>
      <c r="B61" s="223" t="inlineStr">
        <is>
          <t>Pack x 2 Rollos Camilleros bco s/h 54x100mts Prec</t>
        </is>
      </c>
      <c r="D61" s="87" t="n">
        <v>6630.27</v>
      </c>
      <c r="E61" s="87">
        <f>D61*1.3*1.105</f>
        <v/>
      </c>
      <c r="F61" s="87">
        <f>D61*1.3*1.105/0.9</f>
        <v/>
      </c>
      <c r="G61" s="87">
        <f>F61*1.21</f>
        <v/>
      </c>
      <c r="H61" s="87">
        <f>ROUND(G61/100,0)*100</f>
        <v/>
      </c>
      <c r="J61" s="87" t="n">
        <v>5470.961034000002</v>
      </c>
      <c r="L61" s="87" t="n"/>
      <c r="M61" s="128" t="n"/>
      <c r="N61" s="120" t="n">
        <v>0.1</v>
      </c>
      <c r="O61" s="154" t="n"/>
    </row>
    <row r="62">
      <c r="A62" s="124" t="n"/>
      <c r="B62" s="155" t="n"/>
      <c r="C62" s="223" t="n"/>
      <c r="D62" s="237" t="n"/>
      <c r="J62" s="87" t="n"/>
      <c r="L62" s="87" t="n"/>
      <c r="M62" s="128" t="n"/>
      <c r="N62" s="156" t="n"/>
      <c r="O62" s="237" t="n"/>
    </row>
    <row r="63">
      <c r="A63" s="142" t="inlineStr">
        <is>
          <t>DISPENSERS</t>
        </is>
      </c>
      <c r="B63" s="223" t="n"/>
      <c r="C63" s="223" t="n"/>
      <c r="D63" s="237" t="n"/>
      <c r="J63" s="87" t="n"/>
      <c r="L63" s="87" t="n"/>
      <c r="M63" s="144" t="n"/>
      <c r="N63" s="120" t="n"/>
      <c r="O63" s="237" t="n"/>
    </row>
    <row r="64">
      <c r="A64" s="111" t="n"/>
      <c r="B64" s="223" t="n"/>
      <c r="C64" s="223" t="n"/>
      <c r="D64" s="237" t="n"/>
      <c r="J64" s="87" t="n"/>
      <c r="L64" s="87" t="n"/>
      <c r="M64" s="144" t="n"/>
      <c r="N64" s="120" t="n"/>
      <c r="O64" s="237" t="n"/>
    </row>
    <row r="65">
      <c r="A65" s="124" t="n">
        <v>403</v>
      </c>
      <c r="B65" s="223" t="inlineStr">
        <is>
          <t>Portabobina de Pared</t>
        </is>
      </c>
      <c r="C65" s="223" t="n"/>
      <c r="D65" s="237">
        <f>L65*0.93*0.98</f>
        <v/>
      </c>
      <c r="E65" s="87">
        <f>D65*1.3*1.105</f>
        <v/>
      </c>
      <c r="F65" s="87">
        <f>D65*1.3*1.105/0.9</f>
        <v/>
      </c>
      <c r="G65" s="87">
        <f>F65*1.21</f>
        <v/>
      </c>
      <c r="H65" s="87">
        <f>ROUND(G65/100,0)*100</f>
        <v/>
      </c>
      <c r="J65" s="87" t="n">
        <v>8895.938436</v>
      </c>
      <c r="L65" s="127" t="n">
        <v>13421</v>
      </c>
      <c r="M65" s="128" t="n"/>
      <c r="N65" s="120">
        <f>(L65/J65)-1</f>
        <v/>
      </c>
      <c r="O65" s="237" t="n"/>
    </row>
    <row r="66">
      <c r="A66" s="124" t="n">
        <v>418</v>
      </c>
      <c r="B66" s="223" t="inlineStr">
        <is>
          <t>Portabobina de Piso</t>
        </is>
      </c>
      <c r="C66" s="223" t="n"/>
      <c r="D66" s="237">
        <f>L66*0.93*0.98</f>
        <v/>
      </c>
      <c r="E66" s="87">
        <f>D66*1.3*1.105</f>
        <v/>
      </c>
      <c r="F66" s="87">
        <f>D66*1.3*1.105/0.9</f>
        <v/>
      </c>
      <c r="G66" s="87">
        <f>F66*1.21</f>
        <v/>
      </c>
      <c r="H66" s="87">
        <f>ROUND(G66/100,0)*100</f>
        <v/>
      </c>
      <c r="J66" s="87" t="n">
        <v>9785.309898</v>
      </c>
      <c r="L66" s="230" t="n">
        <v>14762.78</v>
      </c>
      <c r="M66" s="128" t="n"/>
      <c r="N66" s="120">
        <f>(L66/J66)-1</f>
        <v/>
      </c>
      <c r="O66" s="237" t="n"/>
    </row>
    <row r="67">
      <c r="A67" s="124" t="n">
        <v>422</v>
      </c>
      <c r="B67" s="223" t="inlineStr">
        <is>
          <t>Dispenser Celmatic Due</t>
        </is>
      </c>
      <c r="C67" s="223" t="n"/>
      <c r="D67" s="237">
        <f>L67*0.93*0.98</f>
        <v/>
      </c>
      <c r="E67" s="87">
        <f>D67*1.3*1.105</f>
        <v/>
      </c>
      <c r="F67" s="87">
        <f>D67*1.3*1.105/0.9</f>
        <v/>
      </c>
      <c r="G67" s="87">
        <f>F67*1.21</f>
        <v/>
      </c>
      <c r="H67" s="87">
        <f>ROUND(G67/100,0)*100</f>
        <v/>
      </c>
      <c r="J67" s="87" t="n">
        <v>12538.239168</v>
      </c>
      <c r="L67" s="230" t="n">
        <v>18916.04</v>
      </c>
      <c r="M67" s="128" t="n"/>
      <c r="N67" s="120">
        <f>(L67/J67)-1</f>
        <v/>
      </c>
      <c r="O67" s="237" t="n"/>
    </row>
    <row r="68">
      <c r="A68" s="124" t="n">
        <v>425</v>
      </c>
      <c r="B68" s="223" t="inlineStr">
        <is>
          <t>Dosificador para Jabón Líquido Recargable</t>
        </is>
      </c>
      <c r="D68" s="237">
        <f>L68*0.93*0.98</f>
        <v/>
      </c>
      <c r="E68" s="87">
        <f>D68*1.3*1.105</f>
        <v/>
      </c>
      <c r="F68" s="87">
        <f>D68*1.3*1.105/0.9</f>
        <v/>
      </c>
      <c r="G68" s="87">
        <f>F68*1.21</f>
        <v/>
      </c>
      <c r="H68" s="87">
        <f>ROUND(G68/100,0)*100</f>
        <v/>
      </c>
      <c r="J68" s="87" t="n">
        <v>4703.41641</v>
      </c>
      <c r="L68" s="230" t="n">
        <v>7095.9</v>
      </c>
      <c r="M68" s="128" t="n"/>
      <c r="N68" s="120">
        <f>(L68/J68)-1</f>
        <v/>
      </c>
      <c r="O68" s="237" t="n"/>
    </row>
    <row r="69">
      <c r="A69" s="124" t="n">
        <v>427</v>
      </c>
      <c r="B69" s="223" t="inlineStr">
        <is>
          <t>Dispenser Para Papel Higienico Racional 350</t>
        </is>
      </c>
      <c r="D69" s="237">
        <f>L69*0.93*0.98</f>
        <v/>
      </c>
      <c r="E69" s="87">
        <f>D69*1.3*1.105</f>
        <v/>
      </c>
      <c r="F69" s="87">
        <f>D69*1.3*1.105/0.9</f>
        <v/>
      </c>
      <c r="G69" s="87">
        <f>F69*1.21</f>
        <v/>
      </c>
      <c r="H69" s="87">
        <f>ROUND(G69/100,0)*100</f>
        <v/>
      </c>
      <c r="J69" s="87" t="n">
        <v>5745.301547999999</v>
      </c>
      <c r="L69" s="230" t="n">
        <v>8667.76</v>
      </c>
      <c r="M69" s="128" t="n"/>
      <c r="N69" s="120">
        <f>(L69/J69)-1</f>
        <v/>
      </c>
      <c r="O69" s="237" t="n"/>
    </row>
    <row r="70">
      <c r="A70" s="124" t="n">
        <v>428</v>
      </c>
      <c r="B70" s="223" t="inlineStr">
        <is>
          <t>Dispenser para Papel Higiénico</t>
        </is>
      </c>
      <c r="C70" s="223" t="n"/>
      <c r="D70" s="237">
        <f>L70*0.93*0.98</f>
        <v/>
      </c>
      <c r="E70" s="87">
        <f>D70*1.3*1.105</f>
        <v/>
      </c>
      <c r="F70" s="87">
        <f>D70*1.3*1.105/0.9</f>
        <v/>
      </c>
      <c r="G70" s="87">
        <f>F70*1.21</f>
        <v/>
      </c>
      <c r="H70" s="87">
        <f>ROUND(G70/100,0)*100</f>
        <v/>
      </c>
      <c r="J70" s="87" t="n">
        <v>6569.954496</v>
      </c>
      <c r="L70" s="230" t="n">
        <v>9911.879999999999</v>
      </c>
      <c r="M70" s="128" t="n"/>
      <c r="N70" s="120">
        <f>(L70/J70)-1</f>
        <v/>
      </c>
      <c r="O70" s="237" t="n"/>
    </row>
    <row r="71">
      <c r="A71" s="124" t="n">
        <v>429</v>
      </c>
      <c r="B71" s="223" t="inlineStr">
        <is>
          <t>Dispenser para Toallas de Papel</t>
        </is>
      </c>
      <c r="C71" s="223" t="n"/>
      <c r="D71" s="237">
        <f>L71*0.93*0.98</f>
        <v/>
      </c>
      <c r="E71" s="87">
        <f>D71*1.3*1.105</f>
        <v/>
      </c>
      <c r="F71" s="87">
        <f>D71*1.3*1.105/0.9</f>
        <v/>
      </c>
      <c r="G71" s="87">
        <f>F71*1.21</f>
        <v/>
      </c>
      <c r="H71" s="87">
        <f>ROUND(G71/100,0)*100</f>
        <v/>
      </c>
      <c r="J71" s="87" t="n">
        <v>4713.469152</v>
      </c>
      <c r="L71" s="230" t="n">
        <v>7111.06</v>
      </c>
      <c r="M71" s="128" t="n"/>
      <c r="N71" s="120">
        <f>(L71/J71)-1</f>
        <v/>
      </c>
      <c r="O71" s="237" t="n"/>
    </row>
    <row r="72">
      <c r="A72" s="124" t="n">
        <v>430</v>
      </c>
      <c r="B72" s="223" t="inlineStr">
        <is>
          <t>Dispenser Para Papel Higienico Racional 600</t>
        </is>
      </c>
      <c r="D72" s="237">
        <f>L72*0.93*0.98</f>
        <v/>
      </c>
      <c r="E72" s="87">
        <f>D72*1.3*1.105</f>
        <v/>
      </c>
      <c r="F72" s="87">
        <f>D72*1.3*1.105/0.9</f>
        <v/>
      </c>
      <c r="G72" s="87">
        <f>F72*1.21</f>
        <v/>
      </c>
      <c r="H72" s="87">
        <f>ROUND(G72/100,0)*100</f>
        <v/>
      </c>
      <c r="J72" s="87" t="n">
        <v>9248.212764</v>
      </c>
      <c r="L72" s="230" t="n">
        <v>13952.46</v>
      </c>
      <c r="M72" s="128" t="n"/>
      <c r="N72" s="120">
        <f>(L72/J72)-1</f>
        <v/>
      </c>
      <c r="O72" s="237" t="n"/>
    </row>
    <row r="73">
      <c r="A73" s="124" t="n"/>
      <c r="B73" s="223" t="n"/>
      <c r="C73" s="223" t="n"/>
      <c r="D73" s="237" t="n"/>
      <c r="J73" s="87" t="n"/>
      <c r="L73" s="87" t="n"/>
      <c r="M73" s="128" t="n"/>
      <c r="N73" s="120" t="n"/>
      <c r="O73" s="237" t="n"/>
    </row>
    <row r="74">
      <c r="A74" s="124" t="n"/>
      <c r="B74" s="223" t="n"/>
      <c r="C74" s="223" t="n"/>
      <c r="D74" s="237" t="n"/>
      <c r="J74" s="87" t="n"/>
      <c r="L74" s="87" t="n"/>
      <c r="M74" s="128" t="n"/>
      <c r="N74" s="120" t="n"/>
      <c r="O74" s="237" t="n"/>
    </row>
    <row r="75">
      <c r="A75" s="124" t="n"/>
      <c r="B75" s="223" t="n"/>
      <c r="C75" s="223" t="n"/>
      <c r="D75" s="237" t="n"/>
      <c r="J75" s="87" t="n"/>
      <c r="L75" s="87" t="n"/>
      <c r="M75" s="128" t="n"/>
      <c r="N75" s="120" t="n"/>
      <c r="O75" s="237" t="n"/>
    </row>
    <row r="76">
      <c r="A76" s="117" t="inlineStr">
        <is>
          <t>LIMPIEZA INDUSTRIAL</t>
        </is>
      </c>
      <c r="B76" s="271" t="n"/>
      <c r="C76" s="223" t="n"/>
      <c r="D76" s="237" t="n"/>
      <c r="J76" s="87" t="n"/>
      <c r="L76" s="87" t="n"/>
      <c r="M76" s="119" t="n"/>
      <c r="O76" s="237" t="n"/>
    </row>
    <row r="77">
      <c r="A77" s="131" t="n"/>
      <c r="B77" s="223" t="n"/>
      <c r="C77" s="223" t="n"/>
      <c r="D77" s="237" t="n"/>
      <c r="J77" s="87" t="n"/>
      <c r="L77" s="87" t="n"/>
      <c r="M77" s="119" t="n"/>
      <c r="N77" s="120" t="n"/>
      <c r="O77" s="237" t="n"/>
    </row>
    <row r="78">
      <c r="A78" s="182" t="n">
        <v>101</v>
      </c>
      <c r="B78" s="224" t="inlineStr">
        <is>
          <t>Pack x 6 bobinas 22,5 cm x 300 porciones</t>
        </is>
      </c>
      <c r="D78" s="184">
        <f>L78*0.93*0.98</f>
        <v/>
      </c>
      <c r="E78" s="87">
        <f>D78*1.3*1.105</f>
        <v/>
      </c>
      <c r="F78" s="87">
        <f>D78*1.3*1.105/0.9</f>
        <v/>
      </c>
      <c r="G78" s="87">
        <f>F78*1.21</f>
        <v/>
      </c>
      <c r="H78" s="87">
        <f>ROUND(G78/100,0)*100</f>
        <v/>
      </c>
      <c r="J78" s="87" t="n">
        <v>7070.887278000001</v>
      </c>
      <c r="L78" s="127" t="n">
        <v>10667.62</v>
      </c>
      <c r="M78" s="128" t="n"/>
      <c r="N78" s="120">
        <f>(L78/J78)-1</f>
        <v/>
      </c>
      <c r="O78" s="184" t="n"/>
    </row>
    <row r="79">
      <c r="A79" s="124" t="n">
        <v>109</v>
      </c>
      <c r="B79" s="223" t="inlineStr">
        <is>
          <t>Pack x 2 bobinas papel original 22,5 cm x 270 mts</t>
        </is>
      </c>
      <c r="D79" s="237">
        <f>L79*0.93*0.98</f>
        <v/>
      </c>
      <c r="E79" s="87">
        <f>D79*1.3*1.105</f>
        <v/>
      </c>
      <c r="F79" s="87">
        <f>D79*1.3*1.105/0.9</f>
        <v/>
      </c>
      <c r="G79" s="87">
        <f>F79*1.21</f>
        <v/>
      </c>
      <c r="H79" s="87">
        <f>ROUND(G79/100,0)*100</f>
        <v/>
      </c>
      <c r="J79" s="87" t="n">
        <v>5518.472315999999</v>
      </c>
      <c r="L79" s="230" t="n">
        <v>8325.530000000001</v>
      </c>
      <c r="M79" s="128" t="n"/>
      <c r="N79" s="120">
        <f>(L79/J79)-1</f>
        <v/>
      </c>
      <c r="O79" s="237" t="n"/>
    </row>
    <row r="80">
      <c r="A80" s="182" t="n">
        <v>123</v>
      </c>
      <c r="B80" s="224" t="inlineStr">
        <is>
          <t>Pack x 2 bobinas Papel Original 900 hjs/360 mts.</t>
        </is>
      </c>
      <c r="D80" s="184">
        <f>L80*0.93*0.98</f>
        <v/>
      </c>
      <c r="E80" s="87">
        <f>D80*1.3*1.105</f>
        <v/>
      </c>
      <c r="F80" s="87">
        <f>D80*1.3*1.105/0.9</f>
        <v/>
      </c>
      <c r="G80" s="87">
        <f>F80*1.21</f>
        <v/>
      </c>
      <c r="H80" s="87">
        <f>ROUND(G80/100,0)*100</f>
        <v/>
      </c>
      <c r="J80" s="87" t="n">
        <v>8079.943788000001</v>
      </c>
      <c r="L80" s="230" t="n">
        <v>12189.96</v>
      </c>
      <c r="M80" s="128" t="n"/>
      <c r="N80" s="120">
        <f>(L80/J80)-1</f>
        <v/>
      </c>
      <c r="O80" s="184" t="n"/>
    </row>
    <row r="81">
      <c r="A81" s="124" t="n">
        <v>809</v>
      </c>
      <c r="B81" s="223" t="inlineStr">
        <is>
          <t>Pack x 4 Rollos 600 porc 25x25 Rep Tambo</t>
        </is>
      </c>
      <c r="D81" s="237">
        <f>L81*0.93*0.98</f>
        <v/>
      </c>
      <c r="E81" s="87">
        <f>D81*1.3*1.105</f>
        <v/>
      </c>
      <c r="F81" s="87">
        <f>D81*1.3*1.105/0.9</f>
        <v/>
      </c>
      <c r="G81" s="87">
        <f>F81*1.21</f>
        <v/>
      </c>
      <c r="H81" s="87">
        <f>ROUND(G81/100,0)*100</f>
        <v/>
      </c>
      <c r="J81" s="87" t="n">
        <v>8420.798273999999</v>
      </c>
      <c r="L81" s="230" t="n">
        <v>12704.18</v>
      </c>
      <c r="M81" s="128" t="n"/>
      <c r="N81" s="120">
        <f>(L81/J81)-1</f>
        <v/>
      </c>
      <c r="O81" s="237" t="n"/>
    </row>
    <row r="82">
      <c r="A82" s="124" t="n"/>
      <c r="B82" s="223" t="n"/>
      <c r="C82" s="223" t="n"/>
      <c r="D82" s="237" t="n"/>
      <c r="J82" s="87" t="n"/>
      <c r="L82" s="87" t="n"/>
      <c r="M82" s="128" t="n"/>
      <c r="N82" s="120" t="n"/>
      <c r="O82" s="237" t="n"/>
    </row>
    <row r="83">
      <c r="A83" s="124" t="n"/>
      <c r="B83" s="223" t="n"/>
      <c r="C83" s="223" t="n"/>
      <c r="D83" s="237" t="n"/>
      <c r="J83" s="87" t="n"/>
      <c r="L83" s="87" t="n"/>
      <c r="M83" s="128" t="n"/>
      <c r="N83" s="120" t="n"/>
      <c r="O83" s="237" t="n"/>
    </row>
    <row r="84">
      <c r="A84" s="117" t="inlineStr">
        <is>
          <t>PAÑOS DE LIMPIEZA DE ALTA PERFORMANCE</t>
        </is>
      </c>
      <c r="B84" s="223" t="n"/>
      <c r="C84" s="223" t="n"/>
      <c r="D84" s="237" t="n"/>
      <c r="J84" s="87" t="n"/>
      <c r="L84" s="87" t="n"/>
      <c r="M84" s="119" t="n"/>
      <c r="N84" s="120" t="n"/>
      <c r="O84" s="237" t="n"/>
    </row>
    <row r="85">
      <c r="A85" s="131" t="n"/>
      <c r="B85" s="223" t="n"/>
      <c r="C85" s="223" t="n"/>
      <c r="D85" s="237" t="n"/>
      <c r="J85" s="87" t="n"/>
      <c r="L85" s="87" t="n"/>
      <c r="M85" s="119" t="n"/>
      <c r="N85" s="120" t="n"/>
      <c r="O85" s="237" t="n"/>
    </row>
    <row r="86">
      <c r="A86" s="157" t="inlineStr">
        <is>
          <t>Linea Softclean</t>
        </is>
      </c>
      <c r="C86" s="158" t="n"/>
      <c r="D86" s="169" t="n"/>
      <c r="J86" s="87" t="n"/>
      <c r="L86" s="87" t="n"/>
      <c r="M86" s="119" t="n"/>
      <c r="O86" s="169" t="n"/>
    </row>
    <row r="87">
      <c r="A87" s="186" t="n">
        <v>605</v>
      </c>
      <c r="B87" s="223" t="inlineStr">
        <is>
          <t>Caja x 250 Paños Ultratex de 34cm x 60cm</t>
        </is>
      </c>
      <c r="D87" s="166">
        <f>L87*0.93*0.98</f>
        <v/>
      </c>
      <c r="E87" s="87">
        <f>D87*1.3*1.105</f>
        <v/>
      </c>
      <c r="F87" s="87">
        <f>D87*1.3*1.105/0.9</f>
        <v/>
      </c>
      <c r="G87" s="87">
        <f>F87*1.21</f>
        <v/>
      </c>
      <c r="H87" s="87">
        <f>ROUND(G87/100,0)*100</f>
        <v/>
      </c>
      <c r="J87" s="87" t="n">
        <v>208.16376</v>
      </c>
      <c r="L87" s="160" t="n">
        <v>245.53</v>
      </c>
      <c r="M87" s="167" t="n"/>
      <c r="N87" s="120">
        <f>(L87/J87)-1</f>
        <v/>
      </c>
      <c r="O87" s="166" t="n"/>
    </row>
    <row r="88">
      <c r="A88" s="186" t="n">
        <v>606</v>
      </c>
      <c r="B88" s="134" t="inlineStr">
        <is>
          <t>Caja x 300 Paños Ultratex de 45,7cm x 53,3cm</t>
        </is>
      </c>
      <c r="D88" s="164">
        <f>L88*0.93*0.98</f>
        <v/>
      </c>
      <c r="E88" s="147">
        <f>D88*1.3*1.105</f>
        <v/>
      </c>
      <c r="F88" s="147">
        <f>D88*1.3*1.105/0.9</f>
        <v/>
      </c>
      <c r="G88" s="147">
        <f>F88*1.21</f>
        <v/>
      </c>
      <c r="H88" s="147">
        <f>ROUND(G88/100,0)*100</f>
        <v/>
      </c>
      <c r="I88" s="146" t="n"/>
      <c r="J88" s="147" t="n">
        <v>294.509796</v>
      </c>
      <c r="K88" s="146" t="n"/>
      <c r="L88" s="162" t="n">
        <v>347.37</v>
      </c>
      <c r="M88" s="163" t="n"/>
      <c r="N88" s="150">
        <f>(L88/J88)-1</f>
        <v/>
      </c>
      <c r="O88" s="164" t="n"/>
      <c r="P88" s="146" t="n"/>
      <c r="Q88" s="146" t="n"/>
      <c r="R88" s="146" t="n"/>
      <c r="S88" s="146" t="n"/>
      <c r="T88" s="146" t="n"/>
      <c r="U88" s="146" t="n"/>
      <c r="V88" s="146" t="n"/>
      <c r="W88" s="146" t="n"/>
      <c r="X88" s="146" t="n"/>
      <c r="Y88" s="146" t="n"/>
      <c r="Z88" s="146" t="n"/>
      <c r="AA88" s="146" t="n"/>
    </row>
    <row r="89">
      <c r="A89" s="186" t="n">
        <v>608</v>
      </c>
      <c r="B89" s="223" t="inlineStr">
        <is>
          <t>Repuesto x 2 rollos Softclean x 350 mts</t>
        </is>
      </c>
      <c r="D89" s="166">
        <f>L89*0.93*0.98</f>
        <v/>
      </c>
      <c r="E89" s="87">
        <f>D89*1.3*1.105</f>
        <v/>
      </c>
      <c r="F89" s="87">
        <f>D89*1.3*1.105/0.9</f>
        <v/>
      </c>
      <c r="G89" s="87">
        <f>F89*1.21</f>
        <v/>
      </c>
      <c r="H89" s="87">
        <f>ROUND(G89/100,0)*100</f>
        <v/>
      </c>
      <c r="J89" s="87" t="n">
        <v>45.050502</v>
      </c>
      <c r="L89" s="240" t="n">
        <v>53.14</v>
      </c>
      <c r="M89" s="167" t="n"/>
      <c r="N89" s="120">
        <f>(L89/J89)-1</f>
        <v/>
      </c>
      <c r="O89" s="166" t="n"/>
    </row>
    <row r="90">
      <c r="A90" s="186" t="n">
        <v>612</v>
      </c>
      <c r="B90" s="223" t="inlineStr">
        <is>
          <t>Contenedor Mini Softclean x 150 porc. 13 x 26.5cm</t>
        </is>
      </c>
      <c r="D90" s="166">
        <f>L90*0.93*0.98</f>
        <v/>
      </c>
      <c r="E90" s="87">
        <f>D90*1.3*1.105</f>
        <v/>
      </c>
      <c r="F90" s="87">
        <f>D90*1.3*1.105/0.9</f>
        <v/>
      </c>
      <c r="G90" s="87">
        <f>F90*1.21</f>
        <v/>
      </c>
      <c r="H90" s="87">
        <f>ROUND(G90/100,0)*100</f>
        <v/>
      </c>
      <c r="J90" s="87" t="n">
        <v>6.862842000000001</v>
      </c>
      <c r="L90" s="240" t="n">
        <v>0</v>
      </c>
      <c r="M90" s="167" t="n"/>
      <c r="N90" s="120">
        <f>(L90/J90)-1</f>
        <v/>
      </c>
      <c r="O90" s="166" t="n"/>
    </row>
    <row r="91">
      <c r="A91" s="186" t="n">
        <v>614</v>
      </c>
      <c r="B91" s="223" t="inlineStr">
        <is>
          <t>Rollo SoftClean S 70x 875 Porciones de 30x 25</t>
        </is>
      </c>
      <c r="D91" s="166">
        <f>L91*0.93*0.98</f>
        <v/>
      </c>
      <c r="E91" s="87">
        <f>D91*1.3*1.105</f>
        <v/>
      </c>
      <c r="F91" s="87">
        <f>D91*1.3*1.105/0.9</f>
        <v/>
      </c>
      <c r="G91" s="87">
        <f>F91*1.21</f>
        <v/>
      </c>
      <c r="H91" s="87">
        <f>ROUND(G91/100,0)*100</f>
        <v/>
      </c>
      <c r="J91" s="87" t="n">
        <v>54.27387</v>
      </c>
      <c r="L91" s="240" t="n">
        <v>64.02</v>
      </c>
      <c r="M91" s="167" t="n"/>
      <c r="N91" s="120">
        <f>(L91/J91)-1</f>
        <v/>
      </c>
      <c r="O91" s="166" t="n"/>
    </row>
    <row r="92">
      <c r="A92" s="186" t="n">
        <v>615</v>
      </c>
      <c r="B92" s="223" t="inlineStr">
        <is>
          <t>Contenedor Center Softclean x 350 22,5 x26,5</t>
        </is>
      </c>
      <c r="D92" s="166">
        <f>L92*0.93*0.98</f>
        <v/>
      </c>
      <c r="E92" s="87">
        <f>D92*1.3*1.105</f>
        <v/>
      </c>
      <c r="F92" s="87">
        <f>D92*1.3*1.105/0.9</f>
        <v/>
      </c>
      <c r="G92" s="87">
        <f>F92*1.21</f>
        <v/>
      </c>
      <c r="H92" s="87">
        <f>ROUND(G92/100,0)*100</f>
        <v/>
      </c>
      <c r="J92" s="87" t="n">
        <v>23.60526</v>
      </c>
      <c r="L92" s="240" t="n">
        <v>27.84</v>
      </c>
      <c r="M92" s="167" t="n"/>
      <c r="N92" s="120">
        <f>(L92/J92)-1</f>
        <v/>
      </c>
      <c r="O92" s="166" t="n"/>
    </row>
    <row r="93">
      <c r="A93" s="186" t="n">
        <v>616</v>
      </c>
      <c r="B93" s="223" t="inlineStr">
        <is>
          <t>Rollo Mini Sofclean x 190 porciones de 22,5 x 26,5</t>
        </is>
      </c>
      <c r="D93" s="166">
        <f>L93*0.93*0.98</f>
        <v/>
      </c>
      <c r="E93" s="87">
        <f>D93*1.3*1.105</f>
        <v/>
      </c>
      <c r="F93" s="87">
        <f>D93*1.3*1.105/0.9</f>
        <v/>
      </c>
      <c r="G93" s="87">
        <f>F93*1.21</f>
        <v/>
      </c>
      <c r="H93" s="87">
        <f>ROUND(G93/100,0)*100</f>
        <v/>
      </c>
      <c r="J93" s="87" t="n">
        <v>11.793516</v>
      </c>
      <c r="L93" s="240" t="n">
        <v>13.91</v>
      </c>
      <c r="M93" s="167" t="n"/>
      <c r="N93" s="120">
        <f>(L93/J93)-1</f>
        <v/>
      </c>
      <c r="O93" s="166" t="n"/>
    </row>
    <row r="94">
      <c r="A94" s="186" t="n">
        <v>617</v>
      </c>
      <c r="B94" s="134" t="inlineStr">
        <is>
          <t>Caja 1/4 Folded Softclean 500 30 x 30 cm Celeste</t>
        </is>
      </c>
      <c r="D94" s="164">
        <f>L94*0.93*0.98</f>
        <v/>
      </c>
      <c r="E94" s="147">
        <f>D94*1.3*1.105</f>
        <v/>
      </c>
      <c r="F94" s="147">
        <f>D94*1.3*1.105/0.9</f>
        <v/>
      </c>
      <c r="G94" s="147">
        <f>F94*1.21</f>
        <v/>
      </c>
      <c r="H94" s="147">
        <f>ROUND(G94/100,0)*100</f>
        <v/>
      </c>
      <c r="I94" s="146" t="n"/>
      <c r="J94" s="147" t="n">
        <v>39.153744</v>
      </c>
      <c r="K94" s="146" t="n"/>
      <c r="L94" s="162" t="n">
        <v>46.18</v>
      </c>
      <c r="M94" s="163" t="n"/>
      <c r="N94" s="150">
        <f>(L94/J94)-1</f>
        <v/>
      </c>
      <c r="O94" s="164" t="n"/>
      <c r="P94" s="146" t="n"/>
      <c r="Q94" s="146" t="n"/>
      <c r="R94" s="146" t="n"/>
      <c r="S94" s="146" t="n"/>
      <c r="T94" s="146" t="n"/>
      <c r="U94" s="146" t="n"/>
      <c r="V94" s="146" t="n"/>
      <c r="W94" s="146" t="n"/>
      <c r="X94" s="146" t="n"/>
      <c r="Y94" s="146" t="n"/>
      <c r="Z94" s="146" t="n"/>
      <c r="AA94" s="146" t="n"/>
    </row>
    <row r="95">
      <c r="A95" s="186" t="n">
        <v>618</v>
      </c>
      <c r="B95" s="223" t="inlineStr">
        <is>
          <t>Rollo Precortado Softclean 600 porciones de 30x 26,5</t>
        </is>
      </c>
      <c r="D95" s="166">
        <f>L95*0.93*0.98</f>
        <v/>
      </c>
      <c r="E95" s="87">
        <f>D95*1.3*1.105</f>
        <v/>
      </c>
      <c r="F95" s="87">
        <f>D95*1.3*1.105/0.9</f>
        <v/>
      </c>
      <c r="G95" s="87">
        <f>F95*1.21</f>
        <v/>
      </c>
      <c r="H95" s="87">
        <f>ROUND(G95/100,0)*100</f>
        <v/>
      </c>
      <c r="J95" s="87" t="n">
        <v>39.153744</v>
      </c>
      <c r="L95" s="240" t="n">
        <v>46.18</v>
      </c>
      <c r="M95" s="167" t="n"/>
      <c r="N95" s="120">
        <f>(L95/J95)-1</f>
        <v/>
      </c>
      <c r="O95" s="166" t="n"/>
    </row>
    <row r="96">
      <c r="A96" s="186" t="n"/>
      <c r="B96" s="223" t="n"/>
      <c r="C96" s="223" t="n"/>
      <c r="D96" s="166" t="n"/>
      <c r="J96" s="87" t="n"/>
      <c r="L96" s="87" t="n"/>
      <c r="M96" s="167" t="n"/>
      <c r="N96" s="120" t="n"/>
      <c r="O96" s="166" t="n"/>
    </row>
    <row r="97">
      <c r="A97" s="168" t="inlineStr">
        <is>
          <t>Linea Sontara</t>
        </is>
      </c>
      <c r="C97" s="158" t="n"/>
      <c r="D97" s="169" t="n"/>
      <c r="J97" s="87" t="n"/>
      <c r="L97" s="87" t="n"/>
      <c r="M97" s="170" t="n"/>
      <c r="O97" s="169" t="n"/>
    </row>
    <row r="98">
      <c r="A98" s="186" t="n">
        <v>604</v>
      </c>
      <c r="B98" s="223" t="inlineStr">
        <is>
          <t>Rollo precortado Maxi de 30 x38 blanco</t>
        </is>
      </c>
      <c r="D98" s="166">
        <f>L98*0.93*0.98</f>
        <v/>
      </c>
      <c r="E98" s="87">
        <f>D98*1.3*1.105</f>
        <v/>
      </c>
      <c r="F98" s="87">
        <f>D98*1.3*1.105/0.9</f>
        <v/>
      </c>
      <c r="G98" s="87">
        <f>F98*1.21</f>
        <v/>
      </c>
      <c r="H98" s="87">
        <f>ROUND(G98/100,0)*100</f>
        <v/>
      </c>
      <c r="J98" s="87" t="n">
        <v>103.389216</v>
      </c>
      <c r="L98" s="160" t="n">
        <v>121.94</v>
      </c>
      <c r="M98" s="167" t="n"/>
      <c r="N98" s="120">
        <f>(L98/J98)-1</f>
        <v/>
      </c>
      <c r="O98" s="166" t="n"/>
    </row>
    <row r="99">
      <c r="A99" s="186" t="n">
        <v>619</v>
      </c>
      <c r="B99" s="223" t="inlineStr">
        <is>
          <t>Centerfeed Sontara Celeste 350 porc22,5 x 26,5</t>
        </is>
      </c>
      <c r="D99" s="166">
        <f>L99*0.93*0.98</f>
        <v/>
      </c>
      <c r="E99" s="87">
        <f>D99*1.3*1.105</f>
        <v/>
      </c>
      <c r="F99" s="87">
        <f>D99*1.3*1.105/0.9</f>
        <v/>
      </c>
      <c r="G99" s="87">
        <f>F99*1.21</f>
        <v/>
      </c>
      <c r="H99" s="87">
        <f>ROUND(G99/100,0)*100</f>
        <v/>
      </c>
      <c r="J99" s="87" t="n">
        <v>52.441956</v>
      </c>
      <c r="L99" s="240" t="n">
        <v>61.85</v>
      </c>
      <c r="M99" s="167" t="n"/>
      <c r="N99" s="120">
        <f>(L99/J99)-1</f>
        <v/>
      </c>
      <c r="O99" s="166" t="n"/>
    </row>
    <row r="100">
      <c r="A100" s="186" t="n">
        <v>620</v>
      </c>
      <c r="B100" s="223" t="inlineStr">
        <is>
          <t>Rollo prec Sontara por 600 porc 30 x26,5 celeste</t>
        </is>
      </c>
      <c r="D100" s="166">
        <f>L100*0.93*0.98</f>
        <v/>
      </c>
      <c r="E100" s="87">
        <f>D100*1.3*1.105</f>
        <v/>
      </c>
      <c r="F100" s="87">
        <f>D100*1.3*1.105/0.9</f>
        <v/>
      </c>
      <c r="G100" s="87">
        <f>F100*1.21</f>
        <v/>
      </c>
      <c r="H100" s="87">
        <f>ROUND(G100/100,0)*100</f>
        <v/>
      </c>
      <c r="J100" s="87" t="n">
        <v>97.34663400000001</v>
      </c>
      <c r="L100" s="240" t="n">
        <v>116.54</v>
      </c>
      <c r="M100" s="167" t="n"/>
      <c r="N100" s="120">
        <f>(L100/J100)-1</f>
        <v/>
      </c>
      <c r="O100" s="166" t="n"/>
    </row>
    <row r="101">
      <c r="A101" s="186" t="n">
        <v>621</v>
      </c>
      <c r="B101" s="223" t="inlineStr">
        <is>
          <t>Rollo Sontara Mini x 190 porc 22,5 x26,5 celeste</t>
        </is>
      </c>
      <c r="D101" s="166">
        <f>L101*0.93*0.98</f>
        <v/>
      </c>
      <c r="E101" s="87">
        <f>D101*1.3*1.105</f>
        <v/>
      </c>
      <c r="F101" s="87">
        <f>D101*1.3*1.105/0.9</f>
        <v/>
      </c>
      <c r="G101" s="87">
        <f>F101*1.21</f>
        <v/>
      </c>
      <c r="H101" s="87">
        <f>ROUND(G101/100,0)*100</f>
        <v/>
      </c>
      <c r="J101" s="87" t="n">
        <v>23.823996</v>
      </c>
      <c r="L101" s="240" t="n">
        <v>28.1</v>
      </c>
      <c r="M101" s="167" t="n"/>
      <c r="N101" s="120">
        <f>(L101/J101)-1</f>
        <v/>
      </c>
      <c r="O101" s="166" t="n"/>
    </row>
    <row r="102">
      <c r="A102" s="186" t="n">
        <v>627</v>
      </c>
      <c r="B102" s="223" t="inlineStr">
        <is>
          <t>SMP 300 Paños de 22,5 cm x 22,5 cm</t>
        </is>
      </c>
      <c r="D102" s="166">
        <f>L102*0.93*0.98</f>
        <v/>
      </c>
      <c r="E102" s="87">
        <f>D102*1.3*1.105</f>
        <v/>
      </c>
      <c r="F102" s="87">
        <f>D102*1.3*1.105/0.9</f>
        <v/>
      </c>
      <c r="G102" s="87">
        <f>F102*1.21</f>
        <v/>
      </c>
      <c r="H102" s="87">
        <f>ROUND(G102/100,0)*100</f>
        <v/>
      </c>
      <c r="J102" s="87" t="n">
        <v>62.92305600000001</v>
      </c>
      <c r="L102" s="240" t="n">
        <v>74.22</v>
      </c>
      <c r="M102" s="167" t="n"/>
      <c r="N102" s="120">
        <f>(L102/J102)-1</f>
        <v/>
      </c>
      <c r="O102" s="166" t="n"/>
    </row>
    <row r="103">
      <c r="A103" s="171" t="n">
        <v>645</v>
      </c>
      <c r="B103" s="175" t="inlineStr">
        <is>
          <t>Caja por 500Paños Sontara de 30 x 30 cm celeste</t>
        </is>
      </c>
      <c r="D103" s="166">
        <f>L103*0.93*0.98</f>
        <v/>
      </c>
      <c r="E103" s="87">
        <f>D103*1.3*1.105</f>
        <v/>
      </c>
      <c r="F103" s="87">
        <f>D103*1.3*1.105/0.9</f>
        <v/>
      </c>
      <c r="G103" s="87">
        <f>F103*1.21</f>
        <v/>
      </c>
      <c r="H103" s="87">
        <f>ROUND(G103/100,0)*100</f>
        <v/>
      </c>
      <c r="J103" s="87" t="n">
        <v>69.211716</v>
      </c>
      <c r="L103" s="240" t="n">
        <v>81.63</v>
      </c>
      <c r="M103" s="173" t="n"/>
      <c r="N103" s="177">
        <f>(L103/J103)-1</f>
        <v/>
      </c>
      <c r="O103" s="166" t="n"/>
    </row>
    <row r="104">
      <c r="A104" s="186" t="n">
        <v>656</v>
      </c>
      <c r="B104" s="175" t="inlineStr">
        <is>
          <t>Caja por 400 Paños Sontara de 30 x 30 cm Blancos</t>
        </is>
      </c>
      <c r="D104" s="166">
        <f>L104*0.93*0.98</f>
        <v/>
      </c>
      <c r="E104" s="87">
        <f>D104*1.3*1.105</f>
        <v/>
      </c>
      <c r="F104" s="87">
        <f>D104*1.3*1.105/0.9</f>
        <v/>
      </c>
      <c r="G104" s="87">
        <f>F104*1.21</f>
        <v/>
      </c>
      <c r="H104" s="87">
        <f>ROUND(G104/100,0)*100</f>
        <v/>
      </c>
      <c r="J104" s="87" t="n">
        <v>66.978786</v>
      </c>
      <c r="L104" s="240" t="n">
        <v>79</v>
      </c>
      <c r="M104" s="167" t="n"/>
      <c r="N104" s="177">
        <f>(L104/J104)-1</f>
        <v/>
      </c>
      <c r="O104" s="166" t="n"/>
    </row>
    <row r="105">
      <c r="A105" s="223" t="n"/>
      <c r="B105" s="175" t="n"/>
      <c r="C105" s="175" t="n"/>
      <c r="D105" s="215" t="n"/>
      <c r="J105" s="87" t="n"/>
      <c r="L105" s="87" t="n"/>
      <c r="M105" s="176" t="n"/>
      <c r="N105" s="177" t="n"/>
      <c r="O105" s="215" t="n"/>
    </row>
    <row r="106">
      <c r="A106" s="223" t="n"/>
      <c r="B106" s="175" t="n"/>
      <c r="C106" s="223" t="n"/>
      <c r="D106" s="215" t="n"/>
      <c r="J106" s="87" t="n"/>
      <c r="L106" s="87" t="n"/>
      <c r="M106" s="176" t="n"/>
      <c r="N106" s="177" t="n"/>
      <c r="O106" s="215" t="n"/>
    </row>
    <row r="107">
      <c r="A107" s="223" t="n"/>
      <c r="B107" s="175" t="n"/>
      <c r="C107" s="223" t="n"/>
      <c r="D107" s="215" t="n"/>
      <c r="J107" s="87" t="n"/>
      <c r="L107" s="87" t="n"/>
      <c r="M107" s="176" t="n"/>
      <c r="N107" s="177" t="n"/>
      <c r="O107" s="215" t="n"/>
    </row>
    <row r="108">
      <c r="A108" s="248" t="inlineStr">
        <is>
          <t>LOS PRECIOS NO INCLUYEN I.V.A.</t>
        </is>
      </c>
      <c r="B108" s="272" t="n"/>
      <c r="C108" s="179" t="n"/>
      <c r="D108" s="215" t="n"/>
      <c r="J108" s="87" t="n"/>
      <c r="L108" s="87" t="n"/>
      <c r="M108" s="144" t="n"/>
      <c r="O108" s="215" t="n"/>
    </row>
    <row r="109">
      <c r="A109" s="180" t="inlineStr">
        <is>
          <t>CONDICION DE PAGO: PAGO CONTADO 7% DE DESCUENTO</t>
        </is>
      </c>
      <c r="B109" s="273" t="n"/>
      <c r="C109" s="273" t="n"/>
      <c r="D109" s="215" t="n"/>
      <c r="J109" s="87" t="n"/>
      <c r="L109" s="87" t="n"/>
      <c r="M109" s="144" t="n"/>
      <c r="O109" s="215" t="n"/>
    </row>
    <row r="110">
      <c r="J110" s="87" t="n"/>
      <c r="L110" s="87" t="n"/>
      <c r="M110" s="105" t="n"/>
      <c r="N110" s="106" t="n"/>
    </row>
    <row r="111">
      <c r="J111" s="87" t="n"/>
      <c r="L111" s="87" t="n"/>
      <c r="M111" s="105" t="n"/>
      <c r="N111" s="106" t="n"/>
    </row>
    <row r="112">
      <c r="J112" s="87" t="n"/>
      <c r="L112" s="87" t="n"/>
      <c r="M112" s="105" t="n"/>
      <c r="N112" s="106" t="n"/>
    </row>
    <row r="113">
      <c r="J113" s="87" t="n"/>
      <c r="L113" s="87" t="n"/>
      <c r="M113" s="105" t="n"/>
      <c r="N113" s="106" t="n"/>
    </row>
    <row r="114">
      <c r="J114" s="87" t="n"/>
      <c r="L114" s="87" t="n"/>
      <c r="M114" s="105" t="n"/>
      <c r="N114" s="106" t="n"/>
    </row>
    <row r="115">
      <c r="J115" s="87" t="n"/>
      <c r="L115" s="87" t="n"/>
      <c r="M115" s="105" t="n"/>
      <c r="N115" s="106" t="n"/>
    </row>
    <row r="116">
      <c r="J116" s="87" t="n"/>
      <c r="L116" s="87" t="n"/>
      <c r="M116" s="105" t="n"/>
      <c r="N116" s="106" t="n"/>
    </row>
    <row r="117">
      <c r="J117" s="87" t="n"/>
      <c r="L117" s="87" t="n"/>
      <c r="M117" s="105" t="n"/>
      <c r="N117" s="106" t="n"/>
    </row>
    <row r="118">
      <c r="J118" s="87" t="n"/>
      <c r="L118" s="87" t="n"/>
      <c r="M118" s="105" t="n"/>
      <c r="N118" s="106" t="n"/>
    </row>
    <row r="119">
      <c r="J119" s="87" t="n"/>
      <c r="L119" s="87" t="n"/>
      <c r="M119" s="105" t="n"/>
      <c r="N119" s="106" t="n"/>
    </row>
    <row r="120">
      <c r="J120" s="87" t="n"/>
      <c r="L120" s="87" t="n"/>
      <c r="M120" s="105" t="n"/>
      <c r="N120" s="106" t="n"/>
    </row>
    <row r="121">
      <c r="J121" s="87" t="n"/>
      <c r="L121" s="87" t="n"/>
      <c r="M121" s="105" t="n"/>
      <c r="N121" s="106" t="n"/>
    </row>
    <row r="122">
      <c r="J122" s="87" t="n"/>
      <c r="L122" s="87" t="n"/>
      <c r="M122" s="105" t="n"/>
      <c r="N122" s="106" t="n"/>
    </row>
    <row r="123">
      <c r="J123" s="87" t="n"/>
      <c r="L123" s="87" t="n"/>
      <c r="M123" s="105" t="n"/>
      <c r="N123" s="106" t="n"/>
    </row>
    <row r="124">
      <c r="J124" s="87" t="n"/>
      <c r="L124" s="87" t="n"/>
      <c r="M124" s="105" t="n"/>
      <c r="N124" s="106" t="n"/>
    </row>
    <row r="125">
      <c r="J125" s="87" t="n"/>
      <c r="L125" s="87" t="n"/>
      <c r="M125" s="105" t="n"/>
      <c r="N125" s="106" t="n"/>
    </row>
    <row r="126">
      <c r="J126" s="87" t="n"/>
      <c r="L126" s="87" t="n"/>
      <c r="M126" s="105" t="n"/>
      <c r="N126" s="106" t="n"/>
    </row>
    <row r="127">
      <c r="J127" s="87" t="n"/>
      <c r="L127" s="87" t="n"/>
      <c r="M127" s="105" t="n"/>
      <c r="N127" s="106" t="n"/>
    </row>
    <row r="128">
      <c r="J128" s="87" t="n"/>
      <c r="L128" s="87" t="n"/>
      <c r="M128" s="105" t="n"/>
      <c r="N128" s="106" t="n"/>
    </row>
    <row r="129">
      <c r="J129" s="87" t="n"/>
      <c r="L129" s="87" t="n"/>
      <c r="M129" s="105" t="n"/>
      <c r="N129" s="106" t="n"/>
    </row>
    <row r="130">
      <c r="J130" s="87" t="n"/>
      <c r="L130" s="87" t="n"/>
      <c r="M130" s="105" t="n"/>
      <c r="N130" s="106" t="n"/>
    </row>
    <row r="131">
      <c r="J131" s="87" t="n"/>
      <c r="L131" s="87" t="n"/>
      <c r="M131" s="105" t="n"/>
      <c r="N131" s="106" t="n"/>
    </row>
    <row r="132">
      <c r="J132" s="87" t="n"/>
      <c r="L132" s="87" t="n"/>
      <c r="M132" s="105" t="n"/>
      <c r="N132" s="106" t="n"/>
    </row>
    <row r="133">
      <c r="J133" s="87" t="n"/>
      <c r="L133" s="87" t="n"/>
      <c r="M133" s="105" t="n"/>
      <c r="N133" s="106" t="n"/>
    </row>
    <row r="134">
      <c r="J134" s="87" t="n"/>
      <c r="L134" s="87" t="n"/>
      <c r="M134" s="105" t="n"/>
      <c r="N134" s="106" t="n"/>
    </row>
    <row r="135">
      <c r="J135" s="87" t="n"/>
      <c r="L135" s="87" t="n"/>
      <c r="M135" s="105" t="n"/>
      <c r="N135" s="106" t="n"/>
    </row>
    <row r="136">
      <c r="J136" s="87" t="n"/>
      <c r="L136" s="87" t="n"/>
      <c r="M136" s="105" t="n"/>
      <c r="N136" s="106" t="n"/>
    </row>
    <row r="137">
      <c r="J137" s="87" t="n"/>
      <c r="L137" s="87" t="n"/>
      <c r="M137" s="105" t="n"/>
      <c r="N137" s="106" t="n"/>
    </row>
    <row r="138">
      <c r="J138" s="87" t="n"/>
      <c r="L138" s="87" t="n"/>
      <c r="M138" s="105" t="n"/>
      <c r="N138" s="106" t="n"/>
    </row>
    <row r="139">
      <c r="J139" s="87" t="n"/>
      <c r="L139" s="87" t="n"/>
      <c r="M139" s="105" t="n"/>
      <c r="N139" s="106" t="n"/>
    </row>
    <row r="140">
      <c r="J140" s="87" t="n"/>
      <c r="L140" s="87" t="n"/>
      <c r="M140" s="105" t="n"/>
      <c r="N140" s="106" t="n"/>
    </row>
    <row r="141">
      <c r="J141" s="87" t="n"/>
      <c r="L141" s="87" t="n"/>
      <c r="M141" s="105" t="n"/>
      <c r="N141" s="106" t="n"/>
    </row>
    <row r="142">
      <c r="J142" s="87" t="n"/>
      <c r="L142" s="87" t="n"/>
      <c r="M142" s="105" t="n"/>
      <c r="N142" s="106" t="n"/>
    </row>
    <row r="143">
      <c r="J143" s="87" t="n"/>
      <c r="L143" s="87" t="n"/>
      <c r="M143" s="105" t="n"/>
      <c r="N143" s="106" t="n"/>
    </row>
    <row r="144">
      <c r="J144" s="87" t="n"/>
      <c r="L144" s="87" t="n"/>
      <c r="M144" s="105" t="n"/>
      <c r="N144" s="106" t="n"/>
    </row>
    <row r="145">
      <c r="J145" s="87" t="n"/>
      <c r="L145" s="87" t="n"/>
      <c r="M145" s="105" t="n"/>
      <c r="N145" s="106" t="n"/>
    </row>
    <row r="146">
      <c r="J146" s="87" t="n"/>
      <c r="L146" s="87" t="n"/>
      <c r="M146" s="105" t="n"/>
      <c r="N146" s="106" t="n"/>
    </row>
    <row r="147">
      <c r="J147" s="87" t="n"/>
      <c r="L147" s="87" t="n"/>
      <c r="M147" s="105" t="n"/>
      <c r="N147" s="106" t="n"/>
    </row>
    <row r="148">
      <c r="J148" s="87" t="n"/>
      <c r="L148" s="87" t="n"/>
      <c r="M148" s="105" t="n"/>
      <c r="N148" s="106" t="n"/>
    </row>
    <row r="149">
      <c r="J149" s="87" t="n"/>
      <c r="L149" s="87" t="n"/>
      <c r="M149" s="105" t="n"/>
      <c r="N149" s="106" t="n"/>
    </row>
    <row r="150">
      <c r="J150" s="87" t="n"/>
      <c r="L150" s="87" t="n"/>
      <c r="M150" s="105" t="n"/>
      <c r="N150" s="106" t="n"/>
    </row>
    <row r="151">
      <c r="J151" s="87" t="n"/>
      <c r="L151" s="87" t="n"/>
      <c r="M151" s="105" t="n"/>
      <c r="N151" s="106" t="n"/>
    </row>
    <row r="152">
      <c r="J152" s="87" t="n"/>
      <c r="L152" s="87" t="n"/>
      <c r="M152" s="105" t="n"/>
      <c r="N152" s="106" t="n"/>
    </row>
    <row r="153">
      <c r="J153" s="87" t="n"/>
      <c r="L153" s="87" t="n"/>
      <c r="M153" s="105" t="n"/>
      <c r="N153" s="106" t="n"/>
    </row>
    <row r="154">
      <c r="J154" s="87" t="n"/>
      <c r="L154" s="87" t="n"/>
      <c r="M154" s="105" t="n"/>
      <c r="N154" s="106" t="n"/>
    </row>
    <row r="155">
      <c r="J155" s="87" t="n"/>
      <c r="L155" s="87" t="n"/>
      <c r="M155" s="105" t="n"/>
      <c r="N155" s="106" t="n"/>
    </row>
    <row r="156">
      <c r="J156" s="87" t="n"/>
      <c r="L156" s="87" t="n"/>
      <c r="M156" s="105" t="n"/>
      <c r="N156" s="106" t="n"/>
    </row>
    <row r="157">
      <c r="J157" s="87" t="n"/>
      <c r="L157" s="87" t="n"/>
      <c r="M157" s="105" t="n"/>
      <c r="N157" s="106" t="n"/>
    </row>
    <row r="158">
      <c r="J158" s="87" t="n"/>
      <c r="L158" s="87" t="n"/>
      <c r="M158" s="105" t="n"/>
      <c r="N158" s="106" t="n"/>
    </row>
    <row r="159">
      <c r="J159" s="87" t="n"/>
      <c r="L159" s="87" t="n"/>
      <c r="M159" s="105" t="n"/>
      <c r="N159" s="106" t="n"/>
    </row>
    <row r="160">
      <c r="J160" s="87" t="n"/>
      <c r="L160" s="87" t="n"/>
      <c r="M160" s="105" t="n"/>
      <c r="N160" s="106" t="n"/>
    </row>
    <row r="161">
      <c r="J161" s="87" t="n"/>
      <c r="L161" s="87" t="n"/>
      <c r="M161" s="105" t="n"/>
      <c r="N161" s="106" t="n"/>
    </row>
    <row r="162">
      <c r="J162" s="87" t="n"/>
      <c r="L162" s="87" t="n"/>
      <c r="M162" s="105" t="n"/>
      <c r="N162" s="106" t="n"/>
    </row>
    <row r="163">
      <c r="J163" s="87" t="n"/>
      <c r="L163" s="87" t="n"/>
      <c r="M163" s="105" t="n"/>
      <c r="N163" s="106" t="n"/>
    </row>
    <row r="164">
      <c r="J164" s="87" t="n"/>
      <c r="L164" s="87" t="n"/>
      <c r="M164" s="105" t="n"/>
      <c r="N164" s="106" t="n"/>
    </row>
    <row r="165">
      <c r="J165" s="87" t="n"/>
      <c r="L165" s="87" t="n"/>
      <c r="M165" s="105" t="n"/>
      <c r="N165" s="106" t="n"/>
    </row>
    <row r="166">
      <c r="J166" s="87" t="n"/>
      <c r="L166" s="87" t="n"/>
      <c r="M166" s="105" t="n"/>
      <c r="N166" s="106" t="n"/>
    </row>
    <row r="167">
      <c r="J167" s="87" t="n"/>
      <c r="L167" s="87" t="n"/>
      <c r="M167" s="105" t="n"/>
      <c r="N167" s="106" t="n"/>
    </row>
    <row r="168">
      <c r="J168" s="87" t="n"/>
      <c r="L168" s="87" t="n"/>
      <c r="M168" s="105" t="n"/>
      <c r="N168" s="106" t="n"/>
    </row>
    <row r="169">
      <c r="J169" s="87" t="n"/>
      <c r="L169" s="87" t="n"/>
      <c r="M169" s="105" t="n"/>
      <c r="N169" s="106" t="n"/>
    </row>
    <row r="170">
      <c r="J170" s="87" t="n"/>
      <c r="L170" s="87" t="n"/>
      <c r="M170" s="105" t="n"/>
      <c r="N170" s="106" t="n"/>
    </row>
    <row r="171">
      <c r="J171" s="87" t="n"/>
      <c r="L171" s="87" t="n"/>
      <c r="M171" s="105" t="n"/>
      <c r="N171" s="106" t="n"/>
    </row>
    <row r="172">
      <c r="J172" s="87" t="n"/>
      <c r="L172" s="87" t="n"/>
      <c r="M172" s="105" t="n"/>
      <c r="N172" s="106" t="n"/>
    </row>
    <row r="173">
      <c r="J173" s="87" t="n"/>
      <c r="L173" s="87" t="n"/>
      <c r="M173" s="105" t="n"/>
      <c r="N173" s="106" t="n"/>
    </row>
    <row r="174">
      <c r="J174" s="87" t="n"/>
      <c r="L174" s="87" t="n"/>
      <c r="M174" s="105" t="n"/>
      <c r="N174" s="106" t="n"/>
    </row>
    <row r="175">
      <c r="J175" s="87" t="n"/>
      <c r="L175" s="87" t="n"/>
      <c r="M175" s="105" t="n"/>
      <c r="N175" s="106" t="n"/>
    </row>
    <row r="176">
      <c r="J176" s="87" t="n"/>
      <c r="L176" s="87" t="n"/>
      <c r="M176" s="105" t="n"/>
      <c r="N176" s="106" t="n"/>
    </row>
    <row r="177">
      <c r="J177" s="87" t="n"/>
      <c r="L177" s="87" t="n"/>
      <c r="M177" s="105" t="n"/>
      <c r="N177" s="106" t="n"/>
    </row>
    <row r="178">
      <c r="J178" s="87" t="n"/>
      <c r="L178" s="87" t="n"/>
      <c r="M178" s="105" t="n"/>
      <c r="N178" s="106" t="n"/>
    </row>
    <row r="179">
      <c r="J179" s="87" t="n"/>
      <c r="L179" s="87" t="n"/>
      <c r="M179" s="105" t="n"/>
      <c r="N179" s="106" t="n"/>
    </row>
    <row r="180">
      <c r="J180" s="87" t="n"/>
      <c r="L180" s="87" t="n"/>
      <c r="M180" s="105" t="n"/>
      <c r="N180" s="106" t="n"/>
    </row>
    <row r="181">
      <c r="J181" s="87" t="n"/>
      <c r="L181" s="87" t="n"/>
      <c r="M181" s="105" t="n"/>
      <c r="N181" s="106" t="n"/>
    </row>
    <row r="182">
      <c r="J182" s="87" t="n"/>
      <c r="L182" s="87" t="n"/>
      <c r="M182" s="105" t="n"/>
      <c r="N182" s="106" t="n"/>
    </row>
    <row r="183">
      <c r="J183" s="87" t="n"/>
      <c r="L183" s="87" t="n"/>
      <c r="M183" s="105" t="n"/>
      <c r="N183" s="106" t="n"/>
    </row>
    <row r="184">
      <c r="J184" s="87" t="n"/>
      <c r="L184" s="87" t="n"/>
      <c r="M184" s="105" t="n"/>
      <c r="N184" s="106" t="n"/>
    </row>
    <row r="185">
      <c r="J185" s="87" t="n"/>
      <c r="L185" s="87" t="n"/>
      <c r="M185" s="105" t="n"/>
      <c r="N185" s="106" t="n"/>
    </row>
    <row r="186">
      <c r="J186" s="87" t="n"/>
      <c r="L186" s="87" t="n"/>
      <c r="M186" s="105" t="n"/>
      <c r="N186" s="106" t="n"/>
    </row>
    <row r="187">
      <c r="J187" s="87" t="n"/>
      <c r="L187" s="87" t="n"/>
      <c r="M187" s="105" t="n"/>
      <c r="N187" s="106" t="n"/>
    </row>
    <row r="188">
      <c r="J188" s="87" t="n"/>
      <c r="L188" s="87" t="n"/>
      <c r="M188" s="105" t="n"/>
      <c r="N188" s="106" t="n"/>
    </row>
    <row r="189">
      <c r="J189" s="87" t="n"/>
      <c r="L189" s="87" t="n"/>
      <c r="M189" s="105" t="n"/>
      <c r="N189" s="106" t="n"/>
    </row>
    <row r="190">
      <c r="J190" s="87" t="n"/>
      <c r="L190" s="87" t="n"/>
      <c r="M190" s="105" t="n"/>
      <c r="N190" s="106" t="n"/>
    </row>
    <row r="191">
      <c r="J191" s="87" t="n"/>
      <c r="L191" s="87" t="n"/>
      <c r="M191" s="105" t="n"/>
      <c r="N191" s="106" t="n"/>
    </row>
    <row r="192">
      <c r="J192" s="87" t="n"/>
      <c r="L192" s="87" t="n"/>
      <c r="M192" s="105" t="n"/>
      <c r="N192" s="106" t="n"/>
    </row>
    <row r="193">
      <c r="J193" s="87" t="n"/>
      <c r="L193" s="87" t="n"/>
      <c r="M193" s="105" t="n"/>
      <c r="N193" s="106" t="n"/>
    </row>
    <row r="194">
      <c r="J194" s="87" t="n"/>
      <c r="L194" s="87" t="n"/>
      <c r="M194" s="105" t="n"/>
      <c r="N194" s="106" t="n"/>
    </row>
    <row r="195">
      <c r="J195" s="87" t="n"/>
      <c r="L195" s="87" t="n"/>
      <c r="M195" s="105" t="n"/>
      <c r="N195" s="106" t="n"/>
    </row>
    <row r="196">
      <c r="J196" s="87" t="n"/>
      <c r="L196" s="87" t="n"/>
      <c r="M196" s="105" t="n"/>
      <c r="N196" s="106" t="n"/>
    </row>
    <row r="197">
      <c r="J197" s="87" t="n"/>
      <c r="L197" s="87" t="n"/>
      <c r="M197" s="105" t="n"/>
      <c r="N197" s="106" t="n"/>
    </row>
    <row r="198">
      <c r="J198" s="87" t="n"/>
      <c r="L198" s="87" t="n"/>
      <c r="M198" s="105" t="n"/>
      <c r="N198" s="106" t="n"/>
    </row>
    <row r="199">
      <c r="J199" s="87" t="n"/>
      <c r="L199" s="87" t="n"/>
      <c r="M199" s="105" t="n"/>
      <c r="N199" s="106" t="n"/>
    </row>
    <row r="200">
      <c r="J200" s="87" t="n"/>
      <c r="L200" s="87" t="n"/>
      <c r="M200" s="105" t="n"/>
      <c r="N200" s="106" t="n"/>
    </row>
    <row r="201">
      <c r="J201" s="87" t="n"/>
      <c r="L201" s="87" t="n"/>
      <c r="M201" s="105" t="n"/>
      <c r="N201" s="106" t="n"/>
    </row>
    <row r="202">
      <c r="J202" s="87" t="n"/>
      <c r="L202" s="87" t="n"/>
      <c r="M202" s="105" t="n"/>
      <c r="N202" s="106" t="n"/>
    </row>
    <row r="203">
      <c r="J203" s="87" t="n"/>
      <c r="L203" s="87" t="n"/>
      <c r="M203" s="105" t="n"/>
      <c r="N203" s="106" t="n"/>
    </row>
    <row r="204">
      <c r="J204" s="87" t="n"/>
      <c r="L204" s="87" t="n"/>
      <c r="M204" s="105" t="n"/>
      <c r="N204" s="106" t="n"/>
    </row>
    <row r="205">
      <c r="J205" s="87" t="n"/>
      <c r="L205" s="87" t="n"/>
      <c r="M205" s="105" t="n"/>
      <c r="N205" s="106" t="n"/>
    </row>
    <row r="206">
      <c r="J206" s="87" t="n"/>
      <c r="L206" s="87" t="n"/>
      <c r="M206" s="105" t="n"/>
      <c r="N206" s="106" t="n"/>
    </row>
    <row r="207">
      <c r="J207" s="87" t="n"/>
      <c r="L207" s="87" t="n"/>
      <c r="M207" s="105" t="n"/>
      <c r="N207" s="106" t="n"/>
    </row>
    <row r="208">
      <c r="J208" s="87" t="n"/>
      <c r="L208" s="87" t="n"/>
      <c r="M208" s="105" t="n"/>
      <c r="N208" s="106" t="n"/>
    </row>
    <row r="209">
      <c r="J209" s="87" t="n"/>
      <c r="L209" s="87" t="n"/>
      <c r="M209" s="105" t="n"/>
      <c r="N209" s="106" t="n"/>
    </row>
    <row r="210">
      <c r="J210" s="87" t="n"/>
      <c r="L210" s="87" t="n"/>
      <c r="M210" s="105" t="n"/>
      <c r="N210" s="106" t="n"/>
    </row>
    <row r="211">
      <c r="J211" s="87" t="n"/>
      <c r="L211" s="87" t="n"/>
      <c r="M211" s="105" t="n"/>
      <c r="N211" s="106" t="n"/>
    </row>
    <row r="212">
      <c r="J212" s="87" t="n"/>
      <c r="L212" s="87" t="n"/>
      <c r="M212" s="105" t="n"/>
      <c r="N212" s="106" t="n"/>
    </row>
    <row r="213">
      <c r="J213" s="87" t="n"/>
      <c r="L213" s="87" t="n"/>
      <c r="M213" s="105" t="n"/>
      <c r="N213" s="106" t="n"/>
    </row>
    <row r="214">
      <c r="J214" s="87" t="n"/>
      <c r="L214" s="87" t="n"/>
      <c r="M214" s="105" t="n"/>
      <c r="N214" s="106" t="n"/>
    </row>
    <row r="215">
      <c r="J215" s="87" t="n"/>
      <c r="L215" s="87" t="n"/>
      <c r="M215" s="105" t="n"/>
      <c r="N215" s="106" t="n"/>
    </row>
    <row r="216">
      <c r="J216" s="87" t="n"/>
      <c r="L216" s="87" t="n"/>
      <c r="M216" s="105" t="n"/>
      <c r="N216" s="106" t="n"/>
    </row>
    <row r="217">
      <c r="J217" s="87" t="n"/>
      <c r="L217" s="87" t="n"/>
      <c r="M217" s="105" t="n"/>
      <c r="N217" s="106" t="n"/>
    </row>
    <row r="218">
      <c r="J218" s="87" t="n"/>
      <c r="L218" s="87" t="n"/>
      <c r="M218" s="105" t="n"/>
      <c r="N218" s="106" t="n"/>
    </row>
    <row r="219">
      <c r="J219" s="87" t="n"/>
      <c r="L219" s="87" t="n"/>
      <c r="M219" s="105" t="n"/>
      <c r="N219" s="106" t="n"/>
    </row>
    <row r="220">
      <c r="J220" s="87" t="n"/>
      <c r="L220" s="87" t="n"/>
      <c r="M220" s="105" t="n"/>
      <c r="N220" s="106" t="n"/>
    </row>
    <row r="221">
      <c r="J221" s="87" t="n"/>
      <c r="L221" s="87" t="n"/>
      <c r="M221" s="105" t="n"/>
      <c r="N221" s="106" t="n"/>
    </row>
    <row r="222">
      <c r="J222" s="87" t="n"/>
      <c r="L222" s="87" t="n"/>
      <c r="M222" s="105" t="n"/>
      <c r="N222" s="106" t="n"/>
    </row>
    <row r="223">
      <c r="J223" s="87" t="n"/>
      <c r="L223" s="87" t="n"/>
      <c r="M223" s="105" t="n"/>
      <c r="N223" s="106" t="n"/>
    </row>
    <row r="224">
      <c r="J224" s="87" t="n"/>
      <c r="L224" s="87" t="n"/>
      <c r="M224" s="105" t="n"/>
      <c r="N224" s="106" t="n"/>
    </row>
    <row r="225">
      <c r="J225" s="87" t="n"/>
      <c r="L225" s="87" t="n"/>
      <c r="M225" s="105" t="n"/>
      <c r="N225" s="106" t="n"/>
    </row>
    <row r="226">
      <c r="J226" s="87" t="n"/>
      <c r="L226" s="87" t="n"/>
      <c r="M226" s="105" t="n"/>
      <c r="N226" s="106" t="n"/>
    </row>
    <row r="227">
      <c r="J227" s="87" t="n"/>
      <c r="L227" s="87" t="n"/>
      <c r="M227" s="105" t="n"/>
      <c r="N227" s="106" t="n"/>
    </row>
    <row r="228">
      <c r="J228" s="87" t="n"/>
      <c r="L228" s="87" t="n"/>
      <c r="M228" s="105" t="n"/>
      <c r="N228" s="106" t="n"/>
    </row>
    <row r="229">
      <c r="J229" s="87" t="n"/>
      <c r="L229" s="87" t="n"/>
      <c r="M229" s="105" t="n"/>
      <c r="N229" s="106" t="n"/>
    </row>
    <row r="230">
      <c r="J230" s="87" t="n"/>
      <c r="L230" s="87" t="n"/>
      <c r="M230" s="105" t="n"/>
      <c r="N230" s="106" t="n"/>
    </row>
    <row r="231">
      <c r="J231" s="87" t="n"/>
      <c r="L231" s="87" t="n"/>
      <c r="M231" s="105" t="n"/>
      <c r="N231" s="106" t="n"/>
    </row>
    <row r="232">
      <c r="J232" s="87" t="n"/>
      <c r="L232" s="87" t="n"/>
      <c r="M232" s="105" t="n"/>
      <c r="N232" s="106" t="n"/>
    </row>
    <row r="233">
      <c r="J233" s="87" t="n"/>
      <c r="L233" s="87" t="n"/>
      <c r="M233" s="105" t="n"/>
      <c r="N233" s="106" t="n"/>
    </row>
    <row r="234">
      <c r="J234" s="87" t="n"/>
      <c r="L234" s="87" t="n"/>
      <c r="M234" s="105" t="n"/>
      <c r="N234" s="106" t="n"/>
    </row>
    <row r="235">
      <c r="J235" s="87" t="n"/>
      <c r="L235" s="87" t="n"/>
      <c r="M235" s="105" t="n"/>
      <c r="N235" s="106" t="n"/>
    </row>
    <row r="236">
      <c r="J236" s="87" t="n"/>
      <c r="L236" s="87" t="n"/>
      <c r="M236" s="105" t="n"/>
      <c r="N236" s="106" t="n"/>
    </row>
    <row r="237">
      <c r="J237" s="87" t="n"/>
      <c r="L237" s="87" t="n"/>
      <c r="M237" s="105" t="n"/>
      <c r="N237" s="106" t="n"/>
    </row>
    <row r="238">
      <c r="J238" s="87" t="n"/>
      <c r="L238" s="87" t="n"/>
      <c r="M238" s="105" t="n"/>
      <c r="N238" s="106" t="n"/>
    </row>
    <row r="239">
      <c r="J239" s="87" t="n"/>
      <c r="L239" s="87" t="n"/>
      <c r="M239" s="105" t="n"/>
      <c r="N239" s="106" t="n"/>
    </row>
    <row r="240">
      <c r="J240" s="87" t="n"/>
      <c r="L240" s="87" t="n"/>
      <c r="M240" s="105" t="n"/>
      <c r="N240" s="106" t="n"/>
    </row>
    <row r="241">
      <c r="J241" s="87" t="n"/>
      <c r="L241" s="87" t="n"/>
      <c r="M241" s="105" t="n"/>
      <c r="N241" s="106" t="n"/>
    </row>
    <row r="242">
      <c r="J242" s="87" t="n"/>
      <c r="L242" s="87" t="n"/>
      <c r="M242" s="105" t="n"/>
      <c r="N242" s="106" t="n"/>
    </row>
    <row r="243">
      <c r="J243" s="87" t="n"/>
      <c r="L243" s="87" t="n"/>
      <c r="M243" s="105" t="n"/>
      <c r="N243" s="106" t="n"/>
    </row>
    <row r="244">
      <c r="J244" s="87" t="n"/>
      <c r="L244" s="87" t="n"/>
      <c r="M244" s="105" t="n"/>
      <c r="N244" s="106" t="n"/>
    </row>
    <row r="245">
      <c r="J245" s="87" t="n"/>
      <c r="L245" s="87" t="n"/>
      <c r="M245" s="105" t="n"/>
      <c r="N245" s="106" t="n"/>
    </row>
    <row r="246">
      <c r="J246" s="87" t="n"/>
      <c r="L246" s="87" t="n"/>
      <c r="M246" s="105" t="n"/>
      <c r="N246" s="106" t="n"/>
    </row>
    <row r="247">
      <c r="J247" s="87" t="n"/>
      <c r="L247" s="87" t="n"/>
      <c r="M247" s="105" t="n"/>
      <c r="N247" s="106" t="n"/>
    </row>
    <row r="248">
      <c r="J248" s="87" t="n"/>
      <c r="L248" s="87" t="n"/>
      <c r="M248" s="105" t="n"/>
      <c r="N248" s="106" t="n"/>
    </row>
    <row r="249">
      <c r="J249" s="87" t="n"/>
      <c r="L249" s="87" t="n"/>
      <c r="M249" s="105" t="n"/>
      <c r="N249" s="106" t="n"/>
    </row>
    <row r="250">
      <c r="J250" s="87" t="n"/>
      <c r="L250" s="87" t="n"/>
      <c r="M250" s="105" t="n"/>
      <c r="N250" s="106" t="n"/>
    </row>
    <row r="251">
      <c r="J251" s="87" t="n"/>
      <c r="L251" s="87" t="n"/>
      <c r="M251" s="105" t="n"/>
      <c r="N251" s="106" t="n"/>
    </row>
    <row r="252">
      <c r="J252" s="87" t="n"/>
      <c r="L252" s="87" t="n"/>
      <c r="M252" s="105" t="n"/>
      <c r="N252" s="106" t="n"/>
    </row>
    <row r="253">
      <c r="J253" s="87" t="n"/>
      <c r="L253" s="87" t="n"/>
      <c r="M253" s="105" t="n"/>
      <c r="N253" s="106" t="n"/>
    </row>
    <row r="254">
      <c r="J254" s="87" t="n"/>
      <c r="L254" s="87" t="n"/>
      <c r="M254" s="105" t="n"/>
      <c r="N254" s="106" t="n"/>
    </row>
    <row r="255">
      <c r="J255" s="87" t="n"/>
      <c r="L255" s="87" t="n"/>
      <c r="M255" s="105" t="n"/>
      <c r="N255" s="106" t="n"/>
    </row>
    <row r="256">
      <c r="J256" s="87" t="n"/>
      <c r="L256" s="87" t="n"/>
      <c r="M256" s="105" t="n"/>
      <c r="N256" s="106" t="n"/>
    </row>
    <row r="257">
      <c r="J257" s="87" t="n"/>
      <c r="L257" s="87" t="n"/>
      <c r="M257" s="105" t="n"/>
      <c r="N257" s="106" t="n"/>
    </row>
    <row r="258">
      <c r="J258" s="87" t="n"/>
      <c r="L258" s="87" t="n"/>
      <c r="M258" s="105" t="n"/>
      <c r="N258" s="106" t="n"/>
    </row>
    <row r="259">
      <c r="J259" s="87" t="n"/>
      <c r="L259" s="87" t="n"/>
      <c r="M259" s="105" t="n"/>
      <c r="N259" s="106" t="n"/>
    </row>
    <row r="260">
      <c r="J260" s="87" t="n"/>
      <c r="L260" s="87" t="n"/>
      <c r="M260" s="105" t="n"/>
      <c r="N260" s="106" t="n"/>
    </row>
    <row r="261">
      <c r="J261" s="87" t="n"/>
      <c r="L261" s="87" t="n"/>
      <c r="M261" s="105" t="n"/>
      <c r="N261" s="106" t="n"/>
    </row>
    <row r="262">
      <c r="J262" s="87" t="n"/>
      <c r="L262" s="87" t="n"/>
      <c r="M262" s="105" t="n"/>
      <c r="N262" s="106" t="n"/>
    </row>
    <row r="263">
      <c r="J263" s="87" t="n"/>
      <c r="L263" s="87" t="n"/>
      <c r="M263" s="105" t="n"/>
      <c r="N263" s="106" t="n"/>
    </row>
    <row r="264">
      <c r="J264" s="87" t="n"/>
      <c r="L264" s="87" t="n"/>
      <c r="M264" s="105" t="n"/>
      <c r="N264" s="106" t="n"/>
    </row>
    <row r="265">
      <c r="J265" s="87" t="n"/>
      <c r="L265" s="87" t="n"/>
      <c r="M265" s="105" t="n"/>
      <c r="N265" s="106" t="n"/>
    </row>
    <row r="266">
      <c r="J266" s="87" t="n"/>
      <c r="L266" s="87" t="n"/>
      <c r="M266" s="105" t="n"/>
      <c r="N266" s="106" t="n"/>
    </row>
    <row r="267">
      <c r="J267" s="87" t="n"/>
      <c r="L267" s="87" t="n"/>
      <c r="M267" s="105" t="n"/>
      <c r="N267" s="106" t="n"/>
    </row>
    <row r="268">
      <c r="J268" s="87" t="n"/>
      <c r="L268" s="87" t="n"/>
      <c r="M268" s="105" t="n"/>
      <c r="N268" s="106" t="n"/>
    </row>
    <row r="269">
      <c r="J269" s="87" t="n"/>
      <c r="L269" s="87" t="n"/>
      <c r="M269" s="105" t="n"/>
      <c r="N269" s="106" t="n"/>
    </row>
    <row r="270">
      <c r="J270" s="87" t="n"/>
      <c r="L270" s="87" t="n"/>
      <c r="M270" s="105" t="n"/>
      <c r="N270" s="106" t="n"/>
    </row>
    <row r="271">
      <c r="J271" s="87" t="n"/>
      <c r="L271" s="87" t="n"/>
      <c r="M271" s="105" t="n"/>
      <c r="N271" s="106" t="n"/>
    </row>
    <row r="272">
      <c r="J272" s="87" t="n"/>
      <c r="L272" s="87" t="n"/>
      <c r="M272" s="105" t="n"/>
      <c r="N272" s="106" t="n"/>
    </row>
    <row r="273">
      <c r="J273" s="87" t="n"/>
      <c r="L273" s="87" t="n"/>
      <c r="M273" s="105" t="n"/>
      <c r="N273" s="106" t="n"/>
    </row>
    <row r="274">
      <c r="J274" s="87" t="n"/>
      <c r="L274" s="87" t="n"/>
      <c r="M274" s="105" t="n"/>
      <c r="N274" s="106" t="n"/>
    </row>
    <row r="275">
      <c r="J275" s="87" t="n"/>
      <c r="L275" s="87" t="n"/>
      <c r="M275" s="105" t="n"/>
      <c r="N275" s="106" t="n"/>
    </row>
    <row r="276">
      <c r="J276" s="87" t="n"/>
      <c r="L276" s="87" t="n"/>
      <c r="M276" s="105" t="n"/>
      <c r="N276" s="106" t="n"/>
    </row>
    <row r="277">
      <c r="J277" s="87" t="n"/>
      <c r="L277" s="87" t="n"/>
      <c r="M277" s="105" t="n"/>
      <c r="N277" s="106" t="n"/>
    </row>
    <row r="278">
      <c r="J278" s="87" t="n"/>
      <c r="L278" s="87" t="n"/>
      <c r="M278" s="105" t="n"/>
      <c r="N278" s="106" t="n"/>
    </row>
    <row r="279">
      <c r="J279" s="87" t="n"/>
      <c r="L279" s="87" t="n"/>
      <c r="M279" s="105" t="n"/>
      <c r="N279" s="106" t="n"/>
    </row>
    <row r="280">
      <c r="J280" s="87" t="n"/>
      <c r="L280" s="87" t="n"/>
      <c r="M280" s="105" t="n"/>
      <c r="N280" s="106" t="n"/>
    </row>
    <row r="281">
      <c r="J281" s="87" t="n"/>
      <c r="L281" s="87" t="n"/>
      <c r="M281" s="105" t="n"/>
      <c r="N281" s="106" t="n"/>
    </row>
    <row r="282">
      <c r="J282" s="87" t="n"/>
      <c r="L282" s="87" t="n"/>
      <c r="M282" s="105" t="n"/>
      <c r="N282" s="106" t="n"/>
    </row>
    <row r="283">
      <c r="J283" s="87" t="n"/>
      <c r="L283" s="87" t="n"/>
      <c r="M283" s="105" t="n"/>
      <c r="N283" s="106" t="n"/>
    </row>
    <row r="284">
      <c r="J284" s="87" t="n"/>
      <c r="L284" s="87" t="n"/>
      <c r="M284" s="105" t="n"/>
      <c r="N284" s="106" t="n"/>
    </row>
    <row r="285">
      <c r="J285" s="87" t="n"/>
      <c r="L285" s="87" t="n"/>
      <c r="M285" s="105" t="n"/>
      <c r="N285" s="106" t="n"/>
    </row>
    <row r="286">
      <c r="J286" s="87" t="n"/>
      <c r="L286" s="87" t="n"/>
      <c r="M286" s="105" t="n"/>
      <c r="N286" s="106" t="n"/>
    </row>
    <row r="287">
      <c r="J287" s="87" t="n"/>
      <c r="L287" s="87" t="n"/>
      <c r="M287" s="105" t="n"/>
      <c r="N287" s="106" t="n"/>
    </row>
    <row r="288">
      <c r="J288" s="87" t="n"/>
      <c r="L288" s="87" t="n"/>
      <c r="M288" s="105" t="n"/>
      <c r="N288" s="106" t="n"/>
    </row>
    <row r="289">
      <c r="J289" s="87" t="n"/>
      <c r="L289" s="87" t="n"/>
      <c r="M289" s="105" t="n"/>
      <c r="N289" s="106" t="n"/>
    </row>
    <row r="290">
      <c r="J290" s="87" t="n"/>
      <c r="L290" s="87" t="n"/>
      <c r="M290" s="105" t="n"/>
      <c r="N290" s="106" t="n"/>
    </row>
    <row r="291">
      <c r="J291" s="87" t="n"/>
      <c r="L291" s="87" t="n"/>
      <c r="M291" s="105" t="n"/>
      <c r="N291" s="106" t="n"/>
    </row>
    <row r="292">
      <c r="J292" s="87" t="n"/>
      <c r="L292" s="87" t="n"/>
      <c r="M292" s="105" t="n"/>
      <c r="N292" s="106" t="n"/>
    </row>
    <row r="293">
      <c r="J293" s="87" t="n"/>
      <c r="L293" s="87" t="n"/>
      <c r="M293" s="105" t="n"/>
      <c r="N293" s="106" t="n"/>
    </row>
    <row r="294">
      <c r="J294" s="87" t="n"/>
      <c r="L294" s="87" t="n"/>
      <c r="M294" s="105" t="n"/>
      <c r="N294" s="106" t="n"/>
    </row>
    <row r="295">
      <c r="J295" s="87" t="n"/>
      <c r="L295" s="87" t="n"/>
      <c r="M295" s="105" t="n"/>
      <c r="N295" s="106" t="n"/>
    </row>
    <row r="296">
      <c r="J296" s="87" t="n"/>
      <c r="L296" s="87" t="n"/>
      <c r="M296" s="105" t="n"/>
      <c r="N296" s="106" t="n"/>
    </row>
    <row r="297">
      <c r="J297" s="87" t="n"/>
      <c r="L297" s="87" t="n"/>
      <c r="M297" s="105" t="n"/>
      <c r="N297" s="106" t="n"/>
    </row>
    <row r="298">
      <c r="J298" s="87" t="n"/>
      <c r="L298" s="87" t="n"/>
      <c r="M298" s="105" t="n"/>
      <c r="N298" s="106" t="n"/>
    </row>
    <row r="299">
      <c r="J299" s="87" t="n"/>
      <c r="L299" s="87" t="n"/>
      <c r="M299" s="105" t="n"/>
      <c r="N299" s="106" t="n"/>
    </row>
    <row r="300">
      <c r="J300" s="87" t="n"/>
      <c r="L300" s="87" t="n"/>
      <c r="M300" s="105" t="n"/>
      <c r="N300" s="106" t="n"/>
    </row>
    <row r="301">
      <c r="J301" s="87" t="n"/>
      <c r="L301" s="87" t="n"/>
      <c r="M301" s="105" t="n"/>
      <c r="N301" s="106" t="n"/>
    </row>
    <row r="302">
      <c r="J302" s="87" t="n"/>
      <c r="L302" s="87" t="n"/>
      <c r="M302" s="105" t="n"/>
      <c r="N302" s="106" t="n"/>
    </row>
    <row r="303">
      <c r="J303" s="87" t="n"/>
      <c r="L303" s="87" t="n"/>
      <c r="M303" s="105" t="n"/>
      <c r="N303" s="106" t="n"/>
    </row>
    <row r="304">
      <c r="J304" s="87" t="n"/>
      <c r="L304" s="87" t="n"/>
      <c r="M304" s="105" t="n"/>
      <c r="N304" s="106" t="n"/>
    </row>
    <row r="305">
      <c r="J305" s="87" t="n"/>
      <c r="L305" s="87" t="n"/>
      <c r="M305" s="105" t="n"/>
      <c r="N305" s="106" t="n"/>
    </row>
    <row r="306">
      <c r="J306" s="87" t="n"/>
      <c r="L306" s="87" t="n"/>
      <c r="M306" s="105" t="n"/>
      <c r="N306" s="106" t="n"/>
    </row>
    <row r="307">
      <c r="J307" s="87" t="n"/>
      <c r="L307" s="87" t="n"/>
      <c r="M307" s="105" t="n"/>
      <c r="N307" s="106" t="n"/>
    </row>
    <row r="308">
      <c r="J308" s="87" t="n"/>
      <c r="L308" s="87" t="n"/>
      <c r="M308" s="105" t="n"/>
      <c r="N308" s="106" t="n"/>
    </row>
    <row r="309">
      <c r="J309" s="87" t="n"/>
      <c r="L309" s="87" t="n"/>
      <c r="M309" s="105" t="n"/>
      <c r="N309" s="106" t="n"/>
    </row>
    <row r="310">
      <c r="J310" s="87" t="n"/>
      <c r="L310" s="87" t="n"/>
      <c r="M310" s="105" t="n"/>
      <c r="N310" s="106" t="n"/>
    </row>
    <row r="311">
      <c r="J311" s="87" t="n"/>
      <c r="L311" s="87" t="n"/>
      <c r="M311" s="105" t="n"/>
      <c r="N311" s="106" t="n"/>
    </row>
    <row r="312">
      <c r="J312" s="87" t="n"/>
      <c r="L312" s="87" t="n"/>
      <c r="M312" s="105" t="n"/>
      <c r="N312" s="106" t="n"/>
    </row>
    <row r="313">
      <c r="J313" s="87" t="n"/>
      <c r="L313" s="87" t="n"/>
      <c r="M313" s="105" t="n"/>
      <c r="N313" s="106" t="n"/>
    </row>
    <row r="314">
      <c r="J314" s="87" t="n"/>
      <c r="L314" s="87" t="n"/>
      <c r="M314" s="105" t="n"/>
      <c r="N314" s="106" t="n"/>
    </row>
    <row r="315">
      <c r="J315" s="87" t="n"/>
      <c r="L315" s="87" t="n"/>
      <c r="M315" s="105" t="n"/>
      <c r="N315" s="106" t="n"/>
    </row>
    <row r="316">
      <c r="J316" s="87" t="n"/>
      <c r="L316" s="87" t="n"/>
      <c r="M316" s="105" t="n"/>
      <c r="N316" s="106" t="n"/>
    </row>
    <row r="317">
      <c r="J317" s="87" t="n"/>
      <c r="L317" s="87" t="n"/>
      <c r="M317" s="105" t="n"/>
      <c r="N317" s="106" t="n"/>
    </row>
    <row r="318">
      <c r="J318" s="87" t="n"/>
      <c r="L318" s="87" t="n"/>
      <c r="M318" s="105" t="n"/>
      <c r="N318" s="106" t="n"/>
    </row>
    <row r="319">
      <c r="J319" s="87" t="n"/>
      <c r="L319" s="87" t="n"/>
      <c r="M319" s="105" t="n"/>
      <c r="N319" s="106" t="n"/>
    </row>
    <row r="320">
      <c r="J320" s="87" t="n"/>
      <c r="L320" s="87" t="n"/>
      <c r="M320" s="105" t="n"/>
      <c r="N320" s="106" t="n"/>
    </row>
    <row r="321">
      <c r="J321" s="87" t="n"/>
      <c r="L321" s="87" t="n"/>
      <c r="M321" s="105" t="n"/>
      <c r="N321" s="106" t="n"/>
    </row>
    <row r="322">
      <c r="J322" s="87" t="n"/>
      <c r="L322" s="87" t="n"/>
      <c r="M322" s="105" t="n"/>
      <c r="N322" s="106" t="n"/>
    </row>
    <row r="323">
      <c r="J323" s="87" t="n"/>
      <c r="L323" s="87" t="n"/>
      <c r="M323" s="105" t="n"/>
      <c r="N323" s="106" t="n"/>
    </row>
    <row r="324">
      <c r="J324" s="87" t="n"/>
      <c r="L324" s="87" t="n"/>
      <c r="M324" s="105" t="n"/>
      <c r="N324" s="106" t="n"/>
    </row>
    <row r="325">
      <c r="J325" s="87" t="n"/>
      <c r="L325" s="87" t="n"/>
      <c r="M325" s="105" t="n"/>
      <c r="N325" s="106" t="n"/>
    </row>
    <row r="326">
      <c r="J326" s="87" t="n"/>
      <c r="L326" s="87" t="n"/>
      <c r="M326" s="105" t="n"/>
      <c r="N326" s="106" t="n"/>
    </row>
    <row r="327">
      <c r="J327" s="87" t="n"/>
      <c r="L327" s="87" t="n"/>
      <c r="M327" s="105" t="n"/>
      <c r="N327" s="106" t="n"/>
    </row>
    <row r="328">
      <c r="J328" s="87" t="n"/>
      <c r="L328" s="87" t="n"/>
      <c r="M328" s="105" t="n"/>
      <c r="N328" s="106" t="n"/>
    </row>
    <row r="329">
      <c r="J329" s="87" t="n"/>
      <c r="L329" s="87" t="n"/>
      <c r="M329" s="105" t="n"/>
      <c r="N329" s="106" t="n"/>
    </row>
    <row r="330">
      <c r="J330" s="87" t="n"/>
      <c r="L330" s="87" t="n"/>
      <c r="M330" s="105" t="n"/>
      <c r="N330" s="106" t="n"/>
    </row>
    <row r="331">
      <c r="J331" s="87" t="n"/>
      <c r="L331" s="87" t="n"/>
      <c r="M331" s="105" t="n"/>
      <c r="N331" s="106" t="n"/>
    </row>
    <row r="332">
      <c r="J332" s="87" t="n"/>
      <c r="L332" s="87" t="n"/>
      <c r="M332" s="105" t="n"/>
      <c r="N332" s="106" t="n"/>
    </row>
    <row r="333">
      <c r="J333" s="87" t="n"/>
      <c r="L333" s="87" t="n"/>
      <c r="M333" s="105" t="n"/>
      <c r="N333" s="106" t="n"/>
    </row>
    <row r="334">
      <c r="J334" s="87" t="n"/>
      <c r="L334" s="87" t="n"/>
      <c r="M334" s="105" t="n"/>
      <c r="N334" s="106" t="n"/>
    </row>
    <row r="335">
      <c r="J335" s="87" t="n"/>
      <c r="L335" s="87" t="n"/>
      <c r="M335" s="105" t="n"/>
      <c r="N335" s="106" t="n"/>
    </row>
    <row r="336">
      <c r="J336" s="87" t="n"/>
      <c r="L336" s="87" t="n"/>
      <c r="M336" s="105" t="n"/>
      <c r="N336" s="106" t="n"/>
    </row>
    <row r="337">
      <c r="J337" s="87" t="n"/>
      <c r="L337" s="87" t="n"/>
      <c r="M337" s="105" t="n"/>
      <c r="N337" s="106" t="n"/>
    </row>
    <row r="338">
      <c r="J338" s="87" t="n"/>
      <c r="L338" s="87" t="n"/>
      <c r="M338" s="105" t="n"/>
      <c r="N338" s="106" t="n"/>
    </row>
    <row r="339">
      <c r="J339" s="87" t="n"/>
      <c r="L339" s="87" t="n"/>
      <c r="M339" s="105" t="n"/>
      <c r="N339" s="106" t="n"/>
    </row>
    <row r="340">
      <c r="J340" s="87" t="n"/>
      <c r="L340" s="87" t="n"/>
      <c r="M340" s="105" t="n"/>
      <c r="N340" s="106" t="n"/>
    </row>
    <row r="341">
      <c r="J341" s="87" t="n"/>
      <c r="L341" s="87" t="n"/>
      <c r="M341" s="105" t="n"/>
      <c r="N341" s="106" t="n"/>
    </row>
    <row r="342">
      <c r="J342" s="87" t="n"/>
      <c r="L342" s="87" t="n"/>
      <c r="M342" s="105" t="n"/>
      <c r="N342" s="106" t="n"/>
    </row>
    <row r="343">
      <c r="J343" s="87" t="n"/>
      <c r="L343" s="87" t="n"/>
      <c r="M343" s="105" t="n"/>
      <c r="N343" s="106" t="n"/>
    </row>
    <row r="344">
      <c r="J344" s="87" t="n"/>
      <c r="L344" s="87" t="n"/>
      <c r="M344" s="105" t="n"/>
      <c r="N344" s="106" t="n"/>
    </row>
    <row r="345">
      <c r="J345" s="87" t="n"/>
      <c r="L345" s="87" t="n"/>
      <c r="M345" s="105" t="n"/>
      <c r="N345" s="106" t="n"/>
    </row>
    <row r="346">
      <c r="J346" s="87" t="n"/>
      <c r="L346" s="87" t="n"/>
      <c r="M346" s="105" t="n"/>
      <c r="N346" s="106" t="n"/>
    </row>
    <row r="347">
      <c r="J347" s="87" t="n"/>
      <c r="L347" s="87" t="n"/>
      <c r="M347" s="105" t="n"/>
      <c r="N347" s="106" t="n"/>
    </row>
    <row r="348">
      <c r="J348" s="87" t="n"/>
      <c r="L348" s="87" t="n"/>
      <c r="M348" s="105" t="n"/>
      <c r="N348" s="106" t="n"/>
    </row>
    <row r="349">
      <c r="J349" s="87" t="n"/>
      <c r="L349" s="87" t="n"/>
      <c r="M349" s="105" t="n"/>
      <c r="N349" s="106" t="n"/>
    </row>
    <row r="350">
      <c r="J350" s="87" t="n"/>
      <c r="L350" s="87" t="n"/>
      <c r="M350" s="105" t="n"/>
      <c r="N350" s="106" t="n"/>
    </row>
    <row r="351">
      <c r="J351" s="87" t="n"/>
      <c r="L351" s="87" t="n"/>
      <c r="M351" s="105" t="n"/>
      <c r="N351" s="106" t="n"/>
    </row>
    <row r="352">
      <c r="J352" s="87" t="n"/>
      <c r="L352" s="87" t="n"/>
      <c r="M352" s="105" t="n"/>
      <c r="N352" s="106" t="n"/>
    </row>
    <row r="353">
      <c r="J353" s="87" t="n"/>
      <c r="L353" s="87" t="n"/>
      <c r="M353" s="105" t="n"/>
      <c r="N353" s="106" t="n"/>
    </row>
    <row r="354">
      <c r="J354" s="87" t="n"/>
      <c r="L354" s="87" t="n"/>
      <c r="M354" s="105" t="n"/>
      <c r="N354" s="106" t="n"/>
    </row>
    <row r="355">
      <c r="J355" s="87" t="n"/>
      <c r="L355" s="87" t="n"/>
      <c r="M355" s="105" t="n"/>
      <c r="N355" s="106" t="n"/>
    </row>
    <row r="356">
      <c r="J356" s="87" t="n"/>
      <c r="L356" s="87" t="n"/>
      <c r="M356" s="105" t="n"/>
      <c r="N356" s="106" t="n"/>
    </row>
    <row r="357">
      <c r="J357" s="87" t="n"/>
      <c r="L357" s="87" t="n"/>
      <c r="M357" s="105" t="n"/>
      <c r="N357" s="106" t="n"/>
    </row>
    <row r="358">
      <c r="J358" s="87" t="n"/>
      <c r="L358" s="87" t="n"/>
      <c r="M358" s="105" t="n"/>
      <c r="N358" s="106" t="n"/>
    </row>
    <row r="359">
      <c r="J359" s="87" t="n"/>
      <c r="L359" s="87" t="n"/>
      <c r="M359" s="105" t="n"/>
      <c r="N359" s="106" t="n"/>
    </row>
    <row r="360">
      <c r="J360" s="87" t="n"/>
      <c r="L360" s="87" t="n"/>
      <c r="M360" s="105" t="n"/>
      <c r="N360" s="106" t="n"/>
    </row>
    <row r="361">
      <c r="J361" s="87" t="n"/>
      <c r="L361" s="87" t="n"/>
      <c r="M361" s="105" t="n"/>
      <c r="N361" s="106" t="n"/>
    </row>
    <row r="362">
      <c r="J362" s="87" t="n"/>
      <c r="L362" s="87" t="n"/>
      <c r="M362" s="105" t="n"/>
      <c r="N362" s="106" t="n"/>
    </row>
    <row r="363">
      <c r="J363" s="87" t="n"/>
      <c r="L363" s="87" t="n"/>
      <c r="M363" s="105" t="n"/>
      <c r="N363" s="106" t="n"/>
    </row>
    <row r="364">
      <c r="J364" s="87" t="n"/>
      <c r="L364" s="87" t="n"/>
      <c r="M364" s="105" t="n"/>
      <c r="N364" s="106" t="n"/>
    </row>
    <row r="365">
      <c r="J365" s="87" t="n"/>
      <c r="L365" s="87" t="n"/>
      <c r="M365" s="105" t="n"/>
      <c r="N365" s="106" t="n"/>
    </row>
    <row r="366">
      <c r="J366" s="87" t="n"/>
      <c r="L366" s="87" t="n"/>
      <c r="M366" s="105" t="n"/>
      <c r="N366" s="106" t="n"/>
    </row>
    <row r="367">
      <c r="J367" s="87" t="n"/>
      <c r="L367" s="87" t="n"/>
      <c r="M367" s="105" t="n"/>
      <c r="N367" s="106" t="n"/>
    </row>
    <row r="368">
      <c r="J368" s="87" t="n"/>
      <c r="L368" s="87" t="n"/>
      <c r="M368" s="105" t="n"/>
      <c r="N368" s="106" t="n"/>
    </row>
    <row r="369">
      <c r="J369" s="87" t="n"/>
      <c r="L369" s="87" t="n"/>
      <c r="M369" s="105" t="n"/>
      <c r="N369" s="106" t="n"/>
    </row>
    <row r="370">
      <c r="J370" s="87" t="n"/>
      <c r="L370" s="87" t="n"/>
      <c r="M370" s="105" t="n"/>
      <c r="N370" s="106" t="n"/>
    </row>
    <row r="371">
      <c r="J371" s="87" t="n"/>
      <c r="L371" s="87" t="n"/>
      <c r="M371" s="105" t="n"/>
      <c r="N371" s="106" t="n"/>
    </row>
    <row r="372">
      <c r="J372" s="87" t="n"/>
      <c r="L372" s="87" t="n"/>
      <c r="M372" s="105" t="n"/>
      <c r="N372" s="106" t="n"/>
    </row>
    <row r="373">
      <c r="J373" s="87" t="n"/>
      <c r="L373" s="87" t="n"/>
      <c r="M373" s="105" t="n"/>
      <c r="N373" s="106" t="n"/>
    </row>
    <row r="374">
      <c r="J374" s="87" t="n"/>
      <c r="L374" s="87" t="n"/>
      <c r="M374" s="105" t="n"/>
      <c r="N374" s="106" t="n"/>
    </row>
    <row r="375">
      <c r="J375" s="87" t="n"/>
      <c r="L375" s="87" t="n"/>
      <c r="M375" s="105" t="n"/>
      <c r="N375" s="106" t="n"/>
    </row>
    <row r="376">
      <c r="J376" s="87" t="n"/>
      <c r="L376" s="87" t="n"/>
      <c r="M376" s="105" t="n"/>
      <c r="N376" s="106" t="n"/>
    </row>
    <row r="377">
      <c r="J377" s="87" t="n"/>
      <c r="L377" s="87" t="n"/>
      <c r="M377" s="105" t="n"/>
      <c r="N377" s="106" t="n"/>
    </row>
    <row r="378">
      <c r="J378" s="87" t="n"/>
      <c r="L378" s="87" t="n"/>
      <c r="M378" s="105" t="n"/>
      <c r="N378" s="106" t="n"/>
    </row>
    <row r="379">
      <c r="J379" s="87" t="n"/>
      <c r="L379" s="87" t="n"/>
      <c r="M379" s="105" t="n"/>
      <c r="N379" s="106" t="n"/>
    </row>
    <row r="380">
      <c r="J380" s="87" t="n"/>
      <c r="L380" s="87" t="n"/>
      <c r="M380" s="105" t="n"/>
      <c r="N380" s="106" t="n"/>
    </row>
    <row r="381">
      <c r="J381" s="87" t="n"/>
      <c r="L381" s="87" t="n"/>
      <c r="M381" s="105" t="n"/>
      <c r="N381" s="106" t="n"/>
    </row>
    <row r="382">
      <c r="J382" s="87" t="n"/>
      <c r="L382" s="87" t="n"/>
      <c r="M382" s="105" t="n"/>
      <c r="N382" s="106" t="n"/>
    </row>
    <row r="383">
      <c r="J383" s="87" t="n"/>
      <c r="L383" s="87" t="n"/>
      <c r="M383" s="105" t="n"/>
      <c r="N383" s="106" t="n"/>
    </row>
    <row r="384">
      <c r="J384" s="87" t="n"/>
      <c r="L384" s="87" t="n"/>
      <c r="M384" s="105" t="n"/>
      <c r="N384" s="106" t="n"/>
    </row>
    <row r="385">
      <c r="J385" s="87" t="n"/>
      <c r="L385" s="87" t="n"/>
      <c r="M385" s="105" t="n"/>
      <c r="N385" s="106" t="n"/>
    </row>
    <row r="386">
      <c r="J386" s="87" t="n"/>
      <c r="L386" s="87" t="n"/>
      <c r="M386" s="105" t="n"/>
      <c r="N386" s="106" t="n"/>
    </row>
    <row r="387">
      <c r="J387" s="87" t="n"/>
      <c r="L387" s="87" t="n"/>
      <c r="M387" s="105" t="n"/>
      <c r="N387" s="106" t="n"/>
    </row>
    <row r="388">
      <c r="J388" s="87" t="n"/>
      <c r="L388" s="87" t="n"/>
      <c r="M388" s="105" t="n"/>
      <c r="N388" s="106" t="n"/>
    </row>
    <row r="389">
      <c r="J389" s="87" t="n"/>
      <c r="L389" s="87" t="n"/>
      <c r="M389" s="105" t="n"/>
      <c r="N389" s="106" t="n"/>
    </row>
    <row r="390">
      <c r="J390" s="87" t="n"/>
      <c r="L390" s="87" t="n"/>
      <c r="M390" s="105" t="n"/>
      <c r="N390" s="106" t="n"/>
    </row>
    <row r="391">
      <c r="J391" s="87" t="n"/>
      <c r="L391" s="87" t="n"/>
      <c r="M391" s="105" t="n"/>
      <c r="N391" s="106" t="n"/>
    </row>
    <row r="392">
      <c r="J392" s="87" t="n"/>
      <c r="L392" s="87" t="n"/>
      <c r="M392" s="105" t="n"/>
      <c r="N392" s="106" t="n"/>
    </row>
    <row r="393">
      <c r="J393" s="87" t="n"/>
      <c r="L393" s="87" t="n"/>
      <c r="M393" s="105" t="n"/>
      <c r="N393" s="106" t="n"/>
    </row>
    <row r="394">
      <c r="J394" s="87" t="n"/>
      <c r="L394" s="87" t="n"/>
      <c r="M394" s="105" t="n"/>
      <c r="N394" s="106" t="n"/>
    </row>
    <row r="395">
      <c r="J395" s="87" t="n"/>
      <c r="L395" s="87" t="n"/>
      <c r="M395" s="105" t="n"/>
      <c r="N395" s="106" t="n"/>
    </row>
    <row r="396">
      <c r="J396" s="87" t="n"/>
      <c r="L396" s="87" t="n"/>
      <c r="M396" s="105" t="n"/>
      <c r="N396" s="106" t="n"/>
    </row>
    <row r="397">
      <c r="J397" s="87" t="n"/>
      <c r="L397" s="87" t="n"/>
      <c r="M397" s="105" t="n"/>
      <c r="N397" s="106" t="n"/>
    </row>
    <row r="398">
      <c r="J398" s="87" t="n"/>
      <c r="L398" s="87" t="n"/>
      <c r="M398" s="105" t="n"/>
      <c r="N398" s="106" t="n"/>
    </row>
    <row r="399">
      <c r="J399" s="87" t="n"/>
      <c r="L399" s="87" t="n"/>
      <c r="M399" s="105" t="n"/>
      <c r="N399" s="106" t="n"/>
    </row>
    <row r="400">
      <c r="J400" s="87" t="n"/>
      <c r="L400" s="87" t="n"/>
      <c r="M400" s="105" t="n"/>
      <c r="N400" s="106" t="n"/>
    </row>
    <row r="401">
      <c r="J401" s="87" t="n"/>
      <c r="L401" s="87" t="n"/>
      <c r="M401" s="105" t="n"/>
      <c r="N401" s="106" t="n"/>
    </row>
    <row r="402">
      <c r="J402" s="87" t="n"/>
      <c r="L402" s="87" t="n"/>
      <c r="M402" s="105" t="n"/>
      <c r="N402" s="106" t="n"/>
    </row>
    <row r="403">
      <c r="J403" s="87" t="n"/>
      <c r="L403" s="87" t="n"/>
      <c r="M403" s="105" t="n"/>
      <c r="N403" s="106" t="n"/>
    </row>
    <row r="404">
      <c r="J404" s="87" t="n"/>
      <c r="L404" s="87" t="n"/>
      <c r="M404" s="105" t="n"/>
      <c r="N404" s="106" t="n"/>
    </row>
    <row r="405">
      <c r="J405" s="87" t="n"/>
      <c r="L405" s="87" t="n"/>
      <c r="M405" s="105" t="n"/>
      <c r="N405" s="106" t="n"/>
    </row>
    <row r="406">
      <c r="J406" s="87" t="n"/>
      <c r="L406" s="87" t="n"/>
      <c r="M406" s="105" t="n"/>
      <c r="N406" s="106" t="n"/>
    </row>
    <row r="407">
      <c r="J407" s="87" t="n"/>
      <c r="L407" s="87" t="n"/>
      <c r="M407" s="105" t="n"/>
      <c r="N407" s="106" t="n"/>
    </row>
    <row r="408">
      <c r="J408" s="87" t="n"/>
      <c r="L408" s="87" t="n"/>
      <c r="M408" s="105" t="n"/>
      <c r="N408" s="106" t="n"/>
    </row>
    <row r="409">
      <c r="J409" s="87" t="n"/>
      <c r="L409" s="87" t="n"/>
      <c r="M409" s="105" t="n"/>
      <c r="N409" s="106" t="n"/>
    </row>
    <row r="410">
      <c r="J410" s="87" t="n"/>
      <c r="L410" s="87" t="n"/>
      <c r="M410" s="105" t="n"/>
      <c r="N410" s="106" t="n"/>
    </row>
    <row r="411">
      <c r="J411" s="87" t="n"/>
      <c r="L411" s="87" t="n"/>
      <c r="M411" s="105" t="n"/>
      <c r="N411" s="106" t="n"/>
    </row>
    <row r="412">
      <c r="J412" s="87" t="n"/>
      <c r="L412" s="87" t="n"/>
      <c r="M412" s="105" t="n"/>
      <c r="N412" s="106" t="n"/>
    </row>
    <row r="413">
      <c r="J413" s="87" t="n"/>
      <c r="L413" s="87" t="n"/>
      <c r="M413" s="105" t="n"/>
      <c r="N413" s="106" t="n"/>
    </row>
    <row r="414">
      <c r="J414" s="87" t="n"/>
      <c r="L414" s="87" t="n"/>
      <c r="M414" s="105" t="n"/>
      <c r="N414" s="106" t="n"/>
    </row>
    <row r="415">
      <c r="J415" s="87" t="n"/>
      <c r="L415" s="87" t="n"/>
      <c r="M415" s="105" t="n"/>
      <c r="N415" s="106" t="n"/>
    </row>
    <row r="416">
      <c r="J416" s="87" t="n"/>
      <c r="L416" s="87" t="n"/>
      <c r="M416" s="105" t="n"/>
      <c r="N416" s="106" t="n"/>
    </row>
    <row r="417">
      <c r="J417" s="87" t="n"/>
      <c r="L417" s="87" t="n"/>
      <c r="M417" s="105" t="n"/>
      <c r="N417" s="106" t="n"/>
    </row>
    <row r="418">
      <c r="J418" s="87" t="n"/>
      <c r="L418" s="87" t="n"/>
      <c r="M418" s="105" t="n"/>
      <c r="N418" s="106" t="n"/>
    </row>
    <row r="419">
      <c r="J419" s="87" t="n"/>
      <c r="L419" s="87" t="n"/>
      <c r="M419" s="105" t="n"/>
      <c r="N419" s="106" t="n"/>
    </row>
    <row r="420">
      <c r="J420" s="87" t="n"/>
      <c r="L420" s="87" t="n"/>
      <c r="M420" s="105" t="n"/>
      <c r="N420" s="106" t="n"/>
    </row>
    <row r="421">
      <c r="J421" s="87" t="n"/>
      <c r="L421" s="87" t="n"/>
      <c r="M421" s="105" t="n"/>
      <c r="N421" s="106" t="n"/>
    </row>
    <row r="422">
      <c r="J422" s="87" t="n"/>
      <c r="L422" s="87" t="n"/>
      <c r="M422" s="105" t="n"/>
      <c r="N422" s="106" t="n"/>
    </row>
    <row r="423">
      <c r="J423" s="87" t="n"/>
      <c r="L423" s="87" t="n"/>
      <c r="M423" s="105" t="n"/>
      <c r="N423" s="106" t="n"/>
    </row>
    <row r="424">
      <c r="J424" s="87" t="n"/>
      <c r="L424" s="87" t="n"/>
      <c r="M424" s="105" t="n"/>
      <c r="N424" s="106" t="n"/>
    </row>
    <row r="425">
      <c r="J425" s="87" t="n"/>
      <c r="L425" s="87" t="n"/>
      <c r="M425" s="105" t="n"/>
      <c r="N425" s="106" t="n"/>
    </row>
    <row r="426">
      <c r="J426" s="87" t="n"/>
      <c r="L426" s="87" t="n"/>
      <c r="M426" s="105" t="n"/>
      <c r="N426" s="106" t="n"/>
    </row>
    <row r="427">
      <c r="J427" s="87" t="n"/>
      <c r="L427" s="87" t="n"/>
      <c r="M427" s="105" t="n"/>
      <c r="N427" s="106" t="n"/>
    </row>
    <row r="428">
      <c r="J428" s="87" t="n"/>
      <c r="L428" s="87" t="n"/>
      <c r="M428" s="105" t="n"/>
      <c r="N428" s="106" t="n"/>
    </row>
    <row r="429">
      <c r="J429" s="87" t="n"/>
      <c r="L429" s="87" t="n"/>
      <c r="M429" s="105" t="n"/>
      <c r="N429" s="106" t="n"/>
    </row>
    <row r="430">
      <c r="J430" s="87" t="n"/>
      <c r="L430" s="87" t="n"/>
      <c r="M430" s="105" t="n"/>
      <c r="N430" s="106" t="n"/>
    </row>
    <row r="431">
      <c r="J431" s="87" t="n"/>
      <c r="L431" s="87" t="n"/>
      <c r="M431" s="105" t="n"/>
      <c r="N431" s="106" t="n"/>
    </row>
    <row r="432">
      <c r="J432" s="87" t="n"/>
      <c r="L432" s="87" t="n"/>
      <c r="M432" s="105" t="n"/>
      <c r="N432" s="106" t="n"/>
    </row>
    <row r="433">
      <c r="J433" s="87" t="n"/>
      <c r="L433" s="87" t="n"/>
      <c r="M433" s="105" t="n"/>
      <c r="N433" s="106" t="n"/>
    </row>
    <row r="434">
      <c r="J434" s="87" t="n"/>
      <c r="L434" s="87" t="n"/>
      <c r="M434" s="105" t="n"/>
      <c r="N434" s="106" t="n"/>
    </row>
    <row r="435">
      <c r="J435" s="87" t="n"/>
      <c r="L435" s="87" t="n"/>
      <c r="M435" s="105" t="n"/>
      <c r="N435" s="106" t="n"/>
    </row>
    <row r="436">
      <c r="J436" s="87" t="n"/>
      <c r="L436" s="87" t="n"/>
      <c r="M436" s="105" t="n"/>
      <c r="N436" s="106" t="n"/>
    </row>
    <row r="437">
      <c r="J437" s="87" t="n"/>
      <c r="L437" s="87" t="n"/>
      <c r="M437" s="105" t="n"/>
      <c r="N437" s="106" t="n"/>
    </row>
    <row r="438">
      <c r="J438" s="87" t="n"/>
      <c r="L438" s="87" t="n"/>
      <c r="M438" s="105" t="n"/>
      <c r="N438" s="106" t="n"/>
    </row>
    <row r="439">
      <c r="J439" s="87" t="n"/>
      <c r="L439" s="87" t="n"/>
      <c r="M439" s="105" t="n"/>
      <c r="N439" s="106" t="n"/>
    </row>
    <row r="440">
      <c r="J440" s="87" t="n"/>
      <c r="L440" s="87" t="n"/>
      <c r="M440" s="105" t="n"/>
      <c r="N440" s="106" t="n"/>
    </row>
    <row r="441">
      <c r="J441" s="87" t="n"/>
      <c r="L441" s="87" t="n"/>
      <c r="M441" s="105" t="n"/>
      <c r="N441" s="106" t="n"/>
    </row>
    <row r="442">
      <c r="J442" s="87" t="n"/>
      <c r="L442" s="87" t="n"/>
      <c r="M442" s="105" t="n"/>
      <c r="N442" s="106" t="n"/>
    </row>
    <row r="443">
      <c r="J443" s="87" t="n"/>
      <c r="L443" s="87" t="n"/>
      <c r="M443" s="105" t="n"/>
      <c r="N443" s="106" t="n"/>
    </row>
    <row r="444">
      <c r="J444" s="87" t="n"/>
      <c r="L444" s="87" t="n"/>
      <c r="M444" s="105" t="n"/>
      <c r="N444" s="106" t="n"/>
    </row>
    <row r="445">
      <c r="J445" s="87" t="n"/>
      <c r="L445" s="87" t="n"/>
      <c r="M445" s="105" t="n"/>
      <c r="N445" s="106" t="n"/>
    </row>
    <row r="446">
      <c r="J446" s="87" t="n"/>
      <c r="L446" s="87" t="n"/>
      <c r="M446" s="105" t="n"/>
      <c r="N446" s="106" t="n"/>
    </row>
    <row r="447">
      <c r="J447" s="87" t="n"/>
      <c r="L447" s="87" t="n"/>
      <c r="M447" s="105" t="n"/>
      <c r="N447" s="106" t="n"/>
    </row>
    <row r="448">
      <c r="J448" s="87" t="n"/>
      <c r="L448" s="87" t="n"/>
      <c r="M448" s="105" t="n"/>
      <c r="N448" s="106" t="n"/>
    </row>
    <row r="449">
      <c r="J449" s="87" t="n"/>
      <c r="L449" s="87" t="n"/>
      <c r="M449" s="105" t="n"/>
      <c r="N449" s="106" t="n"/>
    </row>
    <row r="450">
      <c r="J450" s="87" t="n"/>
      <c r="L450" s="87" t="n"/>
      <c r="M450" s="105" t="n"/>
      <c r="N450" s="106" t="n"/>
    </row>
    <row r="451">
      <c r="J451" s="87" t="n"/>
      <c r="L451" s="87" t="n"/>
      <c r="M451" s="105" t="n"/>
      <c r="N451" s="106" t="n"/>
    </row>
    <row r="452">
      <c r="J452" s="87" t="n"/>
      <c r="L452" s="87" t="n"/>
      <c r="M452" s="105" t="n"/>
      <c r="N452" s="106" t="n"/>
    </row>
    <row r="453">
      <c r="J453" s="87" t="n"/>
      <c r="L453" s="87" t="n"/>
      <c r="M453" s="105" t="n"/>
      <c r="N453" s="106" t="n"/>
    </row>
    <row r="454">
      <c r="J454" s="87" t="n"/>
      <c r="L454" s="87" t="n"/>
      <c r="M454" s="105" t="n"/>
      <c r="N454" s="106" t="n"/>
    </row>
    <row r="455">
      <c r="J455" s="87" t="n"/>
      <c r="L455" s="87" t="n"/>
      <c r="M455" s="105" t="n"/>
      <c r="N455" s="106" t="n"/>
    </row>
    <row r="456">
      <c r="J456" s="87" t="n"/>
      <c r="L456" s="87" t="n"/>
      <c r="M456" s="105" t="n"/>
      <c r="N456" s="106" t="n"/>
    </row>
    <row r="457">
      <c r="J457" s="87" t="n"/>
      <c r="L457" s="87" t="n"/>
      <c r="M457" s="105" t="n"/>
      <c r="N457" s="106" t="n"/>
    </row>
    <row r="458">
      <c r="J458" s="87" t="n"/>
      <c r="L458" s="87" t="n"/>
      <c r="M458" s="105" t="n"/>
      <c r="N458" s="106" t="n"/>
    </row>
    <row r="459">
      <c r="J459" s="87" t="n"/>
      <c r="L459" s="87" t="n"/>
      <c r="M459" s="105" t="n"/>
      <c r="N459" s="106" t="n"/>
    </row>
    <row r="460">
      <c r="J460" s="87" t="n"/>
      <c r="L460" s="87" t="n"/>
      <c r="M460" s="105" t="n"/>
      <c r="N460" s="106" t="n"/>
    </row>
    <row r="461">
      <c r="J461" s="87" t="n"/>
      <c r="L461" s="87" t="n"/>
      <c r="M461" s="105" t="n"/>
      <c r="N461" s="106" t="n"/>
    </row>
    <row r="462">
      <c r="J462" s="87" t="n"/>
      <c r="L462" s="87" t="n"/>
      <c r="M462" s="105" t="n"/>
      <c r="N462" s="106" t="n"/>
    </row>
    <row r="463">
      <c r="J463" s="87" t="n"/>
      <c r="L463" s="87" t="n"/>
      <c r="M463" s="105" t="n"/>
      <c r="N463" s="106" t="n"/>
    </row>
    <row r="464">
      <c r="J464" s="87" t="n"/>
      <c r="L464" s="87" t="n"/>
      <c r="M464" s="105" t="n"/>
      <c r="N464" s="106" t="n"/>
    </row>
    <row r="465">
      <c r="J465" s="87" t="n"/>
      <c r="L465" s="87" t="n"/>
      <c r="M465" s="105" t="n"/>
      <c r="N465" s="106" t="n"/>
    </row>
    <row r="466">
      <c r="J466" s="87" t="n"/>
      <c r="L466" s="87" t="n"/>
      <c r="M466" s="105" t="n"/>
      <c r="N466" s="106" t="n"/>
    </row>
    <row r="467">
      <c r="J467" s="87" t="n"/>
      <c r="L467" s="87" t="n"/>
      <c r="M467" s="105" t="n"/>
      <c r="N467" s="106" t="n"/>
    </row>
    <row r="468">
      <c r="J468" s="87" t="n"/>
      <c r="L468" s="87" t="n"/>
      <c r="M468" s="105" t="n"/>
      <c r="N468" s="106" t="n"/>
    </row>
    <row r="469">
      <c r="J469" s="87" t="n"/>
      <c r="L469" s="87" t="n"/>
      <c r="M469" s="105" t="n"/>
      <c r="N469" s="106" t="n"/>
    </row>
    <row r="470">
      <c r="J470" s="87" t="n"/>
      <c r="L470" s="87" t="n"/>
      <c r="M470" s="105" t="n"/>
      <c r="N470" s="106" t="n"/>
    </row>
    <row r="471">
      <c r="J471" s="87" t="n"/>
      <c r="L471" s="87" t="n"/>
      <c r="M471" s="105" t="n"/>
      <c r="N471" s="106" t="n"/>
    </row>
    <row r="472">
      <c r="J472" s="87" t="n"/>
      <c r="L472" s="87" t="n"/>
      <c r="M472" s="105" t="n"/>
      <c r="N472" s="106" t="n"/>
    </row>
    <row r="473">
      <c r="J473" s="87" t="n"/>
      <c r="L473" s="87" t="n"/>
      <c r="M473" s="105" t="n"/>
      <c r="N473" s="106" t="n"/>
    </row>
    <row r="474">
      <c r="J474" s="87" t="n"/>
      <c r="L474" s="87" t="n"/>
      <c r="M474" s="105" t="n"/>
      <c r="N474" s="106" t="n"/>
    </row>
    <row r="475">
      <c r="J475" s="87" t="n"/>
      <c r="L475" s="87" t="n"/>
      <c r="M475" s="105" t="n"/>
      <c r="N475" s="106" t="n"/>
    </row>
    <row r="476">
      <c r="J476" s="87" t="n"/>
      <c r="L476" s="87" t="n"/>
      <c r="M476" s="105" t="n"/>
      <c r="N476" s="106" t="n"/>
    </row>
    <row r="477">
      <c r="J477" s="87" t="n"/>
      <c r="L477" s="87" t="n"/>
      <c r="M477" s="105" t="n"/>
      <c r="N477" s="106" t="n"/>
    </row>
    <row r="478">
      <c r="J478" s="87" t="n"/>
      <c r="L478" s="87" t="n"/>
      <c r="M478" s="105" t="n"/>
      <c r="N478" s="106" t="n"/>
    </row>
    <row r="479">
      <c r="J479" s="87" t="n"/>
      <c r="L479" s="87" t="n"/>
      <c r="M479" s="105" t="n"/>
      <c r="N479" s="106" t="n"/>
    </row>
    <row r="480">
      <c r="J480" s="87" t="n"/>
      <c r="L480" s="87" t="n"/>
      <c r="M480" s="105" t="n"/>
      <c r="N480" s="106" t="n"/>
    </row>
    <row r="481">
      <c r="J481" s="87" t="n"/>
      <c r="L481" s="87" t="n"/>
      <c r="M481" s="105" t="n"/>
      <c r="N481" s="106" t="n"/>
    </row>
    <row r="482">
      <c r="J482" s="87" t="n"/>
      <c r="L482" s="87" t="n"/>
      <c r="M482" s="105" t="n"/>
      <c r="N482" s="106" t="n"/>
    </row>
    <row r="483">
      <c r="J483" s="87" t="n"/>
      <c r="L483" s="87" t="n"/>
      <c r="M483" s="105" t="n"/>
      <c r="N483" s="106" t="n"/>
    </row>
    <row r="484">
      <c r="J484" s="87" t="n"/>
      <c r="L484" s="87" t="n"/>
      <c r="M484" s="105" t="n"/>
      <c r="N484" s="106" t="n"/>
    </row>
    <row r="485">
      <c r="J485" s="87" t="n"/>
      <c r="L485" s="87" t="n"/>
      <c r="M485" s="105" t="n"/>
      <c r="N485" s="106" t="n"/>
    </row>
    <row r="486">
      <c r="J486" s="87" t="n"/>
      <c r="L486" s="87" t="n"/>
      <c r="M486" s="105" t="n"/>
      <c r="N486" s="106" t="n"/>
    </row>
    <row r="487">
      <c r="J487" s="87" t="n"/>
      <c r="L487" s="87" t="n"/>
      <c r="M487" s="105" t="n"/>
      <c r="N487" s="106" t="n"/>
    </row>
    <row r="488">
      <c r="J488" s="87" t="n"/>
      <c r="L488" s="87" t="n"/>
      <c r="M488" s="105" t="n"/>
      <c r="N488" s="106" t="n"/>
    </row>
    <row r="489">
      <c r="J489" s="87" t="n"/>
      <c r="L489" s="87" t="n"/>
      <c r="M489" s="105" t="n"/>
      <c r="N489" s="106" t="n"/>
    </row>
    <row r="490">
      <c r="J490" s="87" t="n"/>
      <c r="L490" s="87" t="n"/>
      <c r="M490" s="105" t="n"/>
      <c r="N490" s="106" t="n"/>
    </row>
    <row r="491">
      <c r="J491" s="87" t="n"/>
      <c r="L491" s="87" t="n"/>
      <c r="M491" s="105" t="n"/>
      <c r="N491" s="106" t="n"/>
    </row>
    <row r="492">
      <c r="J492" s="87" t="n"/>
      <c r="L492" s="87" t="n"/>
      <c r="M492" s="105" t="n"/>
      <c r="N492" s="106" t="n"/>
    </row>
    <row r="493">
      <c r="J493" s="87" t="n"/>
      <c r="L493" s="87" t="n"/>
      <c r="M493" s="105" t="n"/>
      <c r="N493" s="106" t="n"/>
    </row>
    <row r="494">
      <c r="J494" s="87" t="n"/>
      <c r="L494" s="87" t="n"/>
      <c r="M494" s="105" t="n"/>
      <c r="N494" s="106" t="n"/>
    </row>
    <row r="495">
      <c r="J495" s="87" t="n"/>
      <c r="L495" s="87" t="n"/>
      <c r="M495" s="105" t="n"/>
      <c r="N495" s="106" t="n"/>
    </row>
    <row r="496">
      <c r="J496" s="87" t="n"/>
      <c r="L496" s="87" t="n"/>
      <c r="M496" s="105" t="n"/>
      <c r="N496" s="106" t="n"/>
    </row>
    <row r="497">
      <c r="J497" s="87" t="n"/>
      <c r="L497" s="87" t="n"/>
      <c r="M497" s="105" t="n"/>
      <c r="N497" s="106" t="n"/>
    </row>
    <row r="498">
      <c r="J498" s="87" t="n"/>
      <c r="L498" s="87" t="n"/>
      <c r="M498" s="105" t="n"/>
      <c r="N498" s="106" t="n"/>
    </row>
    <row r="499">
      <c r="J499" s="87" t="n"/>
      <c r="L499" s="87" t="n"/>
      <c r="M499" s="105" t="n"/>
      <c r="N499" s="106" t="n"/>
    </row>
    <row r="500">
      <c r="J500" s="87" t="n"/>
      <c r="L500" s="87" t="n"/>
      <c r="M500" s="105" t="n"/>
      <c r="N500" s="106" t="n"/>
    </row>
    <row r="501">
      <c r="J501" s="87" t="n"/>
      <c r="L501" s="87" t="n"/>
      <c r="M501" s="105" t="n"/>
      <c r="N501" s="106" t="n"/>
    </row>
    <row r="502">
      <c r="J502" s="87" t="n"/>
      <c r="L502" s="87" t="n"/>
      <c r="M502" s="105" t="n"/>
      <c r="N502" s="106" t="n"/>
    </row>
    <row r="503">
      <c r="J503" s="87" t="n"/>
      <c r="L503" s="87" t="n"/>
      <c r="M503" s="105" t="n"/>
      <c r="N503" s="106" t="n"/>
    </row>
    <row r="504">
      <c r="J504" s="87" t="n"/>
      <c r="L504" s="87" t="n"/>
      <c r="M504" s="105" t="n"/>
      <c r="N504" s="106" t="n"/>
    </row>
    <row r="505">
      <c r="J505" s="87" t="n"/>
      <c r="L505" s="87" t="n"/>
      <c r="M505" s="105" t="n"/>
      <c r="N505" s="106" t="n"/>
    </row>
    <row r="506">
      <c r="J506" s="87" t="n"/>
      <c r="L506" s="87" t="n"/>
      <c r="M506" s="105" t="n"/>
      <c r="N506" s="106" t="n"/>
    </row>
    <row r="507">
      <c r="J507" s="87" t="n"/>
      <c r="L507" s="87" t="n"/>
      <c r="M507" s="105" t="n"/>
      <c r="N507" s="106" t="n"/>
    </row>
    <row r="508">
      <c r="J508" s="87" t="n"/>
      <c r="L508" s="87" t="n"/>
      <c r="M508" s="105" t="n"/>
      <c r="N508" s="106" t="n"/>
    </row>
    <row r="509">
      <c r="J509" s="87" t="n"/>
      <c r="L509" s="87" t="n"/>
      <c r="M509" s="105" t="n"/>
      <c r="N509" s="106" t="n"/>
    </row>
    <row r="510">
      <c r="J510" s="87" t="n"/>
      <c r="L510" s="87" t="n"/>
      <c r="M510" s="105" t="n"/>
      <c r="N510" s="106" t="n"/>
    </row>
    <row r="511">
      <c r="J511" s="87" t="n"/>
      <c r="L511" s="87" t="n"/>
      <c r="M511" s="105" t="n"/>
      <c r="N511" s="106" t="n"/>
    </row>
    <row r="512">
      <c r="J512" s="87" t="n"/>
      <c r="L512" s="87" t="n"/>
      <c r="M512" s="105" t="n"/>
      <c r="N512" s="106" t="n"/>
    </row>
    <row r="513">
      <c r="J513" s="87" t="n"/>
      <c r="L513" s="87" t="n"/>
      <c r="M513" s="105" t="n"/>
      <c r="N513" s="106" t="n"/>
    </row>
    <row r="514">
      <c r="J514" s="87" t="n"/>
      <c r="L514" s="87" t="n"/>
      <c r="M514" s="105" t="n"/>
      <c r="N514" s="106" t="n"/>
    </row>
    <row r="515">
      <c r="J515" s="87" t="n"/>
      <c r="L515" s="87" t="n"/>
      <c r="M515" s="105" t="n"/>
      <c r="N515" s="106" t="n"/>
    </row>
    <row r="516">
      <c r="J516" s="87" t="n"/>
      <c r="L516" s="87" t="n"/>
      <c r="M516" s="105" t="n"/>
      <c r="N516" s="106" t="n"/>
    </row>
    <row r="517">
      <c r="J517" s="87" t="n"/>
      <c r="L517" s="87" t="n"/>
      <c r="M517" s="105" t="n"/>
      <c r="N517" s="106" t="n"/>
    </row>
    <row r="518">
      <c r="J518" s="87" t="n"/>
      <c r="L518" s="87" t="n"/>
      <c r="M518" s="105" t="n"/>
      <c r="N518" s="106" t="n"/>
    </row>
    <row r="519">
      <c r="J519" s="87" t="n"/>
      <c r="L519" s="87" t="n"/>
      <c r="M519" s="105" t="n"/>
      <c r="N519" s="106" t="n"/>
    </row>
    <row r="520">
      <c r="J520" s="87" t="n"/>
      <c r="L520" s="87" t="n"/>
      <c r="M520" s="105" t="n"/>
      <c r="N520" s="106" t="n"/>
    </row>
    <row r="521">
      <c r="J521" s="87" t="n"/>
      <c r="L521" s="87" t="n"/>
      <c r="M521" s="105" t="n"/>
      <c r="N521" s="106" t="n"/>
    </row>
    <row r="522">
      <c r="J522" s="87" t="n"/>
      <c r="L522" s="87" t="n"/>
      <c r="M522" s="105" t="n"/>
      <c r="N522" s="106" t="n"/>
    </row>
    <row r="523">
      <c r="J523" s="87" t="n"/>
      <c r="L523" s="87" t="n"/>
      <c r="M523" s="105" t="n"/>
      <c r="N523" s="106" t="n"/>
    </row>
    <row r="524">
      <c r="J524" s="87" t="n"/>
      <c r="L524" s="87" t="n"/>
      <c r="M524" s="105" t="n"/>
      <c r="N524" s="106" t="n"/>
    </row>
    <row r="525">
      <c r="J525" s="87" t="n"/>
      <c r="L525" s="87" t="n"/>
      <c r="M525" s="105" t="n"/>
      <c r="N525" s="106" t="n"/>
    </row>
    <row r="526">
      <c r="J526" s="87" t="n"/>
      <c r="L526" s="87" t="n"/>
      <c r="M526" s="105" t="n"/>
      <c r="N526" s="106" t="n"/>
    </row>
    <row r="527">
      <c r="J527" s="87" t="n"/>
      <c r="L527" s="87" t="n"/>
      <c r="M527" s="105" t="n"/>
      <c r="N527" s="106" t="n"/>
    </row>
    <row r="528">
      <c r="J528" s="87" t="n"/>
      <c r="L528" s="87" t="n"/>
      <c r="M528" s="105" t="n"/>
      <c r="N528" s="106" t="n"/>
    </row>
    <row r="529">
      <c r="J529" s="87" t="n"/>
      <c r="L529" s="87" t="n"/>
      <c r="M529" s="105" t="n"/>
      <c r="N529" s="106" t="n"/>
    </row>
    <row r="530">
      <c r="J530" s="87" t="n"/>
      <c r="L530" s="87" t="n"/>
      <c r="M530" s="105" t="n"/>
      <c r="N530" s="106" t="n"/>
    </row>
    <row r="531">
      <c r="J531" s="87" t="n"/>
      <c r="L531" s="87" t="n"/>
      <c r="M531" s="105" t="n"/>
      <c r="N531" s="106" t="n"/>
    </row>
    <row r="532">
      <c r="J532" s="87" t="n"/>
      <c r="L532" s="87" t="n"/>
      <c r="M532" s="105" t="n"/>
      <c r="N532" s="106" t="n"/>
    </row>
    <row r="533">
      <c r="J533" s="87" t="n"/>
      <c r="L533" s="87" t="n"/>
      <c r="M533" s="105" t="n"/>
      <c r="N533" s="106" t="n"/>
    </row>
    <row r="534">
      <c r="J534" s="87" t="n"/>
      <c r="L534" s="87" t="n"/>
      <c r="M534" s="105" t="n"/>
      <c r="N534" s="106" t="n"/>
    </row>
    <row r="535">
      <c r="J535" s="87" t="n"/>
      <c r="L535" s="87" t="n"/>
      <c r="M535" s="105" t="n"/>
      <c r="N535" s="106" t="n"/>
    </row>
    <row r="536">
      <c r="J536" s="87" t="n"/>
      <c r="L536" s="87" t="n"/>
      <c r="M536" s="105" t="n"/>
      <c r="N536" s="106" t="n"/>
    </row>
    <row r="537">
      <c r="J537" s="87" t="n"/>
      <c r="L537" s="87" t="n"/>
      <c r="M537" s="105" t="n"/>
      <c r="N537" s="106" t="n"/>
    </row>
    <row r="538">
      <c r="J538" s="87" t="n"/>
      <c r="L538" s="87" t="n"/>
      <c r="M538" s="105" t="n"/>
      <c r="N538" s="106" t="n"/>
    </row>
    <row r="539">
      <c r="J539" s="87" t="n"/>
      <c r="L539" s="87" t="n"/>
      <c r="M539" s="105" t="n"/>
      <c r="N539" s="106" t="n"/>
    </row>
    <row r="540">
      <c r="J540" s="87" t="n"/>
      <c r="L540" s="87" t="n"/>
      <c r="M540" s="105" t="n"/>
      <c r="N540" s="106" t="n"/>
    </row>
    <row r="541">
      <c r="J541" s="87" t="n"/>
      <c r="L541" s="87" t="n"/>
      <c r="M541" s="105" t="n"/>
      <c r="N541" s="106" t="n"/>
    </row>
    <row r="542">
      <c r="J542" s="87" t="n"/>
      <c r="L542" s="87" t="n"/>
      <c r="M542" s="105" t="n"/>
      <c r="N542" s="106" t="n"/>
    </row>
    <row r="543">
      <c r="J543" s="87" t="n"/>
      <c r="L543" s="87" t="n"/>
      <c r="M543" s="105" t="n"/>
      <c r="N543" s="106" t="n"/>
    </row>
    <row r="544">
      <c r="J544" s="87" t="n"/>
      <c r="L544" s="87" t="n"/>
      <c r="M544" s="105" t="n"/>
      <c r="N544" s="106" t="n"/>
    </row>
    <row r="545">
      <c r="J545" s="87" t="n"/>
      <c r="L545" s="87" t="n"/>
      <c r="M545" s="105" t="n"/>
      <c r="N545" s="106" t="n"/>
    </row>
    <row r="546">
      <c r="J546" s="87" t="n"/>
      <c r="L546" s="87" t="n"/>
      <c r="M546" s="105" t="n"/>
      <c r="N546" s="106" t="n"/>
    </row>
    <row r="547">
      <c r="J547" s="87" t="n"/>
      <c r="L547" s="87" t="n"/>
      <c r="M547" s="105" t="n"/>
      <c r="N547" s="106" t="n"/>
    </row>
    <row r="548">
      <c r="J548" s="87" t="n"/>
      <c r="L548" s="87" t="n"/>
      <c r="M548" s="105" t="n"/>
      <c r="N548" s="106" t="n"/>
    </row>
    <row r="549">
      <c r="J549" s="87" t="n"/>
      <c r="L549" s="87" t="n"/>
      <c r="M549" s="105" t="n"/>
      <c r="N549" s="106" t="n"/>
    </row>
    <row r="550">
      <c r="J550" s="87" t="n"/>
      <c r="L550" s="87" t="n"/>
      <c r="M550" s="105" t="n"/>
      <c r="N550" s="106" t="n"/>
    </row>
    <row r="551">
      <c r="J551" s="87" t="n"/>
      <c r="L551" s="87" t="n"/>
      <c r="M551" s="105" t="n"/>
      <c r="N551" s="106" t="n"/>
    </row>
    <row r="552">
      <c r="J552" s="87" t="n"/>
      <c r="L552" s="87" t="n"/>
      <c r="M552" s="105" t="n"/>
      <c r="N552" s="106" t="n"/>
    </row>
    <row r="553">
      <c r="J553" s="87" t="n"/>
      <c r="L553" s="87" t="n"/>
      <c r="M553" s="105" t="n"/>
      <c r="N553" s="106" t="n"/>
    </row>
    <row r="554">
      <c r="J554" s="87" t="n"/>
      <c r="L554" s="87" t="n"/>
      <c r="M554" s="105" t="n"/>
      <c r="N554" s="106" t="n"/>
    </row>
    <row r="555">
      <c r="J555" s="87" t="n"/>
      <c r="L555" s="87" t="n"/>
      <c r="M555" s="105" t="n"/>
      <c r="N555" s="106" t="n"/>
    </row>
    <row r="556">
      <c r="J556" s="87" t="n"/>
      <c r="L556" s="87" t="n"/>
      <c r="M556" s="105" t="n"/>
      <c r="N556" s="106" t="n"/>
    </row>
    <row r="557">
      <c r="J557" s="87" t="n"/>
      <c r="L557" s="87" t="n"/>
      <c r="M557" s="105" t="n"/>
      <c r="N557" s="106" t="n"/>
    </row>
    <row r="558">
      <c r="J558" s="87" t="n"/>
      <c r="L558" s="87" t="n"/>
      <c r="M558" s="105" t="n"/>
      <c r="N558" s="106" t="n"/>
    </row>
    <row r="559">
      <c r="J559" s="87" t="n"/>
      <c r="L559" s="87" t="n"/>
      <c r="M559" s="105" t="n"/>
      <c r="N559" s="106" t="n"/>
    </row>
    <row r="560">
      <c r="J560" s="87" t="n"/>
      <c r="L560" s="87" t="n"/>
      <c r="M560" s="105" t="n"/>
      <c r="N560" s="106" t="n"/>
    </row>
    <row r="561">
      <c r="J561" s="87" t="n"/>
      <c r="L561" s="87" t="n"/>
      <c r="M561" s="105" t="n"/>
      <c r="N561" s="106" t="n"/>
    </row>
    <row r="562">
      <c r="J562" s="87" t="n"/>
      <c r="L562" s="87" t="n"/>
      <c r="M562" s="105" t="n"/>
      <c r="N562" s="106" t="n"/>
    </row>
    <row r="563">
      <c r="J563" s="87" t="n"/>
      <c r="L563" s="87" t="n"/>
      <c r="M563" s="105" t="n"/>
      <c r="N563" s="106" t="n"/>
    </row>
    <row r="564">
      <c r="J564" s="87" t="n"/>
      <c r="L564" s="87" t="n"/>
      <c r="M564" s="105" t="n"/>
      <c r="N564" s="106" t="n"/>
    </row>
    <row r="565">
      <c r="J565" s="87" t="n"/>
      <c r="L565" s="87" t="n"/>
      <c r="M565" s="105" t="n"/>
      <c r="N565" s="106" t="n"/>
    </row>
    <row r="566">
      <c r="J566" s="87" t="n"/>
      <c r="L566" s="87" t="n"/>
      <c r="M566" s="105" t="n"/>
      <c r="N566" s="106" t="n"/>
    </row>
    <row r="567">
      <c r="J567" s="87" t="n"/>
      <c r="L567" s="87" t="n"/>
      <c r="M567" s="105" t="n"/>
      <c r="N567" s="106" t="n"/>
    </row>
    <row r="568">
      <c r="J568" s="87" t="n"/>
      <c r="L568" s="87" t="n"/>
      <c r="M568" s="105" t="n"/>
      <c r="N568" s="106" t="n"/>
    </row>
    <row r="569">
      <c r="J569" s="87" t="n"/>
      <c r="L569" s="87" t="n"/>
      <c r="M569" s="105" t="n"/>
      <c r="N569" s="106" t="n"/>
    </row>
    <row r="570">
      <c r="J570" s="87" t="n"/>
      <c r="L570" s="87" t="n"/>
      <c r="M570" s="105" t="n"/>
      <c r="N570" s="106" t="n"/>
    </row>
    <row r="571">
      <c r="J571" s="87" t="n"/>
      <c r="L571" s="87" t="n"/>
      <c r="M571" s="105" t="n"/>
      <c r="N571" s="106" t="n"/>
    </row>
    <row r="572">
      <c r="J572" s="87" t="n"/>
      <c r="L572" s="87" t="n"/>
      <c r="M572" s="105" t="n"/>
      <c r="N572" s="106" t="n"/>
    </row>
    <row r="573">
      <c r="J573" s="87" t="n"/>
      <c r="L573" s="87" t="n"/>
      <c r="M573" s="105" t="n"/>
      <c r="N573" s="106" t="n"/>
    </row>
    <row r="574">
      <c r="J574" s="87" t="n"/>
      <c r="L574" s="87" t="n"/>
      <c r="M574" s="105" t="n"/>
      <c r="N574" s="106" t="n"/>
    </row>
    <row r="575">
      <c r="J575" s="87" t="n"/>
      <c r="L575" s="87" t="n"/>
      <c r="M575" s="105" t="n"/>
      <c r="N575" s="106" t="n"/>
    </row>
    <row r="576">
      <c r="J576" s="87" t="n"/>
      <c r="L576" s="87" t="n"/>
      <c r="M576" s="105" t="n"/>
      <c r="N576" s="106" t="n"/>
    </row>
    <row r="577">
      <c r="J577" s="87" t="n"/>
      <c r="L577" s="87" t="n"/>
      <c r="M577" s="105" t="n"/>
      <c r="N577" s="106" t="n"/>
    </row>
    <row r="578">
      <c r="J578" s="87" t="n"/>
      <c r="L578" s="87" t="n"/>
      <c r="M578" s="105" t="n"/>
      <c r="N578" s="106" t="n"/>
    </row>
    <row r="579">
      <c r="J579" s="87" t="n"/>
      <c r="L579" s="87" t="n"/>
      <c r="M579" s="105" t="n"/>
      <c r="N579" s="106" t="n"/>
    </row>
    <row r="580">
      <c r="J580" s="87" t="n"/>
      <c r="L580" s="87" t="n"/>
      <c r="M580" s="105" t="n"/>
      <c r="N580" s="106" t="n"/>
    </row>
    <row r="581">
      <c r="J581" s="87" t="n"/>
      <c r="L581" s="87" t="n"/>
      <c r="M581" s="105" t="n"/>
      <c r="N581" s="106" t="n"/>
    </row>
    <row r="582">
      <c r="J582" s="87" t="n"/>
      <c r="L582" s="87" t="n"/>
      <c r="M582" s="105" t="n"/>
      <c r="N582" s="106" t="n"/>
    </row>
    <row r="583">
      <c r="J583" s="87" t="n"/>
      <c r="L583" s="87" t="n"/>
      <c r="M583" s="105" t="n"/>
      <c r="N583" s="106" t="n"/>
    </row>
    <row r="584">
      <c r="J584" s="87" t="n"/>
      <c r="L584" s="87" t="n"/>
      <c r="M584" s="105" t="n"/>
      <c r="N584" s="106" t="n"/>
    </row>
    <row r="585">
      <c r="J585" s="87" t="n"/>
      <c r="L585" s="87" t="n"/>
      <c r="M585" s="105" t="n"/>
      <c r="N585" s="106" t="n"/>
    </row>
    <row r="586">
      <c r="J586" s="87" t="n"/>
      <c r="L586" s="87" t="n"/>
      <c r="M586" s="105" t="n"/>
      <c r="N586" s="106" t="n"/>
    </row>
    <row r="587">
      <c r="J587" s="87" t="n"/>
      <c r="L587" s="87" t="n"/>
      <c r="M587" s="105" t="n"/>
      <c r="N587" s="106" t="n"/>
    </row>
    <row r="588">
      <c r="J588" s="87" t="n"/>
      <c r="L588" s="87" t="n"/>
      <c r="M588" s="105" t="n"/>
      <c r="N588" s="106" t="n"/>
    </row>
    <row r="589">
      <c r="J589" s="87" t="n"/>
      <c r="L589" s="87" t="n"/>
      <c r="M589" s="105" t="n"/>
      <c r="N589" s="106" t="n"/>
    </row>
    <row r="590">
      <c r="J590" s="87" t="n"/>
      <c r="L590" s="87" t="n"/>
      <c r="M590" s="105" t="n"/>
      <c r="N590" s="106" t="n"/>
    </row>
    <row r="591">
      <c r="J591" s="87" t="n"/>
      <c r="L591" s="87" t="n"/>
      <c r="M591" s="105" t="n"/>
      <c r="N591" s="106" t="n"/>
    </row>
    <row r="592">
      <c r="J592" s="87" t="n"/>
      <c r="L592" s="87" t="n"/>
      <c r="M592" s="105" t="n"/>
      <c r="N592" s="106" t="n"/>
    </row>
    <row r="593">
      <c r="J593" s="87" t="n"/>
      <c r="L593" s="87" t="n"/>
      <c r="M593" s="105" t="n"/>
      <c r="N593" s="106" t="n"/>
    </row>
    <row r="594">
      <c r="J594" s="87" t="n"/>
      <c r="L594" s="87" t="n"/>
      <c r="M594" s="105" t="n"/>
      <c r="N594" s="106" t="n"/>
    </row>
    <row r="595">
      <c r="J595" s="87" t="n"/>
      <c r="L595" s="87" t="n"/>
      <c r="M595" s="105" t="n"/>
      <c r="N595" s="106" t="n"/>
    </row>
    <row r="596">
      <c r="J596" s="87" t="n"/>
      <c r="L596" s="87" t="n"/>
      <c r="M596" s="105" t="n"/>
      <c r="N596" s="106" t="n"/>
    </row>
    <row r="597">
      <c r="J597" s="87" t="n"/>
      <c r="L597" s="87" t="n"/>
      <c r="M597" s="105" t="n"/>
      <c r="N597" s="106" t="n"/>
    </row>
    <row r="598">
      <c r="J598" s="87" t="n"/>
      <c r="L598" s="87" t="n"/>
      <c r="M598" s="105" t="n"/>
      <c r="N598" s="106" t="n"/>
    </row>
    <row r="599">
      <c r="J599" s="87" t="n"/>
      <c r="L599" s="87" t="n"/>
      <c r="M599" s="105" t="n"/>
      <c r="N599" s="106" t="n"/>
    </row>
    <row r="600">
      <c r="J600" s="87" t="n"/>
      <c r="L600" s="87" t="n"/>
      <c r="M600" s="105" t="n"/>
      <c r="N600" s="106" t="n"/>
    </row>
    <row r="601">
      <c r="J601" s="87" t="n"/>
      <c r="L601" s="87" t="n"/>
      <c r="M601" s="105" t="n"/>
      <c r="N601" s="106" t="n"/>
    </row>
    <row r="602">
      <c r="J602" s="87" t="n"/>
      <c r="L602" s="87" t="n"/>
      <c r="M602" s="105" t="n"/>
      <c r="N602" s="106" t="n"/>
    </row>
    <row r="603">
      <c r="J603" s="87" t="n"/>
      <c r="L603" s="87" t="n"/>
      <c r="M603" s="105" t="n"/>
      <c r="N603" s="106" t="n"/>
    </row>
    <row r="604">
      <c r="J604" s="87" t="n"/>
      <c r="L604" s="87" t="n"/>
      <c r="M604" s="105" t="n"/>
      <c r="N604" s="106" t="n"/>
    </row>
    <row r="605">
      <c r="J605" s="87" t="n"/>
      <c r="L605" s="87" t="n"/>
      <c r="M605" s="105" t="n"/>
      <c r="N605" s="106" t="n"/>
    </row>
    <row r="606">
      <c r="J606" s="87" t="n"/>
      <c r="L606" s="87" t="n"/>
      <c r="M606" s="105" t="n"/>
      <c r="N606" s="106" t="n"/>
    </row>
    <row r="607">
      <c r="J607" s="87" t="n"/>
      <c r="L607" s="87" t="n"/>
      <c r="M607" s="105" t="n"/>
      <c r="N607" s="106" t="n"/>
    </row>
    <row r="608">
      <c r="J608" s="87" t="n"/>
      <c r="L608" s="87" t="n"/>
      <c r="M608" s="105" t="n"/>
      <c r="N608" s="106" t="n"/>
    </row>
    <row r="609">
      <c r="J609" s="87" t="n"/>
      <c r="L609" s="87" t="n"/>
      <c r="M609" s="105" t="n"/>
      <c r="N609" s="106" t="n"/>
    </row>
    <row r="610">
      <c r="J610" s="87" t="n"/>
      <c r="L610" s="87" t="n"/>
      <c r="M610" s="105" t="n"/>
      <c r="N610" s="106" t="n"/>
    </row>
    <row r="611">
      <c r="J611" s="87" t="n"/>
      <c r="L611" s="87" t="n"/>
      <c r="M611" s="105" t="n"/>
      <c r="N611" s="106" t="n"/>
    </row>
    <row r="612">
      <c r="J612" s="87" t="n"/>
      <c r="L612" s="87" t="n"/>
      <c r="M612" s="105" t="n"/>
      <c r="N612" s="106" t="n"/>
    </row>
    <row r="613">
      <c r="J613" s="87" t="n"/>
      <c r="L613" s="87" t="n"/>
      <c r="M613" s="105" t="n"/>
      <c r="N613" s="106" t="n"/>
    </row>
    <row r="614">
      <c r="J614" s="87" t="n"/>
      <c r="L614" s="87" t="n"/>
      <c r="M614" s="105" t="n"/>
      <c r="N614" s="106" t="n"/>
    </row>
    <row r="615">
      <c r="J615" s="87" t="n"/>
      <c r="L615" s="87" t="n"/>
      <c r="M615" s="105" t="n"/>
      <c r="N615" s="106" t="n"/>
    </row>
    <row r="616">
      <c r="J616" s="87" t="n"/>
      <c r="L616" s="87" t="n"/>
      <c r="M616" s="105" t="n"/>
      <c r="N616" s="106" t="n"/>
    </row>
    <row r="617">
      <c r="J617" s="87" t="n"/>
      <c r="L617" s="87" t="n"/>
      <c r="M617" s="105" t="n"/>
      <c r="N617" s="106" t="n"/>
    </row>
    <row r="618">
      <c r="J618" s="87" t="n"/>
      <c r="L618" s="87" t="n"/>
      <c r="M618" s="105" t="n"/>
      <c r="N618" s="106" t="n"/>
    </row>
    <row r="619">
      <c r="J619" s="87" t="n"/>
      <c r="L619" s="87" t="n"/>
      <c r="M619" s="105" t="n"/>
      <c r="N619" s="106" t="n"/>
    </row>
    <row r="620">
      <c r="J620" s="87" t="n"/>
      <c r="L620" s="87" t="n"/>
      <c r="M620" s="105" t="n"/>
      <c r="N620" s="106" t="n"/>
    </row>
    <row r="621">
      <c r="J621" s="87" t="n"/>
      <c r="L621" s="87" t="n"/>
      <c r="M621" s="105" t="n"/>
      <c r="N621" s="106" t="n"/>
    </row>
    <row r="622">
      <c r="J622" s="87" t="n"/>
      <c r="L622" s="87" t="n"/>
      <c r="M622" s="105" t="n"/>
      <c r="N622" s="106" t="n"/>
    </row>
    <row r="623">
      <c r="J623" s="87" t="n"/>
      <c r="L623" s="87" t="n"/>
      <c r="M623" s="105" t="n"/>
      <c r="N623" s="106" t="n"/>
    </row>
    <row r="624">
      <c r="J624" s="87" t="n"/>
      <c r="L624" s="87" t="n"/>
      <c r="M624" s="105" t="n"/>
      <c r="N624" s="106" t="n"/>
    </row>
    <row r="625">
      <c r="J625" s="87" t="n"/>
      <c r="L625" s="87" t="n"/>
      <c r="M625" s="105" t="n"/>
      <c r="N625" s="106" t="n"/>
    </row>
    <row r="626">
      <c r="J626" s="87" t="n"/>
      <c r="L626" s="87" t="n"/>
      <c r="M626" s="105" t="n"/>
      <c r="N626" s="106" t="n"/>
    </row>
    <row r="627">
      <c r="J627" s="87" t="n"/>
      <c r="L627" s="87" t="n"/>
      <c r="M627" s="105" t="n"/>
      <c r="N627" s="106" t="n"/>
    </row>
    <row r="628">
      <c r="J628" s="87" t="n"/>
      <c r="L628" s="87" t="n"/>
      <c r="M628" s="105" t="n"/>
      <c r="N628" s="106" t="n"/>
    </row>
    <row r="629">
      <c r="J629" s="87" t="n"/>
      <c r="L629" s="87" t="n"/>
      <c r="M629" s="105" t="n"/>
      <c r="N629" s="106" t="n"/>
    </row>
    <row r="630">
      <c r="J630" s="87" t="n"/>
      <c r="L630" s="87" t="n"/>
      <c r="M630" s="105" t="n"/>
      <c r="N630" s="106" t="n"/>
    </row>
    <row r="631">
      <c r="J631" s="87" t="n"/>
      <c r="L631" s="87" t="n"/>
      <c r="M631" s="105" t="n"/>
      <c r="N631" s="106" t="n"/>
    </row>
    <row r="632">
      <c r="J632" s="87" t="n"/>
      <c r="L632" s="87" t="n"/>
      <c r="M632" s="105" t="n"/>
      <c r="N632" s="106" t="n"/>
    </row>
    <row r="633">
      <c r="J633" s="87" t="n"/>
      <c r="L633" s="87" t="n"/>
      <c r="M633" s="105" t="n"/>
      <c r="N633" s="106" t="n"/>
    </row>
    <row r="634">
      <c r="J634" s="87" t="n"/>
      <c r="L634" s="87" t="n"/>
      <c r="M634" s="105" t="n"/>
      <c r="N634" s="106" t="n"/>
    </row>
    <row r="635">
      <c r="J635" s="87" t="n"/>
      <c r="L635" s="87" t="n"/>
      <c r="M635" s="105" t="n"/>
      <c r="N635" s="106" t="n"/>
    </row>
    <row r="636">
      <c r="J636" s="87" t="n"/>
      <c r="L636" s="87" t="n"/>
      <c r="M636" s="105" t="n"/>
      <c r="N636" s="106" t="n"/>
    </row>
    <row r="637">
      <c r="J637" s="87" t="n"/>
      <c r="L637" s="87" t="n"/>
      <c r="M637" s="105" t="n"/>
      <c r="N637" s="106" t="n"/>
    </row>
    <row r="638">
      <c r="J638" s="87" t="n"/>
      <c r="L638" s="87" t="n"/>
      <c r="M638" s="105" t="n"/>
      <c r="N638" s="106" t="n"/>
    </row>
    <row r="639">
      <c r="J639" s="87" t="n"/>
      <c r="L639" s="87" t="n"/>
      <c r="M639" s="105" t="n"/>
      <c r="N639" s="106" t="n"/>
    </row>
    <row r="640">
      <c r="J640" s="87" t="n"/>
      <c r="L640" s="87" t="n"/>
      <c r="M640" s="105" t="n"/>
      <c r="N640" s="106" t="n"/>
    </row>
    <row r="641">
      <c r="J641" s="87" t="n"/>
      <c r="L641" s="87" t="n"/>
      <c r="M641" s="105" t="n"/>
      <c r="N641" s="106" t="n"/>
    </row>
    <row r="642">
      <c r="J642" s="87" t="n"/>
      <c r="L642" s="87" t="n"/>
      <c r="M642" s="105" t="n"/>
      <c r="N642" s="106" t="n"/>
    </row>
    <row r="643">
      <c r="J643" s="87" t="n"/>
      <c r="L643" s="87" t="n"/>
      <c r="M643" s="105" t="n"/>
      <c r="N643" s="106" t="n"/>
    </row>
    <row r="644">
      <c r="J644" s="87" t="n"/>
      <c r="L644" s="87" t="n"/>
      <c r="M644" s="105" t="n"/>
      <c r="N644" s="106" t="n"/>
    </row>
    <row r="645">
      <c r="J645" s="87" t="n"/>
      <c r="L645" s="87" t="n"/>
      <c r="M645" s="105" t="n"/>
      <c r="N645" s="106" t="n"/>
    </row>
    <row r="646">
      <c r="J646" s="87" t="n"/>
      <c r="L646" s="87" t="n"/>
      <c r="M646" s="105" t="n"/>
      <c r="N646" s="106" t="n"/>
    </row>
    <row r="647">
      <c r="J647" s="87" t="n"/>
      <c r="L647" s="87" t="n"/>
      <c r="M647" s="105" t="n"/>
      <c r="N647" s="106" t="n"/>
    </row>
    <row r="648">
      <c r="J648" s="87" t="n"/>
      <c r="L648" s="87" t="n"/>
      <c r="M648" s="105" t="n"/>
      <c r="N648" s="106" t="n"/>
    </row>
    <row r="649">
      <c r="J649" s="87" t="n"/>
      <c r="L649" s="87" t="n"/>
      <c r="M649" s="105" t="n"/>
      <c r="N649" s="106" t="n"/>
    </row>
    <row r="650">
      <c r="J650" s="87" t="n"/>
      <c r="L650" s="87" t="n"/>
      <c r="M650" s="105" t="n"/>
      <c r="N650" s="106" t="n"/>
    </row>
    <row r="651">
      <c r="J651" s="87" t="n"/>
      <c r="L651" s="87" t="n"/>
      <c r="M651" s="105" t="n"/>
      <c r="N651" s="106" t="n"/>
    </row>
    <row r="652">
      <c r="J652" s="87" t="n"/>
      <c r="L652" s="87" t="n"/>
      <c r="M652" s="105" t="n"/>
      <c r="N652" s="106" t="n"/>
    </row>
    <row r="653">
      <c r="J653" s="87" t="n"/>
      <c r="L653" s="87" t="n"/>
      <c r="M653" s="105" t="n"/>
      <c r="N653" s="106" t="n"/>
    </row>
    <row r="654">
      <c r="J654" s="87" t="n"/>
      <c r="L654" s="87" t="n"/>
      <c r="M654" s="105" t="n"/>
      <c r="N654" s="106" t="n"/>
    </row>
    <row r="655">
      <c r="J655" s="87" t="n"/>
      <c r="L655" s="87" t="n"/>
      <c r="M655" s="105" t="n"/>
      <c r="N655" s="106" t="n"/>
    </row>
    <row r="656">
      <c r="J656" s="87" t="n"/>
      <c r="L656" s="87" t="n"/>
      <c r="M656" s="105" t="n"/>
      <c r="N656" s="106" t="n"/>
    </row>
    <row r="657">
      <c r="J657" s="87" t="n"/>
      <c r="L657" s="87" t="n"/>
      <c r="M657" s="105" t="n"/>
      <c r="N657" s="106" t="n"/>
    </row>
    <row r="658">
      <c r="J658" s="87" t="n"/>
      <c r="L658" s="87" t="n"/>
      <c r="M658" s="105" t="n"/>
      <c r="N658" s="106" t="n"/>
    </row>
    <row r="659">
      <c r="J659" s="87" t="n"/>
      <c r="L659" s="87" t="n"/>
      <c r="M659" s="105" t="n"/>
      <c r="N659" s="106" t="n"/>
    </row>
    <row r="660">
      <c r="J660" s="87" t="n"/>
      <c r="L660" s="87" t="n"/>
      <c r="M660" s="105" t="n"/>
      <c r="N660" s="106" t="n"/>
    </row>
    <row r="661">
      <c r="J661" s="87" t="n"/>
      <c r="L661" s="87" t="n"/>
      <c r="M661" s="105" t="n"/>
      <c r="N661" s="106" t="n"/>
    </row>
    <row r="662">
      <c r="J662" s="87" t="n"/>
      <c r="L662" s="87" t="n"/>
      <c r="M662" s="105" t="n"/>
      <c r="N662" s="106" t="n"/>
    </row>
    <row r="663">
      <c r="J663" s="87" t="n"/>
      <c r="L663" s="87" t="n"/>
      <c r="M663" s="105" t="n"/>
      <c r="N663" s="106" t="n"/>
    </row>
    <row r="664">
      <c r="J664" s="87" t="n"/>
      <c r="L664" s="87" t="n"/>
      <c r="M664" s="105" t="n"/>
      <c r="N664" s="106" t="n"/>
    </row>
    <row r="665">
      <c r="J665" s="87" t="n"/>
      <c r="L665" s="87" t="n"/>
      <c r="M665" s="105" t="n"/>
      <c r="N665" s="106" t="n"/>
    </row>
    <row r="666">
      <c r="J666" s="87" t="n"/>
      <c r="L666" s="87" t="n"/>
      <c r="M666" s="105" t="n"/>
      <c r="N666" s="106" t="n"/>
    </row>
    <row r="667">
      <c r="J667" s="87" t="n"/>
      <c r="L667" s="87" t="n"/>
      <c r="M667" s="105" t="n"/>
      <c r="N667" s="106" t="n"/>
    </row>
    <row r="668">
      <c r="J668" s="87" t="n"/>
      <c r="L668" s="87" t="n"/>
      <c r="M668" s="105" t="n"/>
      <c r="N668" s="106" t="n"/>
    </row>
    <row r="669">
      <c r="J669" s="87" t="n"/>
      <c r="L669" s="87" t="n"/>
      <c r="M669" s="105" t="n"/>
      <c r="N669" s="106" t="n"/>
    </row>
    <row r="670">
      <c r="J670" s="87" t="n"/>
      <c r="L670" s="87" t="n"/>
      <c r="M670" s="105" t="n"/>
      <c r="N670" s="106" t="n"/>
    </row>
    <row r="671">
      <c r="J671" s="87" t="n"/>
      <c r="L671" s="87" t="n"/>
      <c r="M671" s="105" t="n"/>
      <c r="N671" s="106" t="n"/>
    </row>
    <row r="672">
      <c r="J672" s="87" t="n"/>
      <c r="L672" s="87" t="n"/>
      <c r="M672" s="105" t="n"/>
      <c r="N672" s="106" t="n"/>
    </row>
    <row r="673">
      <c r="J673" s="87" t="n"/>
      <c r="L673" s="87" t="n"/>
      <c r="M673" s="105" t="n"/>
      <c r="N673" s="106" t="n"/>
    </row>
    <row r="674">
      <c r="J674" s="87" t="n"/>
      <c r="L674" s="87" t="n"/>
      <c r="M674" s="105" t="n"/>
      <c r="N674" s="106" t="n"/>
    </row>
    <row r="675">
      <c r="J675" s="87" t="n"/>
      <c r="L675" s="87" t="n"/>
      <c r="M675" s="105" t="n"/>
      <c r="N675" s="106" t="n"/>
    </row>
    <row r="676">
      <c r="J676" s="87" t="n"/>
      <c r="L676" s="87" t="n"/>
      <c r="M676" s="105" t="n"/>
      <c r="N676" s="106" t="n"/>
    </row>
    <row r="677">
      <c r="J677" s="87" t="n"/>
      <c r="L677" s="87" t="n"/>
      <c r="M677" s="105" t="n"/>
      <c r="N677" s="106" t="n"/>
    </row>
    <row r="678">
      <c r="J678" s="87" t="n"/>
      <c r="L678" s="87" t="n"/>
      <c r="M678" s="105" t="n"/>
      <c r="N678" s="106" t="n"/>
    </row>
    <row r="679">
      <c r="J679" s="87" t="n"/>
      <c r="L679" s="87" t="n"/>
      <c r="M679" s="105" t="n"/>
      <c r="N679" s="106" t="n"/>
    </row>
    <row r="680">
      <c r="J680" s="87" t="n"/>
      <c r="L680" s="87" t="n"/>
      <c r="M680" s="105" t="n"/>
      <c r="N680" s="106" t="n"/>
    </row>
    <row r="681">
      <c r="J681" s="87" t="n"/>
      <c r="L681" s="87" t="n"/>
      <c r="M681" s="105" t="n"/>
      <c r="N681" s="106" t="n"/>
    </row>
    <row r="682">
      <c r="J682" s="87" t="n"/>
      <c r="L682" s="87" t="n"/>
      <c r="M682" s="105" t="n"/>
      <c r="N682" s="106" t="n"/>
    </row>
    <row r="683">
      <c r="J683" s="87" t="n"/>
      <c r="L683" s="87" t="n"/>
      <c r="M683" s="105" t="n"/>
      <c r="N683" s="106" t="n"/>
    </row>
    <row r="684">
      <c r="J684" s="87" t="n"/>
      <c r="L684" s="87" t="n"/>
      <c r="M684" s="105" t="n"/>
      <c r="N684" s="106" t="n"/>
    </row>
    <row r="685">
      <c r="J685" s="87" t="n"/>
      <c r="L685" s="87" t="n"/>
      <c r="M685" s="105" t="n"/>
      <c r="N685" s="106" t="n"/>
    </row>
    <row r="686">
      <c r="J686" s="87" t="n"/>
      <c r="L686" s="87" t="n"/>
      <c r="M686" s="105" t="n"/>
      <c r="N686" s="106" t="n"/>
    </row>
    <row r="687">
      <c r="J687" s="87" t="n"/>
      <c r="L687" s="87" t="n"/>
      <c r="M687" s="105" t="n"/>
      <c r="N687" s="106" t="n"/>
    </row>
    <row r="688">
      <c r="J688" s="87" t="n"/>
      <c r="L688" s="87" t="n"/>
      <c r="M688" s="105" t="n"/>
      <c r="N688" s="106" t="n"/>
    </row>
    <row r="689">
      <c r="J689" s="87" t="n"/>
      <c r="L689" s="87" t="n"/>
      <c r="M689" s="105" t="n"/>
      <c r="N689" s="106" t="n"/>
    </row>
    <row r="690">
      <c r="J690" s="87" t="n"/>
      <c r="L690" s="87" t="n"/>
      <c r="M690" s="105" t="n"/>
      <c r="N690" s="106" t="n"/>
    </row>
    <row r="691">
      <c r="J691" s="87" t="n"/>
      <c r="L691" s="87" t="n"/>
      <c r="M691" s="105" t="n"/>
      <c r="N691" s="106" t="n"/>
    </row>
    <row r="692">
      <c r="J692" s="87" t="n"/>
      <c r="L692" s="87" t="n"/>
      <c r="M692" s="105" t="n"/>
      <c r="N692" s="106" t="n"/>
    </row>
    <row r="693">
      <c r="J693" s="87" t="n"/>
      <c r="L693" s="87" t="n"/>
      <c r="M693" s="105" t="n"/>
      <c r="N693" s="106" t="n"/>
    </row>
    <row r="694">
      <c r="J694" s="87" t="n"/>
      <c r="L694" s="87" t="n"/>
      <c r="M694" s="105" t="n"/>
      <c r="N694" s="106" t="n"/>
    </row>
    <row r="695">
      <c r="J695" s="87" t="n"/>
      <c r="L695" s="87" t="n"/>
      <c r="M695" s="105" t="n"/>
      <c r="N695" s="106" t="n"/>
    </row>
    <row r="696">
      <c r="J696" s="87" t="n"/>
      <c r="L696" s="87" t="n"/>
      <c r="M696" s="105" t="n"/>
      <c r="N696" s="106" t="n"/>
    </row>
    <row r="697">
      <c r="J697" s="87" t="n"/>
      <c r="L697" s="87" t="n"/>
      <c r="M697" s="105" t="n"/>
      <c r="N697" s="106" t="n"/>
    </row>
    <row r="698">
      <c r="J698" s="87" t="n"/>
      <c r="L698" s="87" t="n"/>
      <c r="M698" s="105" t="n"/>
      <c r="N698" s="106" t="n"/>
    </row>
    <row r="699">
      <c r="J699" s="87" t="n"/>
      <c r="L699" s="87" t="n"/>
      <c r="M699" s="105" t="n"/>
      <c r="N699" s="106" t="n"/>
    </row>
    <row r="700">
      <c r="J700" s="87" t="n"/>
      <c r="L700" s="87" t="n"/>
      <c r="M700" s="105" t="n"/>
      <c r="N700" s="106" t="n"/>
    </row>
    <row r="701">
      <c r="J701" s="87" t="n"/>
      <c r="L701" s="87" t="n"/>
      <c r="M701" s="105" t="n"/>
      <c r="N701" s="106" t="n"/>
    </row>
    <row r="702">
      <c r="J702" s="87" t="n"/>
      <c r="L702" s="87" t="n"/>
      <c r="M702" s="105" t="n"/>
      <c r="N702" s="106" t="n"/>
    </row>
    <row r="703">
      <c r="J703" s="87" t="n"/>
      <c r="L703" s="87" t="n"/>
      <c r="M703" s="105" t="n"/>
      <c r="N703" s="106" t="n"/>
    </row>
    <row r="704">
      <c r="J704" s="87" t="n"/>
      <c r="L704" s="87" t="n"/>
      <c r="M704" s="105" t="n"/>
      <c r="N704" s="106" t="n"/>
    </row>
    <row r="705">
      <c r="J705" s="87" t="n"/>
      <c r="L705" s="87" t="n"/>
      <c r="M705" s="105" t="n"/>
      <c r="N705" s="106" t="n"/>
    </row>
    <row r="706">
      <c r="J706" s="87" t="n"/>
      <c r="L706" s="87" t="n"/>
      <c r="M706" s="105" t="n"/>
      <c r="N706" s="106" t="n"/>
    </row>
    <row r="707">
      <c r="J707" s="87" t="n"/>
      <c r="L707" s="87" t="n"/>
      <c r="M707" s="105" t="n"/>
      <c r="N707" s="106" t="n"/>
    </row>
    <row r="708">
      <c r="J708" s="87" t="n"/>
      <c r="L708" s="87" t="n"/>
      <c r="M708" s="105" t="n"/>
      <c r="N708" s="106" t="n"/>
    </row>
    <row r="709">
      <c r="J709" s="87" t="n"/>
      <c r="L709" s="87" t="n"/>
      <c r="M709" s="105" t="n"/>
      <c r="N709" s="106" t="n"/>
    </row>
    <row r="710">
      <c r="J710" s="87" t="n"/>
      <c r="L710" s="87" t="n"/>
      <c r="M710" s="105" t="n"/>
      <c r="N710" s="106" t="n"/>
    </row>
    <row r="711">
      <c r="J711" s="87" t="n"/>
      <c r="L711" s="87" t="n"/>
      <c r="M711" s="105" t="n"/>
      <c r="N711" s="106" t="n"/>
    </row>
    <row r="712">
      <c r="J712" s="87" t="n"/>
      <c r="L712" s="87" t="n"/>
      <c r="M712" s="105" t="n"/>
      <c r="N712" s="106" t="n"/>
    </row>
    <row r="713">
      <c r="J713" s="87" t="n"/>
      <c r="L713" s="87" t="n"/>
      <c r="M713" s="105" t="n"/>
      <c r="N713" s="106" t="n"/>
    </row>
    <row r="714">
      <c r="J714" s="87" t="n"/>
      <c r="L714" s="87" t="n"/>
      <c r="M714" s="105" t="n"/>
      <c r="N714" s="106" t="n"/>
    </row>
    <row r="715">
      <c r="J715" s="87" t="n"/>
      <c r="L715" s="87" t="n"/>
      <c r="M715" s="105" t="n"/>
      <c r="N715" s="106" t="n"/>
    </row>
    <row r="716">
      <c r="J716" s="87" t="n"/>
      <c r="L716" s="87" t="n"/>
      <c r="M716" s="105" t="n"/>
      <c r="N716" s="106" t="n"/>
    </row>
    <row r="717">
      <c r="J717" s="87" t="n"/>
      <c r="L717" s="87" t="n"/>
      <c r="M717" s="105" t="n"/>
      <c r="N717" s="106" t="n"/>
    </row>
    <row r="718">
      <c r="J718" s="87" t="n"/>
      <c r="L718" s="87" t="n"/>
      <c r="M718" s="105" t="n"/>
      <c r="N718" s="106" t="n"/>
    </row>
    <row r="719">
      <c r="J719" s="87" t="n"/>
      <c r="L719" s="87" t="n"/>
      <c r="M719" s="105" t="n"/>
      <c r="N719" s="106" t="n"/>
    </row>
    <row r="720">
      <c r="J720" s="87" t="n"/>
      <c r="L720" s="87" t="n"/>
      <c r="M720" s="105" t="n"/>
      <c r="N720" s="106" t="n"/>
    </row>
    <row r="721">
      <c r="J721" s="87" t="n"/>
      <c r="L721" s="87" t="n"/>
      <c r="M721" s="105" t="n"/>
      <c r="N721" s="106" t="n"/>
    </row>
    <row r="722">
      <c r="J722" s="87" t="n"/>
      <c r="L722" s="87" t="n"/>
      <c r="M722" s="105" t="n"/>
      <c r="N722" s="106" t="n"/>
    </row>
    <row r="723">
      <c r="J723" s="87" t="n"/>
      <c r="L723" s="87" t="n"/>
      <c r="M723" s="105" t="n"/>
      <c r="N723" s="106" t="n"/>
    </row>
    <row r="724">
      <c r="J724" s="87" t="n"/>
      <c r="L724" s="87" t="n"/>
      <c r="M724" s="105" t="n"/>
      <c r="N724" s="106" t="n"/>
    </row>
    <row r="725">
      <c r="J725" s="87" t="n"/>
      <c r="L725" s="87" t="n"/>
      <c r="M725" s="105" t="n"/>
      <c r="N725" s="106" t="n"/>
    </row>
    <row r="726">
      <c r="J726" s="87" t="n"/>
      <c r="L726" s="87" t="n"/>
      <c r="M726" s="105" t="n"/>
      <c r="N726" s="106" t="n"/>
    </row>
    <row r="727">
      <c r="J727" s="87" t="n"/>
      <c r="L727" s="87" t="n"/>
      <c r="M727" s="105" t="n"/>
      <c r="N727" s="106" t="n"/>
    </row>
    <row r="728">
      <c r="J728" s="87" t="n"/>
      <c r="L728" s="87" t="n"/>
      <c r="M728" s="105" t="n"/>
      <c r="N728" s="106" t="n"/>
    </row>
    <row r="729">
      <c r="J729" s="87" t="n"/>
      <c r="L729" s="87" t="n"/>
      <c r="M729" s="105" t="n"/>
      <c r="N729" s="106" t="n"/>
    </row>
    <row r="730">
      <c r="J730" s="87" t="n"/>
      <c r="L730" s="87" t="n"/>
      <c r="M730" s="105" t="n"/>
      <c r="N730" s="106" t="n"/>
    </row>
    <row r="731">
      <c r="J731" s="87" t="n"/>
      <c r="L731" s="87" t="n"/>
      <c r="M731" s="105" t="n"/>
      <c r="N731" s="106" t="n"/>
    </row>
    <row r="732">
      <c r="J732" s="87" t="n"/>
      <c r="L732" s="87" t="n"/>
      <c r="M732" s="105" t="n"/>
      <c r="N732" s="106" t="n"/>
    </row>
    <row r="733">
      <c r="J733" s="87" t="n"/>
      <c r="L733" s="87" t="n"/>
      <c r="M733" s="105" t="n"/>
      <c r="N733" s="106" t="n"/>
    </row>
    <row r="734">
      <c r="J734" s="87" t="n"/>
      <c r="L734" s="87" t="n"/>
      <c r="M734" s="105" t="n"/>
      <c r="N734" s="106" t="n"/>
    </row>
    <row r="735">
      <c r="J735" s="87" t="n"/>
      <c r="L735" s="87" t="n"/>
      <c r="M735" s="105" t="n"/>
      <c r="N735" s="106" t="n"/>
    </row>
    <row r="736">
      <c r="J736" s="87" t="n"/>
      <c r="L736" s="87" t="n"/>
      <c r="M736" s="105" t="n"/>
      <c r="N736" s="106" t="n"/>
    </row>
    <row r="737">
      <c r="J737" s="87" t="n"/>
      <c r="L737" s="87" t="n"/>
      <c r="M737" s="105" t="n"/>
      <c r="N737" s="106" t="n"/>
    </row>
    <row r="738">
      <c r="J738" s="87" t="n"/>
      <c r="L738" s="87" t="n"/>
      <c r="M738" s="105" t="n"/>
      <c r="N738" s="106" t="n"/>
    </row>
    <row r="739">
      <c r="J739" s="87" t="n"/>
      <c r="L739" s="87" t="n"/>
      <c r="M739" s="105" t="n"/>
      <c r="N739" s="106" t="n"/>
    </row>
    <row r="740">
      <c r="J740" s="87" t="n"/>
      <c r="L740" s="87" t="n"/>
      <c r="M740" s="105" t="n"/>
      <c r="N740" s="106" t="n"/>
    </row>
    <row r="741">
      <c r="J741" s="87" t="n"/>
      <c r="L741" s="87" t="n"/>
      <c r="M741" s="105" t="n"/>
      <c r="N741" s="106" t="n"/>
    </row>
    <row r="742">
      <c r="J742" s="87" t="n"/>
      <c r="L742" s="87" t="n"/>
      <c r="M742" s="105" t="n"/>
      <c r="N742" s="106" t="n"/>
    </row>
    <row r="743">
      <c r="J743" s="87" t="n"/>
      <c r="L743" s="87" t="n"/>
      <c r="M743" s="105" t="n"/>
      <c r="N743" s="106" t="n"/>
    </row>
    <row r="744">
      <c r="J744" s="87" t="n"/>
      <c r="L744" s="87" t="n"/>
      <c r="M744" s="105" t="n"/>
      <c r="N744" s="106" t="n"/>
    </row>
    <row r="745">
      <c r="J745" s="87" t="n"/>
      <c r="L745" s="87" t="n"/>
      <c r="M745" s="105" t="n"/>
      <c r="N745" s="106" t="n"/>
    </row>
    <row r="746">
      <c r="J746" s="87" t="n"/>
      <c r="L746" s="87" t="n"/>
      <c r="M746" s="105" t="n"/>
      <c r="N746" s="106" t="n"/>
    </row>
    <row r="747">
      <c r="J747" s="87" t="n"/>
      <c r="L747" s="87" t="n"/>
      <c r="M747" s="105" t="n"/>
      <c r="N747" s="106" t="n"/>
    </row>
    <row r="748">
      <c r="J748" s="87" t="n"/>
      <c r="L748" s="87" t="n"/>
      <c r="M748" s="105" t="n"/>
      <c r="N748" s="106" t="n"/>
    </row>
    <row r="749">
      <c r="J749" s="87" t="n"/>
      <c r="L749" s="87" t="n"/>
      <c r="M749" s="105" t="n"/>
      <c r="N749" s="106" t="n"/>
    </row>
    <row r="750">
      <c r="J750" s="87" t="n"/>
      <c r="L750" s="87" t="n"/>
      <c r="M750" s="105" t="n"/>
      <c r="N750" s="106" t="n"/>
    </row>
    <row r="751">
      <c r="J751" s="87" t="n"/>
      <c r="L751" s="87" t="n"/>
      <c r="M751" s="105" t="n"/>
      <c r="N751" s="106" t="n"/>
    </row>
    <row r="752">
      <c r="J752" s="87" t="n"/>
      <c r="L752" s="87" t="n"/>
      <c r="M752" s="105" t="n"/>
      <c r="N752" s="106" t="n"/>
    </row>
    <row r="753">
      <c r="J753" s="87" t="n"/>
      <c r="L753" s="87" t="n"/>
      <c r="M753" s="105" t="n"/>
      <c r="N753" s="106" t="n"/>
    </row>
    <row r="754">
      <c r="J754" s="87" t="n"/>
      <c r="L754" s="87" t="n"/>
      <c r="M754" s="105" t="n"/>
      <c r="N754" s="106" t="n"/>
    </row>
    <row r="755">
      <c r="J755" s="87" t="n"/>
      <c r="L755" s="87" t="n"/>
      <c r="M755" s="105" t="n"/>
      <c r="N755" s="106" t="n"/>
    </row>
    <row r="756">
      <c r="J756" s="87" t="n"/>
      <c r="L756" s="87" t="n"/>
      <c r="M756" s="105" t="n"/>
      <c r="N756" s="106" t="n"/>
    </row>
    <row r="757">
      <c r="J757" s="87" t="n"/>
      <c r="L757" s="87" t="n"/>
      <c r="M757" s="105" t="n"/>
      <c r="N757" s="106" t="n"/>
    </row>
    <row r="758">
      <c r="J758" s="87" t="n"/>
      <c r="L758" s="87" t="n"/>
      <c r="M758" s="105" t="n"/>
      <c r="N758" s="106" t="n"/>
    </row>
    <row r="759">
      <c r="J759" s="87" t="n"/>
      <c r="L759" s="87" t="n"/>
      <c r="M759" s="105" t="n"/>
      <c r="N759" s="106" t="n"/>
    </row>
    <row r="760">
      <c r="J760" s="87" t="n"/>
      <c r="L760" s="87" t="n"/>
      <c r="M760" s="105" t="n"/>
      <c r="N760" s="106" t="n"/>
    </row>
    <row r="761">
      <c r="J761" s="87" t="n"/>
      <c r="L761" s="87" t="n"/>
      <c r="M761" s="105" t="n"/>
      <c r="N761" s="106" t="n"/>
    </row>
    <row r="762">
      <c r="J762" s="87" t="n"/>
      <c r="L762" s="87" t="n"/>
      <c r="M762" s="105" t="n"/>
      <c r="N762" s="106" t="n"/>
    </row>
    <row r="763">
      <c r="J763" s="87" t="n"/>
      <c r="L763" s="87" t="n"/>
      <c r="M763" s="105" t="n"/>
      <c r="N763" s="106" t="n"/>
    </row>
    <row r="764">
      <c r="J764" s="87" t="n"/>
      <c r="L764" s="87" t="n"/>
      <c r="M764" s="105" t="n"/>
      <c r="N764" s="106" t="n"/>
    </row>
    <row r="765">
      <c r="J765" s="87" t="n"/>
      <c r="L765" s="87" t="n"/>
      <c r="M765" s="105" t="n"/>
      <c r="N765" s="106" t="n"/>
    </row>
    <row r="766">
      <c r="J766" s="87" t="n"/>
      <c r="L766" s="87" t="n"/>
      <c r="M766" s="105" t="n"/>
      <c r="N766" s="106" t="n"/>
    </row>
    <row r="767">
      <c r="J767" s="87" t="n"/>
      <c r="L767" s="87" t="n"/>
      <c r="M767" s="105" t="n"/>
      <c r="N767" s="106" t="n"/>
    </row>
    <row r="768">
      <c r="J768" s="87" t="n"/>
      <c r="L768" s="87" t="n"/>
      <c r="M768" s="105" t="n"/>
      <c r="N768" s="106" t="n"/>
    </row>
    <row r="769">
      <c r="J769" s="87" t="n"/>
      <c r="L769" s="87" t="n"/>
      <c r="M769" s="105" t="n"/>
      <c r="N769" s="106" t="n"/>
    </row>
    <row r="770">
      <c r="J770" s="87" t="n"/>
      <c r="L770" s="87" t="n"/>
      <c r="M770" s="105" t="n"/>
      <c r="N770" s="106" t="n"/>
    </row>
    <row r="771">
      <c r="J771" s="87" t="n"/>
      <c r="L771" s="87" t="n"/>
      <c r="M771" s="105" t="n"/>
      <c r="N771" s="106" t="n"/>
    </row>
    <row r="772">
      <c r="J772" s="87" t="n"/>
      <c r="L772" s="87" t="n"/>
      <c r="M772" s="105" t="n"/>
      <c r="N772" s="106" t="n"/>
    </row>
    <row r="773">
      <c r="J773" s="87" t="n"/>
      <c r="L773" s="87" t="n"/>
      <c r="M773" s="105" t="n"/>
      <c r="N773" s="106" t="n"/>
    </row>
    <row r="774">
      <c r="J774" s="87" t="n"/>
      <c r="L774" s="87" t="n"/>
      <c r="M774" s="105" t="n"/>
      <c r="N774" s="106" t="n"/>
    </row>
    <row r="775">
      <c r="J775" s="87" t="n"/>
      <c r="L775" s="87" t="n"/>
      <c r="M775" s="105" t="n"/>
      <c r="N775" s="106" t="n"/>
    </row>
    <row r="776">
      <c r="J776" s="87" t="n"/>
      <c r="L776" s="87" t="n"/>
      <c r="M776" s="105" t="n"/>
      <c r="N776" s="106" t="n"/>
    </row>
    <row r="777">
      <c r="J777" s="87" t="n"/>
      <c r="L777" s="87" t="n"/>
      <c r="M777" s="105" t="n"/>
      <c r="N777" s="106" t="n"/>
    </row>
    <row r="778">
      <c r="J778" s="87" t="n"/>
      <c r="L778" s="87" t="n"/>
      <c r="M778" s="105" t="n"/>
      <c r="N778" s="106" t="n"/>
    </row>
    <row r="779">
      <c r="J779" s="87" t="n"/>
      <c r="L779" s="87" t="n"/>
      <c r="M779" s="105" t="n"/>
      <c r="N779" s="106" t="n"/>
    </row>
    <row r="780">
      <c r="J780" s="87" t="n"/>
      <c r="L780" s="87" t="n"/>
      <c r="M780" s="105" t="n"/>
      <c r="N780" s="106" t="n"/>
    </row>
    <row r="781">
      <c r="J781" s="87" t="n"/>
      <c r="L781" s="87" t="n"/>
      <c r="M781" s="105" t="n"/>
      <c r="N781" s="106" t="n"/>
    </row>
    <row r="782">
      <c r="J782" s="87" t="n"/>
      <c r="L782" s="87" t="n"/>
      <c r="M782" s="105" t="n"/>
      <c r="N782" s="106" t="n"/>
    </row>
    <row r="783">
      <c r="J783" s="87" t="n"/>
      <c r="L783" s="87" t="n"/>
      <c r="M783" s="105" t="n"/>
      <c r="N783" s="106" t="n"/>
    </row>
    <row r="784">
      <c r="J784" s="87" t="n"/>
      <c r="L784" s="87" t="n"/>
      <c r="M784" s="105" t="n"/>
      <c r="N784" s="106" t="n"/>
    </row>
    <row r="785">
      <c r="J785" s="87" t="n"/>
      <c r="L785" s="87" t="n"/>
      <c r="M785" s="105" t="n"/>
      <c r="N785" s="106" t="n"/>
    </row>
    <row r="786">
      <c r="J786" s="87" t="n"/>
      <c r="L786" s="87" t="n"/>
      <c r="M786" s="105" t="n"/>
      <c r="N786" s="106" t="n"/>
    </row>
    <row r="787">
      <c r="J787" s="87" t="n"/>
      <c r="L787" s="87" t="n"/>
      <c r="M787" s="105" t="n"/>
      <c r="N787" s="106" t="n"/>
    </row>
    <row r="788">
      <c r="J788" s="87" t="n"/>
      <c r="L788" s="87" t="n"/>
      <c r="M788" s="105" t="n"/>
      <c r="N788" s="106" t="n"/>
    </row>
    <row r="789">
      <c r="J789" s="87" t="n"/>
      <c r="L789" s="87" t="n"/>
      <c r="M789" s="105" t="n"/>
      <c r="N789" s="106" t="n"/>
    </row>
    <row r="790">
      <c r="J790" s="87" t="n"/>
      <c r="L790" s="87" t="n"/>
      <c r="M790" s="105" t="n"/>
      <c r="N790" s="106" t="n"/>
    </row>
    <row r="791">
      <c r="J791" s="87" t="n"/>
      <c r="L791" s="87" t="n"/>
      <c r="M791" s="105" t="n"/>
      <c r="N791" s="106" t="n"/>
    </row>
    <row r="792">
      <c r="J792" s="87" t="n"/>
      <c r="L792" s="87" t="n"/>
      <c r="M792" s="105" t="n"/>
      <c r="N792" s="106" t="n"/>
    </row>
    <row r="793">
      <c r="J793" s="87" t="n"/>
      <c r="L793" s="87" t="n"/>
      <c r="M793" s="105" t="n"/>
      <c r="N793" s="106" t="n"/>
    </row>
    <row r="794">
      <c r="J794" s="87" t="n"/>
      <c r="L794" s="87" t="n"/>
      <c r="M794" s="105" t="n"/>
      <c r="N794" s="106" t="n"/>
    </row>
    <row r="795">
      <c r="J795" s="87" t="n"/>
      <c r="L795" s="87" t="n"/>
      <c r="M795" s="105" t="n"/>
      <c r="N795" s="106" t="n"/>
    </row>
    <row r="796">
      <c r="J796" s="87" t="n"/>
      <c r="L796" s="87" t="n"/>
      <c r="M796" s="105" t="n"/>
      <c r="N796" s="106" t="n"/>
    </row>
    <row r="797">
      <c r="J797" s="87" t="n"/>
      <c r="L797" s="87" t="n"/>
      <c r="M797" s="105" t="n"/>
      <c r="N797" s="106" t="n"/>
    </row>
    <row r="798">
      <c r="J798" s="87" t="n"/>
      <c r="L798" s="87" t="n"/>
      <c r="M798" s="105" t="n"/>
      <c r="N798" s="106" t="n"/>
    </row>
    <row r="799">
      <c r="J799" s="87" t="n"/>
      <c r="L799" s="87" t="n"/>
      <c r="M799" s="105" t="n"/>
      <c r="N799" s="106" t="n"/>
    </row>
    <row r="800">
      <c r="J800" s="87" t="n"/>
      <c r="L800" s="87" t="n"/>
      <c r="M800" s="105" t="n"/>
      <c r="N800" s="106" t="n"/>
    </row>
    <row r="801">
      <c r="J801" s="87" t="n"/>
      <c r="L801" s="87" t="n"/>
      <c r="M801" s="105" t="n"/>
      <c r="N801" s="106" t="n"/>
    </row>
    <row r="802">
      <c r="J802" s="87" t="n"/>
      <c r="L802" s="87" t="n"/>
      <c r="M802" s="105" t="n"/>
      <c r="N802" s="106" t="n"/>
    </row>
    <row r="803">
      <c r="J803" s="87" t="n"/>
      <c r="L803" s="87" t="n"/>
      <c r="M803" s="105" t="n"/>
      <c r="N803" s="106" t="n"/>
    </row>
    <row r="804">
      <c r="J804" s="87" t="n"/>
      <c r="L804" s="87" t="n"/>
      <c r="M804" s="105" t="n"/>
      <c r="N804" s="106" t="n"/>
    </row>
    <row r="805">
      <c r="J805" s="87" t="n"/>
      <c r="L805" s="87" t="n"/>
      <c r="M805" s="105" t="n"/>
      <c r="N805" s="106" t="n"/>
    </row>
    <row r="806">
      <c r="J806" s="87" t="n"/>
      <c r="L806" s="87" t="n"/>
      <c r="M806" s="105" t="n"/>
      <c r="N806" s="106" t="n"/>
    </row>
    <row r="807">
      <c r="J807" s="87" t="n"/>
      <c r="L807" s="87" t="n"/>
      <c r="M807" s="105" t="n"/>
      <c r="N807" s="106" t="n"/>
    </row>
    <row r="808">
      <c r="J808" s="87" t="n"/>
      <c r="L808" s="87" t="n"/>
      <c r="M808" s="105" t="n"/>
      <c r="N808" s="106" t="n"/>
    </row>
    <row r="809">
      <c r="J809" s="87" t="n"/>
      <c r="L809" s="87" t="n"/>
      <c r="M809" s="105" t="n"/>
      <c r="N809" s="106" t="n"/>
    </row>
    <row r="810">
      <c r="J810" s="87" t="n"/>
      <c r="L810" s="87" t="n"/>
      <c r="M810" s="105" t="n"/>
      <c r="N810" s="106" t="n"/>
    </row>
    <row r="811">
      <c r="J811" s="87" t="n"/>
      <c r="L811" s="87" t="n"/>
      <c r="M811" s="105" t="n"/>
      <c r="N811" s="106" t="n"/>
    </row>
    <row r="812">
      <c r="J812" s="87" t="n"/>
      <c r="L812" s="87" t="n"/>
      <c r="M812" s="105" t="n"/>
      <c r="N812" s="106" t="n"/>
    </row>
    <row r="813">
      <c r="J813" s="87" t="n"/>
      <c r="L813" s="87" t="n"/>
      <c r="M813" s="105" t="n"/>
      <c r="N813" s="106" t="n"/>
    </row>
    <row r="814">
      <c r="J814" s="87" t="n"/>
      <c r="L814" s="87" t="n"/>
      <c r="M814" s="105" t="n"/>
      <c r="N814" s="106" t="n"/>
    </row>
    <row r="815">
      <c r="J815" s="87" t="n"/>
      <c r="L815" s="87" t="n"/>
      <c r="M815" s="105" t="n"/>
      <c r="N815" s="106" t="n"/>
    </row>
    <row r="816">
      <c r="J816" s="87" t="n"/>
      <c r="L816" s="87" t="n"/>
      <c r="M816" s="105" t="n"/>
      <c r="N816" s="106" t="n"/>
    </row>
    <row r="817">
      <c r="J817" s="87" t="n"/>
      <c r="L817" s="87" t="n"/>
      <c r="M817" s="105" t="n"/>
      <c r="N817" s="106" t="n"/>
    </row>
    <row r="818">
      <c r="J818" s="87" t="n"/>
      <c r="L818" s="87" t="n"/>
      <c r="M818" s="105" t="n"/>
      <c r="N818" s="106" t="n"/>
    </row>
    <row r="819">
      <c r="J819" s="87" t="n"/>
      <c r="L819" s="87" t="n"/>
      <c r="M819" s="105" t="n"/>
      <c r="N819" s="106" t="n"/>
    </row>
    <row r="820">
      <c r="J820" s="87" t="n"/>
      <c r="L820" s="87" t="n"/>
      <c r="M820" s="105" t="n"/>
      <c r="N820" s="106" t="n"/>
    </row>
    <row r="821">
      <c r="J821" s="87" t="n"/>
      <c r="L821" s="87" t="n"/>
      <c r="M821" s="105" t="n"/>
      <c r="N821" s="106" t="n"/>
    </row>
    <row r="822">
      <c r="J822" s="87" t="n"/>
      <c r="L822" s="87" t="n"/>
      <c r="M822" s="105" t="n"/>
      <c r="N822" s="106" t="n"/>
    </row>
    <row r="823">
      <c r="J823" s="87" t="n"/>
      <c r="L823" s="87" t="n"/>
      <c r="M823" s="105" t="n"/>
      <c r="N823" s="106" t="n"/>
    </row>
    <row r="824">
      <c r="J824" s="87" t="n"/>
      <c r="L824" s="87" t="n"/>
      <c r="M824" s="105" t="n"/>
      <c r="N824" s="106" t="n"/>
    </row>
    <row r="825">
      <c r="J825" s="87" t="n"/>
      <c r="L825" s="87" t="n"/>
      <c r="M825" s="105" t="n"/>
      <c r="N825" s="106" t="n"/>
    </row>
    <row r="826">
      <c r="J826" s="87" t="n"/>
      <c r="L826" s="87" t="n"/>
      <c r="M826" s="105" t="n"/>
      <c r="N826" s="106" t="n"/>
    </row>
    <row r="827">
      <c r="J827" s="87" t="n"/>
      <c r="L827" s="87" t="n"/>
      <c r="M827" s="105" t="n"/>
      <c r="N827" s="106" t="n"/>
    </row>
    <row r="828">
      <c r="J828" s="87" t="n"/>
      <c r="L828" s="87" t="n"/>
      <c r="M828" s="105" t="n"/>
      <c r="N828" s="106" t="n"/>
    </row>
    <row r="829">
      <c r="J829" s="87" t="n"/>
      <c r="L829" s="87" t="n"/>
      <c r="M829" s="105" t="n"/>
      <c r="N829" s="106" t="n"/>
    </row>
    <row r="830">
      <c r="J830" s="87" t="n"/>
      <c r="L830" s="87" t="n"/>
      <c r="M830" s="105" t="n"/>
      <c r="N830" s="106" t="n"/>
    </row>
    <row r="831">
      <c r="J831" s="87" t="n"/>
      <c r="L831" s="87" t="n"/>
      <c r="M831" s="105" t="n"/>
      <c r="N831" s="106" t="n"/>
    </row>
    <row r="832">
      <c r="J832" s="87" t="n"/>
      <c r="L832" s="87" t="n"/>
      <c r="M832" s="105" t="n"/>
      <c r="N832" s="106" t="n"/>
    </row>
    <row r="833">
      <c r="J833" s="87" t="n"/>
      <c r="L833" s="87" t="n"/>
      <c r="M833" s="105" t="n"/>
      <c r="N833" s="106" t="n"/>
    </row>
    <row r="834">
      <c r="J834" s="87" t="n"/>
      <c r="L834" s="87" t="n"/>
      <c r="M834" s="105" t="n"/>
      <c r="N834" s="106" t="n"/>
    </row>
    <row r="835">
      <c r="J835" s="87" t="n"/>
      <c r="L835" s="87" t="n"/>
      <c r="M835" s="105" t="n"/>
      <c r="N835" s="106" t="n"/>
    </row>
    <row r="836">
      <c r="J836" s="87" t="n"/>
      <c r="L836" s="87" t="n"/>
      <c r="M836" s="105" t="n"/>
      <c r="N836" s="106" t="n"/>
    </row>
    <row r="837">
      <c r="J837" s="87" t="n"/>
      <c r="L837" s="87" t="n"/>
      <c r="M837" s="105" t="n"/>
      <c r="N837" s="106" t="n"/>
    </row>
    <row r="838">
      <c r="J838" s="87" t="n"/>
      <c r="L838" s="87" t="n"/>
      <c r="M838" s="105" t="n"/>
      <c r="N838" s="106" t="n"/>
    </row>
    <row r="839">
      <c r="J839" s="87" t="n"/>
      <c r="L839" s="87" t="n"/>
      <c r="M839" s="105" t="n"/>
      <c r="N839" s="106" t="n"/>
    </row>
    <row r="840">
      <c r="J840" s="87" t="n"/>
      <c r="L840" s="87" t="n"/>
      <c r="M840" s="105" t="n"/>
      <c r="N840" s="106" t="n"/>
    </row>
    <row r="841">
      <c r="J841" s="87" t="n"/>
      <c r="L841" s="87" t="n"/>
      <c r="M841" s="105" t="n"/>
      <c r="N841" s="106" t="n"/>
    </row>
    <row r="842">
      <c r="J842" s="87" t="n"/>
      <c r="L842" s="87" t="n"/>
      <c r="M842" s="105" t="n"/>
      <c r="N842" s="106" t="n"/>
    </row>
    <row r="843">
      <c r="J843" s="87" t="n"/>
      <c r="L843" s="87" t="n"/>
      <c r="M843" s="105" t="n"/>
      <c r="N843" s="106" t="n"/>
    </row>
    <row r="844">
      <c r="J844" s="87" t="n"/>
      <c r="L844" s="87" t="n"/>
      <c r="M844" s="105" t="n"/>
      <c r="N844" s="106" t="n"/>
    </row>
    <row r="845">
      <c r="J845" s="87" t="n"/>
      <c r="L845" s="87" t="n"/>
      <c r="M845" s="105" t="n"/>
      <c r="N845" s="106" t="n"/>
    </row>
    <row r="846">
      <c r="J846" s="87" t="n"/>
      <c r="L846" s="87" t="n"/>
      <c r="M846" s="105" t="n"/>
      <c r="N846" s="106" t="n"/>
    </row>
    <row r="847">
      <c r="J847" s="87" t="n"/>
      <c r="L847" s="87" t="n"/>
      <c r="M847" s="105" t="n"/>
      <c r="N847" s="106" t="n"/>
    </row>
    <row r="848">
      <c r="J848" s="87" t="n"/>
      <c r="L848" s="87" t="n"/>
      <c r="M848" s="105" t="n"/>
      <c r="N848" s="106" t="n"/>
    </row>
    <row r="849">
      <c r="J849" s="87" t="n"/>
      <c r="L849" s="87" t="n"/>
      <c r="M849" s="105" t="n"/>
      <c r="N849" s="106" t="n"/>
    </row>
    <row r="850">
      <c r="J850" s="87" t="n"/>
      <c r="L850" s="87" t="n"/>
      <c r="M850" s="105" t="n"/>
      <c r="N850" s="106" t="n"/>
    </row>
    <row r="851">
      <c r="J851" s="87" t="n"/>
      <c r="L851" s="87" t="n"/>
      <c r="M851" s="105" t="n"/>
      <c r="N851" s="106" t="n"/>
    </row>
    <row r="852">
      <c r="J852" s="87" t="n"/>
      <c r="L852" s="87" t="n"/>
      <c r="M852" s="105" t="n"/>
      <c r="N852" s="106" t="n"/>
    </row>
    <row r="853">
      <c r="J853" s="87" t="n"/>
      <c r="L853" s="87" t="n"/>
      <c r="M853" s="105" t="n"/>
      <c r="N853" s="106" t="n"/>
    </row>
    <row r="854">
      <c r="J854" s="87" t="n"/>
      <c r="L854" s="87" t="n"/>
      <c r="M854" s="105" t="n"/>
      <c r="N854" s="106" t="n"/>
    </row>
    <row r="855">
      <c r="J855" s="87" t="n"/>
      <c r="L855" s="87" t="n"/>
      <c r="M855" s="105" t="n"/>
      <c r="N855" s="106" t="n"/>
    </row>
    <row r="856">
      <c r="J856" s="87" t="n"/>
      <c r="L856" s="87" t="n"/>
      <c r="M856" s="105" t="n"/>
      <c r="N856" s="106" t="n"/>
    </row>
    <row r="857">
      <c r="J857" s="87" t="n"/>
      <c r="L857" s="87" t="n"/>
      <c r="M857" s="105" t="n"/>
      <c r="N857" s="106" t="n"/>
    </row>
    <row r="858">
      <c r="J858" s="87" t="n"/>
      <c r="L858" s="87" t="n"/>
      <c r="M858" s="105" t="n"/>
      <c r="N858" s="106" t="n"/>
    </row>
    <row r="859">
      <c r="J859" s="87" t="n"/>
      <c r="L859" s="87" t="n"/>
      <c r="M859" s="105" t="n"/>
      <c r="N859" s="106" t="n"/>
    </row>
    <row r="860">
      <c r="J860" s="87" t="n"/>
      <c r="L860" s="87" t="n"/>
      <c r="M860" s="105" t="n"/>
      <c r="N860" s="106" t="n"/>
    </row>
    <row r="861">
      <c r="J861" s="87" t="n"/>
      <c r="L861" s="87" t="n"/>
      <c r="M861" s="105" t="n"/>
      <c r="N861" s="106" t="n"/>
    </row>
    <row r="862">
      <c r="J862" s="87" t="n"/>
      <c r="L862" s="87" t="n"/>
      <c r="M862" s="105" t="n"/>
      <c r="N862" s="106" t="n"/>
    </row>
    <row r="863">
      <c r="J863" s="87" t="n"/>
      <c r="L863" s="87" t="n"/>
      <c r="M863" s="105" t="n"/>
      <c r="N863" s="106" t="n"/>
    </row>
    <row r="864">
      <c r="J864" s="87" t="n"/>
      <c r="L864" s="87" t="n"/>
      <c r="M864" s="105" t="n"/>
      <c r="N864" s="106" t="n"/>
    </row>
    <row r="865">
      <c r="J865" s="87" t="n"/>
      <c r="L865" s="87" t="n"/>
      <c r="M865" s="105" t="n"/>
      <c r="N865" s="106" t="n"/>
    </row>
    <row r="866">
      <c r="J866" s="87" t="n"/>
      <c r="L866" s="87" t="n"/>
      <c r="M866" s="105" t="n"/>
      <c r="N866" s="106" t="n"/>
    </row>
    <row r="867">
      <c r="J867" s="87" t="n"/>
      <c r="L867" s="87" t="n"/>
      <c r="M867" s="105" t="n"/>
      <c r="N867" s="106" t="n"/>
    </row>
    <row r="868">
      <c r="J868" s="87" t="n"/>
      <c r="L868" s="87" t="n"/>
      <c r="M868" s="105" t="n"/>
      <c r="N868" s="106" t="n"/>
    </row>
    <row r="869">
      <c r="J869" s="87" t="n"/>
      <c r="L869" s="87" t="n"/>
      <c r="M869" s="105" t="n"/>
      <c r="N869" s="106" t="n"/>
    </row>
    <row r="870">
      <c r="J870" s="87" t="n"/>
      <c r="L870" s="87" t="n"/>
      <c r="M870" s="105" t="n"/>
      <c r="N870" s="106" t="n"/>
    </row>
    <row r="871">
      <c r="J871" s="87" t="n"/>
      <c r="L871" s="87" t="n"/>
      <c r="M871" s="105" t="n"/>
      <c r="N871" s="106" t="n"/>
    </row>
    <row r="872">
      <c r="J872" s="87" t="n"/>
      <c r="L872" s="87" t="n"/>
      <c r="M872" s="105" t="n"/>
      <c r="N872" s="106" t="n"/>
    </row>
    <row r="873">
      <c r="J873" s="87" t="n"/>
      <c r="L873" s="87" t="n"/>
      <c r="M873" s="105" t="n"/>
      <c r="N873" s="106" t="n"/>
    </row>
    <row r="874">
      <c r="J874" s="87" t="n"/>
      <c r="L874" s="87" t="n"/>
      <c r="M874" s="105" t="n"/>
      <c r="N874" s="106" t="n"/>
    </row>
    <row r="875">
      <c r="J875" s="87" t="n"/>
      <c r="L875" s="87" t="n"/>
      <c r="M875" s="105" t="n"/>
      <c r="N875" s="106" t="n"/>
    </row>
    <row r="876">
      <c r="J876" s="87" t="n"/>
      <c r="L876" s="87" t="n"/>
      <c r="M876" s="105" t="n"/>
      <c r="N876" s="106" t="n"/>
    </row>
    <row r="877">
      <c r="J877" s="87" t="n"/>
      <c r="L877" s="87" t="n"/>
      <c r="M877" s="105" t="n"/>
      <c r="N877" s="106" t="n"/>
    </row>
    <row r="878">
      <c r="J878" s="87" t="n"/>
      <c r="L878" s="87" t="n"/>
      <c r="M878" s="105" t="n"/>
      <c r="N878" s="106" t="n"/>
    </row>
    <row r="879">
      <c r="J879" s="87" t="n"/>
      <c r="L879" s="87" t="n"/>
      <c r="M879" s="105" t="n"/>
      <c r="N879" s="106" t="n"/>
    </row>
    <row r="880">
      <c r="J880" s="87" t="n"/>
      <c r="L880" s="87" t="n"/>
      <c r="M880" s="105" t="n"/>
      <c r="N880" s="106" t="n"/>
    </row>
    <row r="881">
      <c r="J881" s="87" t="n"/>
      <c r="L881" s="87" t="n"/>
      <c r="M881" s="105" t="n"/>
      <c r="N881" s="106" t="n"/>
    </row>
    <row r="882">
      <c r="J882" s="87" t="n"/>
      <c r="L882" s="87" t="n"/>
      <c r="M882" s="105" t="n"/>
      <c r="N882" s="106" t="n"/>
    </row>
    <row r="883">
      <c r="J883" s="87" t="n"/>
      <c r="L883" s="87" t="n"/>
      <c r="M883" s="105" t="n"/>
      <c r="N883" s="106" t="n"/>
    </row>
    <row r="884">
      <c r="J884" s="87" t="n"/>
      <c r="L884" s="87" t="n"/>
      <c r="M884" s="105" t="n"/>
      <c r="N884" s="106" t="n"/>
    </row>
    <row r="885">
      <c r="J885" s="87" t="n"/>
      <c r="L885" s="87" t="n"/>
      <c r="M885" s="105" t="n"/>
      <c r="N885" s="106" t="n"/>
    </row>
    <row r="886">
      <c r="J886" s="87" t="n"/>
      <c r="L886" s="87" t="n"/>
      <c r="M886" s="105" t="n"/>
      <c r="N886" s="106" t="n"/>
    </row>
    <row r="887">
      <c r="J887" s="87" t="n"/>
      <c r="L887" s="87" t="n"/>
      <c r="M887" s="105" t="n"/>
      <c r="N887" s="106" t="n"/>
    </row>
    <row r="888">
      <c r="J888" s="87" t="n"/>
      <c r="L888" s="87" t="n"/>
      <c r="M888" s="105" t="n"/>
      <c r="N888" s="106" t="n"/>
    </row>
    <row r="889">
      <c r="J889" s="87" t="n"/>
      <c r="L889" s="87" t="n"/>
      <c r="M889" s="105" t="n"/>
      <c r="N889" s="106" t="n"/>
    </row>
    <row r="890">
      <c r="J890" s="87" t="n"/>
      <c r="L890" s="87" t="n"/>
      <c r="M890" s="105" t="n"/>
      <c r="N890" s="106" t="n"/>
    </row>
    <row r="891">
      <c r="J891" s="87" t="n"/>
      <c r="L891" s="87" t="n"/>
      <c r="M891" s="105" t="n"/>
      <c r="N891" s="106" t="n"/>
    </row>
    <row r="892">
      <c r="J892" s="87" t="n"/>
      <c r="L892" s="87" t="n"/>
      <c r="M892" s="105" t="n"/>
      <c r="N892" s="106" t="n"/>
    </row>
    <row r="893">
      <c r="J893" s="87" t="n"/>
      <c r="L893" s="87" t="n"/>
      <c r="M893" s="105" t="n"/>
      <c r="N893" s="106" t="n"/>
    </row>
    <row r="894">
      <c r="J894" s="87" t="n"/>
      <c r="L894" s="87" t="n"/>
      <c r="M894" s="105" t="n"/>
      <c r="N894" s="106" t="n"/>
    </row>
    <row r="895">
      <c r="J895" s="87" t="n"/>
      <c r="L895" s="87" t="n"/>
      <c r="M895" s="105" t="n"/>
      <c r="N895" s="106" t="n"/>
    </row>
    <row r="896">
      <c r="J896" s="87" t="n"/>
      <c r="L896" s="87" t="n"/>
      <c r="M896" s="105" t="n"/>
      <c r="N896" s="106" t="n"/>
    </row>
    <row r="897">
      <c r="J897" s="87" t="n"/>
      <c r="L897" s="87" t="n"/>
      <c r="M897" s="105" t="n"/>
      <c r="N897" s="106" t="n"/>
    </row>
    <row r="898">
      <c r="J898" s="87" t="n"/>
      <c r="L898" s="87" t="n"/>
      <c r="M898" s="105" t="n"/>
      <c r="N898" s="106" t="n"/>
    </row>
    <row r="899">
      <c r="J899" s="87" t="n"/>
      <c r="L899" s="87" t="n"/>
      <c r="M899" s="105" t="n"/>
      <c r="N899" s="106" t="n"/>
    </row>
    <row r="900">
      <c r="J900" s="87" t="n"/>
      <c r="L900" s="87" t="n"/>
      <c r="M900" s="105" t="n"/>
      <c r="N900" s="106" t="n"/>
    </row>
    <row r="901">
      <c r="J901" s="87" t="n"/>
      <c r="L901" s="87" t="n"/>
      <c r="M901" s="105" t="n"/>
      <c r="N901" s="106" t="n"/>
    </row>
    <row r="902">
      <c r="J902" s="87" t="n"/>
      <c r="L902" s="87" t="n"/>
      <c r="M902" s="105" t="n"/>
      <c r="N902" s="106" t="n"/>
    </row>
    <row r="903">
      <c r="J903" s="87" t="n"/>
      <c r="L903" s="87" t="n"/>
      <c r="M903" s="105" t="n"/>
      <c r="N903" s="106" t="n"/>
    </row>
    <row r="904">
      <c r="J904" s="87" t="n"/>
      <c r="L904" s="87" t="n"/>
      <c r="M904" s="105" t="n"/>
      <c r="N904" s="106" t="n"/>
    </row>
    <row r="905">
      <c r="J905" s="87" t="n"/>
      <c r="L905" s="87" t="n"/>
      <c r="M905" s="105" t="n"/>
      <c r="N905" s="106" t="n"/>
    </row>
    <row r="906">
      <c r="J906" s="87" t="n"/>
      <c r="L906" s="87" t="n"/>
      <c r="M906" s="105" t="n"/>
      <c r="N906" s="106" t="n"/>
    </row>
    <row r="907">
      <c r="J907" s="87" t="n"/>
      <c r="L907" s="87" t="n"/>
      <c r="M907" s="105" t="n"/>
      <c r="N907" s="106" t="n"/>
    </row>
    <row r="908">
      <c r="J908" s="87" t="n"/>
      <c r="L908" s="87" t="n"/>
      <c r="M908" s="105" t="n"/>
      <c r="N908" s="106" t="n"/>
    </row>
    <row r="909">
      <c r="J909" s="87" t="n"/>
      <c r="L909" s="87" t="n"/>
      <c r="M909" s="105" t="n"/>
      <c r="N909" s="106" t="n"/>
    </row>
    <row r="910">
      <c r="J910" s="87" t="n"/>
      <c r="L910" s="87" t="n"/>
      <c r="M910" s="105" t="n"/>
      <c r="N910" s="106" t="n"/>
    </row>
    <row r="911">
      <c r="J911" s="87" t="n"/>
      <c r="L911" s="87" t="n"/>
      <c r="M911" s="105" t="n"/>
      <c r="N911" s="106" t="n"/>
    </row>
    <row r="912">
      <c r="J912" s="87" t="n"/>
      <c r="L912" s="87" t="n"/>
      <c r="M912" s="105" t="n"/>
      <c r="N912" s="106" t="n"/>
    </row>
    <row r="913">
      <c r="J913" s="87" t="n"/>
      <c r="L913" s="87" t="n"/>
      <c r="M913" s="105" t="n"/>
      <c r="N913" s="106" t="n"/>
    </row>
    <row r="914">
      <c r="J914" s="87" t="n"/>
      <c r="L914" s="87" t="n"/>
      <c r="M914" s="105" t="n"/>
      <c r="N914" s="106" t="n"/>
    </row>
    <row r="915">
      <c r="J915" s="87" t="n"/>
      <c r="L915" s="87" t="n"/>
      <c r="M915" s="105" t="n"/>
      <c r="N915" s="106" t="n"/>
    </row>
    <row r="916">
      <c r="J916" s="87" t="n"/>
      <c r="L916" s="87" t="n"/>
      <c r="M916" s="105" t="n"/>
      <c r="N916" s="106" t="n"/>
    </row>
    <row r="917">
      <c r="J917" s="87" t="n"/>
      <c r="L917" s="87" t="n"/>
      <c r="M917" s="105" t="n"/>
      <c r="N917" s="106" t="n"/>
    </row>
    <row r="918">
      <c r="J918" s="87" t="n"/>
      <c r="L918" s="87" t="n"/>
      <c r="M918" s="105" t="n"/>
      <c r="N918" s="106" t="n"/>
    </row>
    <row r="919">
      <c r="J919" s="87" t="n"/>
      <c r="L919" s="87" t="n"/>
      <c r="M919" s="105" t="n"/>
      <c r="N919" s="106" t="n"/>
    </row>
    <row r="920">
      <c r="J920" s="87" t="n"/>
      <c r="L920" s="87" t="n"/>
      <c r="M920" s="105" t="n"/>
      <c r="N920" s="106" t="n"/>
    </row>
    <row r="921">
      <c r="J921" s="87" t="n"/>
      <c r="L921" s="87" t="n"/>
      <c r="M921" s="105" t="n"/>
      <c r="N921" s="106" t="n"/>
    </row>
    <row r="922">
      <c r="J922" s="87" t="n"/>
      <c r="L922" s="87" t="n"/>
      <c r="M922" s="105" t="n"/>
      <c r="N922" s="106" t="n"/>
    </row>
    <row r="923">
      <c r="J923" s="87" t="n"/>
      <c r="L923" s="87" t="n"/>
      <c r="M923" s="105" t="n"/>
      <c r="N923" s="106" t="n"/>
    </row>
    <row r="924">
      <c r="J924" s="87" t="n"/>
      <c r="L924" s="87" t="n"/>
      <c r="M924" s="105" t="n"/>
      <c r="N924" s="106" t="n"/>
    </row>
    <row r="925">
      <c r="J925" s="87" t="n"/>
      <c r="L925" s="87" t="n"/>
      <c r="M925" s="105" t="n"/>
      <c r="N925" s="106" t="n"/>
    </row>
    <row r="926">
      <c r="J926" s="87" t="n"/>
      <c r="L926" s="87" t="n"/>
      <c r="M926" s="105" t="n"/>
      <c r="N926" s="106" t="n"/>
    </row>
    <row r="927">
      <c r="J927" s="87" t="n"/>
      <c r="L927" s="87" t="n"/>
      <c r="M927" s="105" t="n"/>
      <c r="N927" s="106" t="n"/>
    </row>
    <row r="928">
      <c r="J928" s="87" t="n"/>
      <c r="L928" s="87" t="n"/>
      <c r="M928" s="105" t="n"/>
      <c r="N928" s="106" t="n"/>
    </row>
    <row r="929">
      <c r="J929" s="87" t="n"/>
      <c r="L929" s="87" t="n"/>
      <c r="M929" s="105" t="n"/>
      <c r="N929" s="106" t="n"/>
    </row>
    <row r="930">
      <c r="J930" s="87" t="n"/>
      <c r="L930" s="87" t="n"/>
      <c r="M930" s="105" t="n"/>
      <c r="N930" s="106" t="n"/>
    </row>
    <row r="931">
      <c r="J931" s="87" t="n"/>
      <c r="L931" s="87" t="n"/>
      <c r="M931" s="105" t="n"/>
      <c r="N931" s="106" t="n"/>
    </row>
    <row r="932">
      <c r="J932" s="87" t="n"/>
      <c r="L932" s="87" t="n"/>
      <c r="M932" s="105" t="n"/>
      <c r="N932" s="106" t="n"/>
    </row>
    <row r="933">
      <c r="J933" s="87" t="n"/>
      <c r="L933" s="87" t="n"/>
      <c r="M933" s="105" t="n"/>
      <c r="N933" s="106" t="n"/>
    </row>
    <row r="934">
      <c r="J934" s="87" t="n"/>
      <c r="L934" s="87" t="n"/>
      <c r="M934" s="105" t="n"/>
      <c r="N934" s="106" t="n"/>
    </row>
    <row r="935">
      <c r="J935" s="87" t="n"/>
      <c r="L935" s="87" t="n"/>
      <c r="M935" s="105" t="n"/>
      <c r="N935" s="106" t="n"/>
    </row>
    <row r="936">
      <c r="J936" s="87" t="n"/>
      <c r="L936" s="87" t="n"/>
      <c r="M936" s="105" t="n"/>
      <c r="N936" s="106" t="n"/>
    </row>
    <row r="937">
      <c r="J937" s="87" t="n"/>
      <c r="L937" s="87" t="n"/>
      <c r="M937" s="105" t="n"/>
      <c r="N937" s="106" t="n"/>
    </row>
    <row r="938">
      <c r="J938" s="87" t="n"/>
      <c r="L938" s="87" t="n"/>
      <c r="M938" s="105" t="n"/>
      <c r="N938" s="106" t="n"/>
    </row>
    <row r="939">
      <c r="J939" s="87" t="n"/>
      <c r="L939" s="87" t="n"/>
      <c r="M939" s="105" t="n"/>
      <c r="N939" s="106" t="n"/>
    </row>
    <row r="940">
      <c r="J940" s="87" t="n"/>
      <c r="L940" s="87" t="n"/>
      <c r="M940" s="105" t="n"/>
      <c r="N940" s="106" t="n"/>
    </row>
    <row r="941">
      <c r="J941" s="87" t="n"/>
      <c r="L941" s="87" t="n"/>
      <c r="M941" s="105" t="n"/>
      <c r="N941" s="106" t="n"/>
    </row>
    <row r="942">
      <c r="J942" s="87" t="n"/>
      <c r="L942" s="87" t="n"/>
      <c r="M942" s="105" t="n"/>
      <c r="N942" s="106" t="n"/>
    </row>
    <row r="943">
      <c r="J943" s="87" t="n"/>
      <c r="L943" s="87" t="n"/>
      <c r="M943" s="105" t="n"/>
      <c r="N943" s="106" t="n"/>
    </row>
    <row r="944">
      <c r="J944" s="87" t="n"/>
      <c r="L944" s="87" t="n"/>
      <c r="M944" s="105" t="n"/>
      <c r="N944" s="106" t="n"/>
    </row>
    <row r="945">
      <c r="J945" s="87" t="n"/>
      <c r="L945" s="87" t="n"/>
      <c r="M945" s="105" t="n"/>
      <c r="N945" s="106" t="n"/>
    </row>
    <row r="946">
      <c r="J946" s="87" t="n"/>
      <c r="L946" s="87" t="n"/>
      <c r="M946" s="105" t="n"/>
      <c r="N946" s="106" t="n"/>
    </row>
    <row r="947">
      <c r="J947" s="87" t="n"/>
      <c r="L947" s="87" t="n"/>
      <c r="M947" s="105" t="n"/>
      <c r="N947" s="106" t="n"/>
    </row>
    <row r="948">
      <c r="J948" s="87" t="n"/>
      <c r="L948" s="87" t="n"/>
      <c r="M948" s="105" t="n"/>
      <c r="N948" s="106" t="n"/>
    </row>
    <row r="949">
      <c r="J949" s="87" t="n"/>
      <c r="L949" s="87" t="n"/>
      <c r="M949" s="105" t="n"/>
      <c r="N949" s="106" t="n"/>
    </row>
    <row r="950">
      <c r="J950" s="87" t="n"/>
      <c r="L950" s="87" t="n"/>
      <c r="M950" s="105" t="n"/>
      <c r="N950" s="106" t="n"/>
    </row>
    <row r="951">
      <c r="J951" s="87" t="n"/>
      <c r="L951" s="87" t="n"/>
      <c r="M951" s="105" t="n"/>
      <c r="N951" s="106" t="n"/>
    </row>
    <row r="952">
      <c r="J952" s="87" t="n"/>
      <c r="L952" s="87" t="n"/>
      <c r="M952" s="105" t="n"/>
      <c r="N952" s="106" t="n"/>
    </row>
    <row r="953">
      <c r="J953" s="87" t="n"/>
      <c r="L953" s="87" t="n"/>
      <c r="M953" s="105" t="n"/>
      <c r="N953" s="106" t="n"/>
    </row>
    <row r="954">
      <c r="J954" s="87" t="n"/>
      <c r="L954" s="87" t="n"/>
      <c r="M954" s="105" t="n"/>
      <c r="N954" s="106" t="n"/>
    </row>
    <row r="955">
      <c r="J955" s="87" t="n"/>
      <c r="L955" s="87" t="n"/>
      <c r="M955" s="105" t="n"/>
      <c r="N955" s="106" t="n"/>
    </row>
    <row r="956">
      <c r="J956" s="87" t="n"/>
      <c r="L956" s="87" t="n"/>
      <c r="M956" s="105" t="n"/>
      <c r="N956" s="106" t="n"/>
    </row>
    <row r="957">
      <c r="J957" s="87" t="n"/>
      <c r="L957" s="87" t="n"/>
      <c r="M957" s="105" t="n"/>
      <c r="N957" s="106" t="n"/>
    </row>
    <row r="958">
      <c r="J958" s="87" t="n"/>
      <c r="L958" s="87" t="n"/>
      <c r="M958" s="105" t="n"/>
      <c r="N958" s="106" t="n"/>
    </row>
    <row r="959">
      <c r="J959" s="87" t="n"/>
      <c r="L959" s="87" t="n"/>
      <c r="M959" s="105" t="n"/>
      <c r="N959" s="106" t="n"/>
    </row>
    <row r="960">
      <c r="J960" s="87" t="n"/>
      <c r="L960" s="87" t="n"/>
      <c r="M960" s="105" t="n"/>
      <c r="N960" s="106" t="n"/>
    </row>
    <row r="961">
      <c r="J961" s="87" t="n"/>
      <c r="L961" s="87" t="n"/>
      <c r="M961" s="105" t="n"/>
      <c r="N961" s="106" t="n"/>
    </row>
    <row r="962">
      <c r="J962" s="87" t="n"/>
      <c r="L962" s="87" t="n"/>
      <c r="M962" s="105" t="n"/>
      <c r="N962" s="106" t="n"/>
    </row>
    <row r="963">
      <c r="J963" s="87" t="n"/>
      <c r="L963" s="87" t="n"/>
      <c r="M963" s="105" t="n"/>
      <c r="N963" s="106" t="n"/>
    </row>
    <row r="964">
      <c r="J964" s="87" t="n"/>
      <c r="L964" s="87" t="n"/>
      <c r="M964" s="105" t="n"/>
      <c r="N964" s="106" t="n"/>
    </row>
    <row r="965">
      <c r="J965" s="87" t="n"/>
      <c r="L965" s="87" t="n"/>
      <c r="M965" s="105" t="n"/>
      <c r="N965" s="106" t="n"/>
    </row>
    <row r="966">
      <c r="J966" s="87" t="n"/>
      <c r="L966" s="87" t="n"/>
      <c r="M966" s="105" t="n"/>
      <c r="N966" s="106" t="n"/>
    </row>
    <row r="967">
      <c r="J967" s="87" t="n"/>
      <c r="L967" s="87" t="n"/>
      <c r="M967" s="105" t="n"/>
      <c r="N967" s="106" t="n"/>
    </row>
    <row r="968">
      <c r="J968" s="87" t="n"/>
      <c r="L968" s="87" t="n"/>
      <c r="M968" s="105" t="n"/>
      <c r="N968" s="106" t="n"/>
    </row>
    <row r="969">
      <c r="J969" s="87" t="n"/>
      <c r="L969" s="87" t="n"/>
      <c r="M969" s="105" t="n"/>
      <c r="N969" s="106" t="n"/>
    </row>
    <row r="970">
      <c r="J970" s="87" t="n"/>
      <c r="L970" s="87" t="n"/>
      <c r="M970" s="105" t="n"/>
      <c r="N970" s="106" t="n"/>
    </row>
    <row r="971">
      <c r="J971" s="87" t="n"/>
      <c r="L971" s="87" t="n"/>
      <c r="M971" s="105" t="n"/>
      <c r="N971" s="106" t="n"/>
    </row>
    <row r="972">
      <c r="J972" s="87" t="n"/>
      <c r="L972" s="87" t="n"/>
      <c r="M972" s="105" t="n"/>
      <c r="N972" s="106" t="n"/>
    </row>
    <row r="973">
      <c r="J973" s="87" t="n"/>
      <c r="L973" s="87" t="n"/>
      <c r="M973" s="105" t="n"/>
      <c r="N973" s="106" t="n"/>
    </row>
    <row r="974">
      <c r="J974" s="87" t="n"/>
      <c r="L974" s="87" t="n"/>
      <c r="M974" s="105" t="n"/>
      <c r="N974" s="106" t="n"/>
    </row>
    <row r="975">
      <c r="J975" s="87" t="n"/>
      <c r="L975" s="87" t="n"/>
      <c r="M975" s="105" t="n"/>
      <c r="N975" s="106" t="n"/>
    </row>
    <row r="976">
      <c r="J976" s="87" t="n"/>
      <c r="L976" s="87" t="n"/>
      <c r="M976" s="105" t="n"/>
      <c r="N976" s="106" t="n"/>
    </row>
    <row r="977">
      <c r="J977" s="87" t="n"/>
      <c r="L977" s="87" t="n"/>
      <c r="M977" s="105" t="n"/>
      <c r="N977" s="106" t="n"/>
    </row>
    <row r="978">
      <c r="J978" s="87" t="n"/>
      <c r="L978" s="87" t="n"/>
      <c r="M978" s="105" t="n"/>
      <c r="N978" s="106" t="n"/>
    </row>
    <row r="979">
      <c r="J979" s="87" t="n"/>
      <c r="L979" s="87" t="n"/>
      <c r="M979" s="105" t="n"/>
      <c r="N979" s="106" t="n"/>
    </row>
    <row r="980">
      <c r="J980" s="87" t="n"/>
      <c r="L980" s="87" t="n"/>
      <c r="M980" s="105" t="n"/>
      <c r="N980" s="106" t="n"/>
    </row>
    <row r="981">
      <c r="J981" s="87" t="n"/>
      <c r="L981" s="87" t="n"/>
      <c r="M981" s="105" t="n"/>
      <c r="N981" s="106" t="n"/>
    </row>
    <row r="982">
      <c r="J982" s="87" t="n"/>
      <c r="L982" s="87" t="n"/>
      <c r="M982" s="105" t="n"/>
      <c r="N982" s="106" t="n"/>
    </row>
    <row r="983">
      <c r="J983" s="87" t="n"/>
      <c r="L983" s="87" t="n"/>
      <c r="M983" s="105" t="n"/>
      <c r="N983" s="106" t="n"/>
    </row>
    <row r="984">
      <c r="J984" s="87" t="n"/>
      <c r="L984" s="87" t="n"/>
      <c r="M984" s="105" t="n"/>
      <c r="N984" s="106" t="n"/>
    </row>
    <row r="985">
      <c r="J985" s="87" t="n"/>
      <c r="L985" s="87" t="n"/>
      <c r="M985" s="105" t="n"/>
      <c r="N985" s="106" t="n"/>
    </row>
    <row r="986">
      <c r="J986" s="87" t="n"/>
      <c r="L986" s="87" t="n"/>
      <c r="M986" s="105" t="n"/>
      <c r="N986" s="106" t="n"/>
    </row>
    <row r="987">
      <c r="J987" s="87" t="n"/>
      <c r="L987" s="87" t="n"/>
      <c r="M987" s="105" t="n"/>
      <c r="N987" s="106" t="n"/>
    </row>
    <row r="988">
      <c r="J988" s="87" t="n"/>
      <c r="L988" s="87" t="n"/>
      <c r="M988" s="105" t="n"/>
      <c r="N988" s="106" t="n"/>
    </row>
    <row r="989">
      <c r="J989" s="87" t="n"/>
      <c r="L989" s="87" t="n"/>
      <c r="M989" s="105" t="n"/>
      <c r="N989" s="106" t="n"/>
    </row>
    <row r="990">
      <c r="J990" s="87" t="n"/>
      <c r="L990" s="87" t="n"/>
      <c r="M990" s="105" t="n"/>
      <c r="N990" s="106" t="n"/>
    </row>
    <row r="991">
      <c r="J991" s="87" t="n"/>
      <c r="L991" s="87" t="n"/>
      <c r="M991" s="105" t="n"/>
      <c r="N991" s="106" t="n"/>
    </row>
    <row r="992">
      <c r="J992" s="87" t="n"/>
      <c r="L992" s="87" t="n"/>
      <c r="M992" s="105" t="n"/>
      <c r="N992" s="106" t="n"/>
    </row>
    <row r="993">
      <c r="J993" s="87" t="n"/>
      <c r="L993" s="87" t="n"/>
      <c r="M993" s="105" t="n"/>
      <c r="N993" s="106" t="n"/>
    </row>
    <row r="994">
      <c r="J994" s="87" t="n"/>
      <c r="L994" s="87" t="n"/>
      <c r="M994" s="105" t="n"/>
      <c r="N994" s="106" t="n"/>
    </row>
    <row r="995">
      <c r="J995" s="87" t="n"/>
      <c r="L995" s="87" t="n"/>
      <c r="M995" s="105" t="n"/>
      <c r="N995" s="106" t="n"/>
    </row>
    <row r="996">
      <c r="J996" s="87" t="n"/>
      <c r="L996" s="87" t="n"/>
      <c r="M996" s="105" t="n"/>
      <c r="N996" s="106" t="n"/>
    </row>
    <row r="997">
      <c r="J997" s="87" t="n"/>
      <c r="L997" s="87" t="n"/>
      <c r="M997" s="105" t="n"/>
      <c r="N997" s="106" t="n"/>
    </row>
    <row r="998">
      <c r="J998" s="87" t="n"/>
      <c r="L998" s="87" t="n"/>
      <c r="M998" s="105" t="n"/>
      <c r="N998" s="106" t="n"/>
    </row>
  </sheetData>
  <mergeCells count="72">
    <mergeCell ref="B91:C91"/>
    <mergeCell ref="A24:B24"/>
    <mergeCell ref="B16:C16"/>
    <mergeCell ref="B100:C100"/>
    <mergeCell ref="B54:C54"/>
    <mergeCell ref="B7:C7"/>
    <mergeCell ref="B72:C72"/>
    <mergeCell ref="B90:C90"/>
    <mergeCell ref="B81:C81"/>
    <mergeCell ref="B22:C22"/>
    <mergeCell ref="B93:C93"/>
    <mergeCell ref="B27:C27"/>
    <mergeCell ref="B102:C102"/>
    <mergeCell ref="B18:C18"/>
    <mergeCell ref="B43:C43"/>
    <mergeCell ref="B39:C39"/>
    <mergeCell ref="B79:C79"/>
    <mergeCell ref="B52:C52"/>
    <mergeCell ref="B21:C21"/>
    <mergeCell ref="B48:C48"/>
    <mergeCell ref="A108:B108"/>
    <mergeCell ref="B98:C98"/>
    <mergeCell ref="M109:N109"/>
    <mergeCell ref="B42:C42"/>
    <mergeCell ref="B61:C61"/>
    <mergeCell ref="A46:B46"/>
    <mergeCell ref="B101:C101"/>
    <mergeCell ref="M108:N108"/>
    <mergeCell ref="A109:C109"/>
    <mergeCell ref="B17:C17"/>
    <mergeCell ref="B88:C88"/>
    <mergeCell ref="B8:C8"/>
    <mergeCell ref="B53:C53"/>
    <mergeCell ref="B69:C69"/>
    <mergeCell ref="B87:C87"/>
    <mergeCell ref="B44:C44"/>
    <mergeCell ref="B38:C38"/>
    <mergeCell ref="B78:C78"/>
    <mergeCell ref="A86:B86"/>
    <mergeCell ref="B29:C29"/>
    <mergeCell ref="A76:B76"/>
    <mergeCell ref="B103:C103"/>
    <mergeCell ref="B19:C19"/>
    <mergeCell ref="B34:C34"/>
    <mergeCell ref="M86:N86"/>
    <mergeCell ref="B28:C28"/>
    <mergeCell ref="M46:N46"/>
    <mergeCell ref="B99:C99"/>
    <mergeCell ref="B37:C37"/>
    <mergeCell ref="B40:C40"/>
    <mergeCell ref="B49:C49"/>
    <mergeCell ref="A97:B97"/>
    <mergeCell ref="M97:N97"/>
    <mergeCell ref="B55:C55"/>
    <mergeCell ref="B92:C92"/>
    <mergeCell ref="B68:C68"/>
    <mergeCell ref="M24:N24"/>
    <mergeCell ref="M76:N76"/>
    <mergeCell ref="B15:C15"/>
    <mergeCell ref="B30:C30"/>
    <mergeCell ref="A1:C1"/>
    <mergeCell ref="B104:C104"/>
    <mergeCell ref="B80:C80"/>
    <mergeCell ref="B51:C51"/>
    <mergeCell ref="B95:C95"/>
    <mergeCell ref="B89:C89"/>
    <mergeCell ref="B36:C36"/>
    <mergeCell ref="B94:C94"/>
    <mergeCell ref="B50:C50"/>
    <mergeCell ref="B26:C26"/>
    <mergeCell ref="B41:C41"/>
    <mergeCell ref="B35:C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A99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42.63" customWidth="1" style="270" min="2" max="2"/>
    <col width="15.63" customWidth="1" style="270" min="3" max="3"/>
    <col width="15.88" customWidth="1" style="270" min="4" max="4"/>
    <col width="15" customWidth="1" style="270" min="7" max="7"/>
    <col width="21" customWidth="1" style="270" min="10" max="10"/>
    <col width="20.63" customWidth="1" style="270" min="12" max="12"/>
  </cols>
  <sheetData>
    <row r="1">
      <c r="A1" s="111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215" t="n"/>
      <c r="J1" s="87" t="n"/>
      <c r="L1" s="87" t="n"/>
      <c r="M1" s="105" t="n"/>
      <c r="N1" s="106" t="n"/>
    </row>
    <row r="2">
      <c r="A2" s="186" t="inlineStr">
        <is>
          <t>VIGENCIA:</t>
        </is>
      </c>
      <c r="B2" s="108" t="n">
        <v>45154</v>
      </c>
      <c r="C2" s="223" t="n"/>
      <c r="D2" s="110" t="n"/>
      <c r="E2" s="111" t="n"/>
      <c r="F2" s="111" t="n"/>
      <c r="G2" s="111" t="n"/>
      <c r="H2" s="111" t="n"/>
      <c r="I2" s="215" t="n"/>
      <c r="J2" s="87" t="n"/>
      <c r="L2" s="87" t="n"/>
      <c r="M2" s="105" t="n"/>
      <c r="N2" s="106" t="n"/>
    </row>
    <row r="3">
      <c r="B3" s="185" t="inlineStr">
        <is>
          <t>Sólo cambiaron precios en dólares +35%</t>
        </is>
      </c>
      <c r="J3" s="87" t="n"/>
      <c r="L3" s="87" t="n"/>
      <c r="M3" s="105" t="n"/>
      <c r="N3" s="106" t="n"/>
    </row>
    <row r="4">
      <c r="B4" s="223" t="n"/>
      <c r="C4" s="223" t="n"/>
      <c r="D4" s="118" t="inlineStr">
        <is>
          <t>Lista 20 con -7 y -2</t>
        </is>
      </c>
      <c r="E4" s="188" t="inlineStr">
        <is>
          <t xml:space="preserve">Mayorista </t>
        </is>
      </c>
      <c r="F4" s="188" t="inlineStr">
        <is>
          <t xml:space="preserve">Minorista </t>
        </is>
      </c>
      <c r="G4" s="188" t="inlineStr">
        <is>
          <t>Minorista con IVA</t>
        </is>
      </c>
      <c r="H4" s="188" t="inlineStr">
        <is>
          <t>Redondeado</t>
        </is>
      </c>
      <c r="J4" s="87" t="inlineStr">
        <is>
          <t>Antes del 7 + 2% ANTERIOR</t>
        </is>
      </c>
      <c r="L4" s="87" t="inlineStr">
        <is>
          <t>Antes del 7 + 2% ACTUAL</t>
        </is>
      </c>
      <c r="M4" s="119" t="n"/>
      <c r="N4" s="120" t="inlineStr">
        <is>
          <t>% Aumento</t>
        </is>
      </c>
      <c r="O4" s="118" t="n"/>
    </row>
    <row r="5">
      <c r="A5" s="117" t="inlineStr">
        <is>
          <t>JABONES</t>
        </is>
      </c>
      <c r="B5" s="223" t="n"/>
      <c r="C5" s="223" t="n"/>
      <c r="D5" s="118" t="n"/>
      <c r="J5" s="87" t="n"/>
      <c r="L5" s="87" t="n"/>
      <c r="M5" s="119" t="n"/>
      <c r="N5" s="120" t="n"/>
      <c r="O5" s="118" t="n"/>
    </row>
    <row r="6">
      <c r="A6" s="124" t="n"/>
      <c r="B6" s="223" t="n"/>
      <c r="C6" s="223" t="n"/>
      <c r="D6" s="237" t="n"/>
      <c r="J6" s="87" t="n"/>
      <c r="L6" s="87" t="n"/>
      <c r="M6" s="128" t="n"/>
      <c r="N6" s="120" t="n"/>
      <c r="O6" s="237" t="n"/>
    </row>
    <row r="7">
      <c r="A7" s="124" t="n">
        <v>701</v>
      </c>
      <c r="B7" s="223" t="inlineStr">
        <is>
          <t>Botella 1 lt. Servicio Dilución DMQ</t>
        </is>
      </c>
      <c r="D7" s="237">
        <f>L7*0.93*0.98</f>
        <v/>
      </c>
      <c r="E7" s="87">
        <f>D7*1.3*1.105</f>
        <v/>
      </c>
      <c r="F7" s="87">
        <f>D7*1.3*1.105/0.9</f>
        <v/>
      </c>
      <c r="G7" s="87">
        <f>F7*1.21</f>
        <v/>
      </c>
      <c r="H7" s="87">
        <f>ROUND(G7/100,0)*100</f>
        <v/>
      </c>
      <c r="J7" s="87" t="n">
        <v>1289.22087</v>
      </c>
      <c r="L7" s="127" t="n">
        <v>1945</v>
      </c>
      <c r="M7" s="128" t="n"/>
      <c r="N7" s="120">
        <f>(L7/J7)-1</f>
        <v/>
      </c>
      <c r="O7" s="237" t="n"/>
    </row>
    <row r="8">
      <c r="A8" s="124" t="n">
        <v>720</v>
      </c>
      <c r="B8" s="223" t="inlineStr">
        <is>
          <t>Bidon x 5 lts. Jabón Líquido Tocador</t>
        </is>
      </c>
      <c r="D8" s="237">
        <f>L8*0.93*0.98</f>
        <v/>
      </c>
      <c r="E8" s="87">
        <f>D8*1.3*1.105</f>
        <v/>
      </c>
      <c r="F8" s="87">
        <f>D8*1.3*1.105/0.9</f>
        <v/>
      </c>
      <c r="G8" s="87">
        <f>F8*1.21</f>
        <v/>
      </c>
      <c r="H8" s="87">
        <f>ROUND(G8/100,0)*100</f>
        <v/>
      </c>
      <c r="J8" s="87" t="n">
        <v>4043.161794</v>
      </c>
      <c r="L8" s="230" t="n">
        <v>6099.78</v>
      </c>
      <c r="M8" s="128" t="n"/>
      <c r="N8" s="120">
        <f>(L8/J8)-1</f>
        <v/>
      </c>
      <c r="O8" s="237" t="n"/>
    </row>
    <row r="9">
      <c r="A9" s="124" t="n"/>
      <c r="B9" s="223" t="n"/>
      <c r="C9" s="223" t="n"/>
      <c r="D9" s="237" t="n"/>
      <c r="J9" s="87" t="n"/>
      <c r="L9" s="215" t="n"/>
      <c r="M9" s="128" t="n"/>
      <c r="N9" s="120" t="n"/>
      <c r="O9" s="237" t="n"/>
    </row>
    <row r="10">
      <c r="A10" s="117" t="inlineStr">
        <is>
          <t>TOALLAS</t>
        </is>
      </c>
      <c r="B10" s="223" t="n"/>
      <c r="C10" s="223" t="n"/>
      <c r="D10" s="237" t="n"/>
      <c r="J10" s="87" t="n"/>
      <c r="L10" s="215" t="n"/>
      <c r="M10" s="119" t="n"/>
      <c r="N10" s="120" t="n"/>
      <c r="O10" s="237" t="n"/>
    </row>
    <row r="11">
      <c r="A11" s="131" t="n"/>
      <c r="B11" s="223" t="n"/>
      <c r="C11" s="223" t="n"/>
      <c r="D11" s="237" t="n"/>
      <c r="J11" s="87" t="n"/>
      <c r="L11" s="215" t="n"/>
      <c r="M11" s="119" t="n"/>
      <c r="N11" s="120" t="n"/>
      <c r="O11" s="237" t="n"/>
    </row>
    <row r="12">
      <c r="A12" s="124" t="n">
        <v>901</v>
      </c>
      <c r="B12" s="223" t="inlineStr">
        <is>
          <t>Toallas Blancas Super 21x25</t>
        </is>
      </c>
      <c r="C12" s="223" t="n"/>
      <c r="D12" s="237">
        <f>L12*0.93*0.98</f>
        <v/>
      </c>
      <c r="E12" s="87">
        <f>D12*1.3*1.105</f>
        <v/>
      </c>
      <c r="F12" s="87">
        <f>D12*1.3*1.105/0.9</f>
        <v/>
      </c>
      <c r="G12" s="87">
        <f>F12*1.21</f>
        <v/>
      </c>
      <c r="H12" s="87">
        <f>ROUND(G12/100,0)*100</f>
        <v/>
      </c>
      <c r="J12" s="87" t="n">
        <v>4798.119984000001</v>
      </c>
      <c r="L12" s="127" t="n">
        <v>7238.77</v>
      </c>
      <c r="M12" s="128" t="n"/>
      <c r="N12" s="120">
        <f>(L12/J12)-1</f>
        <v/>
      </c>
      <c r="O12" s="237" t="n"/>
    </row>
    <row r="13">
      <c r="A13" s="124" t="n">
        <v>902</v>
      </c>
      <c r="B13" s="223" t="inlineStr">
        <is>
          <t>Toallas Blancas Pura Simple</t>
        </is>
      </c>
      <c r="C13" s="223" t="n"/>
      <c r="D13" s="237">
        <f>L13*0.93*0.98</f>
        <v/>
      </c>
      <c r="E13" s="87">
        <f>D13*1.3*1.105</f>
        <v/>
      </c>
      <c r="F13" s="87">
        <f>D13*1.3*1.105/0.9</f>
        <v/>
      </c>
      <c r="G13" s="87">
        <f>F13*1.21</f>
        <v/>
      </c>
      <c r="H13" s="87">
        <f>ROUND(G13/100,0)*100</f>
        <v/>
      </c>
      <c r="J13" s="87" t="n">
        <v>5323.30512</v>
      </c>
      <c r="L13" s="230" t="n">
        <v>8027.1</v>
      </c>
      <c r="M13" s="128" t="n"/>
      <c r="N13" s="120">
        <f>(L13/J13)-1</f>
        <v/>
      </c>
      <c r="O13" s="237" t="n"/>
    </row>
    <row r="14">
      <c r="A14" s="124" t="n">
        <v>903</v>
      </c>
      <c r="B14" s="223" t="inlineStr">
        <is>
          <t>Toallas Blancas Pura Doble</t>
        </is>
      </c>
      <c r="C14" s="223" t="n"/>
      <c r="D14" s="237">
        <f>L14*0.93*0.98</f>
        <v/>
      </c>
      <c r="E14" s="87">
        <f>D14*1.3*1.105</f>
        <v/>
      </c>
      <c r="F14" s="87">
        <f>D14*1.3*1.105/0.9</f>
        <v/>
      </c>
      <c r="G14" s="87">
        <f>F14*1.21</f>
        <v/>
      </c>
      <c r="H14" s="87">
        <f>ROUND(G14/100,0)*100</f>
        <v/>
      </c>
      <c r="J14" s="87" t="n">
        <v>6630.088668</v>
      </c>
      <c r="L14" s="230" t="n">
        <v>9925.6</v>
      </c>
      <c r="M14" s="128" t="n"/>
      <c r="N14" s="120">
        <f>(L14/J14)-1</f>
        <v/>
      </c>
      <c r="O14" s="237" t="n"/>
    </row>
    <row r="15">
      <c r="A15" s="124" t="n">
        <v>914</v>
      </c>
      <c r="B15" s="223" t="inlineStr">
        <is>
          <t>Toalla Blanca Unitas (17,5x25 cm)</t>
        </is>
      </c>
      <c r="D15" s="237">
        <f>L15*0.93*0.98</f>
        <v/>
      </c>
      <c r="E15" s="87">
        <f>D15*1.3*1.105</f>
        <v/>
      </c>
      <c r="F15" s="87">
        <f>D15*1.3*1.105/0.9</f>
        <v/>
      </c>
      <c r="G15" s="87">
        <f>F15*1.21</f>
        <v/>
      </c>
      <c r="H15" s="87">
        <f>ROUND(G15/100,0)*100</f>
        <v/>
      </c>
      <c r="J15" s="87" t="n">
        <v>3656.017302</v>
      </c>
      <c r="L15" s="230" t="n">
        <v>5515.72</v>
      </c>
      <c r="M15" s="128" t="n"/>
      <c r="N15" s="120">
        <f>(L15/J15)-1</f>
        <v/>
      </c>
      <c r="O15" s="237" t="n"/>
    </row>
    <row r="16">
      <c r="A16" s="124" t="n">
        <v>916</v>
      </c>
      <c r="B16" s="223" t="inlineStr">
        <is>
          <t>Toalla Blanca Especial 21 x 25 ( tiza )</t>
        </is>
      </c>
      <c r="D16" s="237">
        <f>L16*0.93*0.98</f>
        <v/>
      </c>
      <c r="E16" s="87">
        <f>D16*1.3*1.105</f>
        <v/>
      </c>
      <c r="F16" s="87">
        <f>D16*1.3*1.105/0.9</f>
        <v/>
      </c>
      <c r="G16" s="87">
        <f>F16*1.21</f>
        <v/>
      </c>
      <c r="H16" s="87">
        <f>ROUND(G16/100,0)*100</f>
        <v/>
      </c>
      <c r="J16" s="87" t="n">
        <v>4474.782606</v>
      </c>
      <c r="L16" s="230" t="n">
        <v>6750.96</v>
      </c>
      <c r="M16" s="128" t="n"/>
      <c r="N16" s="120">
        <f>(L16/J16)-1</f>
        <v/>
      </c>
      <c r="O16" s="237" t="n"/>
    </row>
    <row r="17">
      <c r="A17" s="124" t="n">
        <v>920</v>
      </c>
      <c r="B17" s="223" t="inlineStr">
        <is>
          <t>Toalla Blanca Especial 21 x 37 ( tiza )</t>
        </is>
      </c>
      <c r="D17" s="237">
        <f>L17*0.93*0.98</f>
        <v/>
      </c>
      <c r="E17" s="87">
        <f>D17*1.3*1.105</f>
        <v/>
      </c>
      <c r="F17" s="87">
        <f>D17*1.3*1.105/0.9</f>
        <v/>
      </c>
      <c r="G17" s="87">
        <f>F17*1.21</f>
        <v/>
      </c>
      <c r="H17" s="87">
        <f>ROUND(G17/100,0)*100</f>
        <v/>
      </c>
      <c r="J17" s="87" t="n">
        <v>6104.274666</v>
      </c>
      <c r="L17" s="230" t="n">
        <v>9209.32</v>
      </c>
      <c r="M17" s="128" t="n"/>
      <c r="N17" s="120">
        <f>(L17/J17)-1</f>
        <v/>
      </c>
      <c r="O17" s="237" t="n"/>
    </row>
    <row r="18">
      <c r="A18" s="124" t="n">
        <v>927</v>
      </c>
      <c r="B18" s="223" t="inlineStr">
        <is>
          <t>Toalla Blanca Especial 17,5 x 25 ( tiza ) Unita</t>
        </is>
      </c>
      <c r="D18" s="237">
        <f>L18*0.93*0.98</f>
        <v/>
      </c>
      <c r="E18" s="87">
        <f>D18*1.3*1.105</f>
        <v/>
      </c>
      <c r="F18" s="87">
        <f>D18*1.3*1.105/0.9</f>
        <v/>
      </c>
      <c r="G18" s="87">
        <f>F18*1.21</f>
        <v/>
      </c>
      <c r="H18" s="87">
        <f>ROUND(G18/100,0)*100</f>
        <v/>
      </c>
      <c r="J18" s="87" t="n">
        <v>3507.641382</v>
      </c>
      <c r="L18" s="230" t="n">
        <v>5291.86</v>
      </c>
      <c r="M18" s="128" t="n"/>
      <c r="N18" s="120">
        <f>(L18/J18)-1</f>
        <v/>
      </c>
      <c r="O18" s="237" t="n"/>
    </row>
    <row r="19">
      <c r="A19" s="124" t="n">
        <v>928</v>
      </c>
      <c r="B19" s="223" t="inlineStr">
        <is>
          <t>Cajas x 2500 Toallas Beige 21x37</t>
        </is>
      </c>
      <c r="D19" s="237">
        <f>L19*0.93*0.98</f>
        <v/>
      </c>
      <c r="E19" s="87">
        <f>D19*1.3*1.105</f>
        <v/>
      </c>
      <c r="F19" s="87">
        <f>D19*1.3*1.105/0.9</f>
        <v/>
      </c>
      <c r="G19" s="87">
        <f>F19*1.21</f>
        <v/>
      </c>
      <c r="H19" s="87">
        <f>ROUND(G19/100,0)*100</f>
        <v/>
      </c>
      <c r="J19" s="87" t="n">
        <v>5169.816246</v>
      </c>
      <c r="L19" s="230" t="n">
        <v>7809.44</v>
      </c>
      <c r="M19" s="128" t="n"/>
      <c r="N19" s="120">
        <f>(L19/J19)-1</f>
        <v/>
      </c>
      <c r="O19" s="237" t="n"/>
    </row>
    <row r="20">
      <c r="A20" s="124" t="n">
        <v>930</v>
      </c>
      <c r="B20" s="223" t="inlineStr">
        <is>
          <t>Toalla Blanca Super 21x37 cm</t>
        </is>
      </c>
      <c r="C20" s="223" t="n"/>
      <c r="D20" s="237">
        <f>L20*0.93*0.98</f>
        <v/>
      </c>
      <c r="E20" s="87">
        <f>D20*1.3*1.105</f>
        <v/>
      </c>
      <c r="F20" s="87">
        <f>D20*1.3*1.105/0.9</f>
        <v/>
      </c>
      <c r="G20" s="87">
        <f>F20*1.21</f>
        <v/>
      </c>
      <c r="H20" s="87">
        <f>ROUND(G20/100,0)*100</f>
        <v/>
      </c>
      <c r="J20" s="87" t="n">
        <v>6598.244352000001</v>
      </c>
      <c r="L20" s="230" t="n">
        <v>9954.559999999999</v>
      </c>
      <c r="M20" s="128" t="n"/>
      <c r="N20" s="120">
        <f>(L20/J20)-1</f>
        <v/>
      </c>
      <c r="O20" s="237" t="n"/>
    </row>
    <row r="21">
      <c r="A21" s="124" t="n">
        <v>931</v>
      </c>
      <c r="B21" s="223" t="inlineStr">
        <is>
          <t>Caja x 2500 Toallas Beige Unitas 17,5 cm x 25 cm</t>
        </is>
      </c>
      <c r="D21" s="237">
        <f>L21*0.93*0.98</f>
        <v/>
      </c>
      <c r="E21" s="87">
        <f>D21*1.3*1.105</f>
        <v/>
      </c>
      <c r="F21" s="87">
        <f>D21*1.3*1.105/0.9</f>
        <v/>
      </c>
      <c r="G21" s="87">
        <f>F21*1.21</f>
        <v/>
      </c>
      <c r="H21" s="87">
        <f>ROUND(G21/100,0)*100</f>
        <v/>
      </c>
      <c r="I21" s="87">
        <f>F21*1.1</f>
        <v/>
      </c>
      <c r="J21" s="87" t="n">
        <v>3227.066892</v>
      </c>
      <c r="L21" s="230" t="n">
        <v>4868.56</v>
      </c>
      <c r="M21" s="128" t="n"/>
      <c r="N21" s="120">
        <f>(L21/J21)-1</f>
        <v/>
      </c>
      <c r="O21" s="237" t="n"/>
    </row>
    <row r="22">
      <c r="A22" s="124" t="n">
        <v>932</v>
      </c>
      <c r="B22" s="223" t="inlineStr">
        <is>
          <t>Caja x 2500 Toallas Beige 21 cm x 25 cm simple hoja</t>
        </is>
      </c>
      <c r="D22" s="237">
        <f>L22*0.93*0.98</f>
        <v/>
      </c>
      <c r="E22" s="87">
        <f>D22*1.3*1.105</f>
        <v/>
      </c>
      <c r="F22" s="87">
        <f>D22*1.3*1.105/0.9</f>
        <v/>
      </c>
      <c r="G22" s="87">
        <f>F22*1.21</f>
        <v/>
      </c>
      <c r="H22" s="87">
        <f>ROUND(G22/100,0)*100</f>
        <v/>
      </c>
      <c r="J22" s="87" t="n">
        <v>3679.403826</v>
      </c>
      <c r="L22" s="230" t="n">
        <v>5551</v>
      </c>
      <c r="M22" s="128" t="n"/>
      <c r="N22" s="120">
        <f>(L22/J22)-1</f>
        <v/>
      </c>
      <c r="O22" s="237" t="n"/>
    </row>
    <row r="23">
      <c r="A23" s="124" t="n"/>
      <c r="B23" s="223" t="n"/>
      <c r="C23" s="223" t="n"/>
      <c r="D23" s="237" t="n"/>
      <c r="J23" s="87" t="n"/>
      <c r="L23" s="87" t="n"/>
      <c r="M23" s="128" t="n"/>
      <c r="N23" s="120" t="n"/>
      <c r="O23" s="237" t="n"/>
    </row>
    <row r="24">
      <c r="A24" s="117" t="inlineStr">
        <is>
          <t>TOALLAS EN ROLLO</t>
        </is>
      </c>
      <c r="B24" s="271" t="n"/>
      <c r="C24" s="223" t="n"/>
      <c r="D24" s="237" t="n"/>
      <c r="J24" s="87" t="n"/>
      <c r="L24" s="87" t="n"/>
      <c r="M24" s="119" t="n"/>
      <c r="O24" s="237" t="n"/>
    </row>
    <row r="25">
      <c r="A25" s="131" t="n"/>
      <c r="B25" s="111" t="n"/>
      <c r="C25" s="223" t="n"/>
      <c r="D25" s="237" t="n"/>
      <c r="J25" s="87" t="n"/>
      <c r="L25" s="87" t="n"/>
      <c r="M25" s="119" t="n"/>
      <c r="N25" s="132" t="n"/>
      <c r="O25" s="237" t="n"/>
    </row>
    <row r="26">
      <c r="A26" s="124" t="n">
        <v>204</v>
      </c>
      <c r="B26" s="223" t="inlineStr">
        <is>
          <t>Pack X 2 Rollos de toalla x 300 mts Blanca</t>
        </is>
      </c>
      <c r="D26" s="237">
        <f>L26*0.93*0.98</f>
        <v/>
      </c>
      <c r="E26" s="87">
        <f>D26*1.3*1.105</f>
        <v/>
      </c>
      <c r="F26" s="87">
        <f>D26*1.3*1.105/0.9</f>
        <v/>
      </c>
      <c r="G26" s="87">
        <f>F26*1.21</f>
        <v/>
      </c>
      <c r="H26" s="87">
        <f>ROUND(G26/100,0)*100</f>
        <v/>
      </c>
      <c r="J26" s="87" t="n">
        <v>7241.474016</v>
      </c>
      <c r="L26" s="127" t="n">
        <v>10924.98</v>
      </c>
      <c r="M26" s="128" t="n"/>
      <c r="N26" s="120">
        <f>(L26/J26)-1</f>
        <v/>
      </c>
      <c r="O26" s="237" t="n"/>
    </row>
    <row r="27">
      <c r="A27" s="124" t="n">
        <v>205</v>
      </c>
      <c r="B27" s="223" t="inlineStr">
        <is>
          <t>Pack X 2 Rollos de toalla x 240 mts Blanca</t>
        </is>
      </c>
      <c r="D27" s="237">
        <f>L27*0.93*0.98</f>
        <v/>
      </c>
      <c r="E27" s="87">
        <f>D27*1.3*1.105</f>
        <v/>
      </c>
      <c r="F27" s="87">
        <f>D27*1.3*1.105/0.9</f>
        <v/>
      </c>
      <c r="G27" s="87">
        <f>F27*1.21</f>
        <v/>
      </c>
      <c r="H27" s="87">
        <f>ROUND(G27/100,0)*100</f>
        <v/>
      </c>
      <c r="J27" s="87" t="n">
        <v>9228.180192000002</v>
      </c>
      <c r="L27" s="230" t="n">
        <v>13922.26</v>
      </c>
      <c r="M27" s="128" t="n"/>
      <c r="N27" s="120">
        <f>(L27/J27)-1</f>
        <v/>
      </c>
      <c r="O27" s="237" t="n"/>
    </row>
    <row r="28">
      <c r="A28" s="133" t="n">
        <v>116</v>
      </c>
      <c r="B28" s="134" t="inlineStr">
        <is>
          <t>Pack x 6 Rollos de Toallas x 200 mts. Blanca</t>
        </is>
      </c>
      <c r="D28" s="135">
        <f>L28*0.93*0.98</f>
        <v/>
      </c>
      <c r="E28" s="87">
        <f>D28*1.3*1.105</f>
        <v/>
      </c>
      <c r="F28" s="87">
        <f>D28*1.3*1.105/0.9</f>
        <v/>
      </c>
      <c r="G28" s="87">
        <f>F28*1.21</f>
        <v/>
      </c>
      <c r="H28" s="87">
        <f>ROUND(G28/100,0)*100</f>
        <v/>
      </c>
      <c r="J28" s="87" t="n">
        <v>7300.705902000001</v>
      </c>
      <c r="L28" s="230" t="n">
        <v>11014.34</v>
      </c>
      <c r="M28" s="128" t="n"/>
      <c r="N28" s="120">
        <f>(L28/J28)-1</f>
        <v/>
      </c>
      <c r="O28" s="135" t="n"/>
    </row>
    <row r="29">
      <c r="A29" s="124" t="n">
        <v>135</v>
      </c>
      <c r="B29" s="223" t="inlineStr">
        <is>
          <t>Recarga Original P/Dispenser Celmatic 2500 U. Dobles</t>
        </is>
      </c>
      <c r="D29" s="237">
        <f>L29*0.93*0.98</f>
        <v/>
      </c>
      <c r="E29" s="87">
        <f>D29*1.3*1.105</f>
        <v/>
      </c>
      <c r="F29" s="87">
        <f>D29*1.3*1.105/0.9</f>
        <v/>
      </c>
      <c r="G29" s="87">
        <f>F29*1.21</f>
        <v/>
      </c>
      <c r="H29" s="87">
        <f>ROUND(G29/100,0)*100</f>
        <v/>
      </c>
      <c r="J29" s="87" t="n">
        <v>3538.246194</v>
      </c>
      <c r="L29" s="230" t="n">
        <v>5338.02</v>
      </c>
      <c r="M29" s="128" t="n"/>
      <c r="N29" s="120">
        <f>(L29/J29)-1</f>
        <v/>
      </c>
      <c r="O29" s="237" t="n"/>
    </row>
    <row r="30">
      <c r="A30" s="124" t="n">
        <v>136</v>
      </c>
      <c r="B30" s="223" t="inlineStr">
        <is>
          <t>Pack x 4 Recarga Celmatic Due 2400 U. Dobles</t>
        </is>
      </c>
      <c r="D30" s="237">
        <f>L30*0.93*0.98</f>
        <v/>
      </c>
      <c r="E30" s="87">
        <f>D30*1.3*1.105</f>
        <v/>
      </c>
      <c r="F30" s="87">
        <f>D30*1.3*1.105/0.9</f>
        <v/>
      </c>
      <c r="G30" s="87">
        <f>F30*1.21</f>
        <v/>
      </c>
      <c r="H30" s="87">
        <f>ROUND(G30/100,0)*100</f>
        <v/>
      </c>
      <c r="J30" s="87" t="n">
        <v>2819.835144</v>
      </c>
      <c r="L30" s="230" t="n">
        <v>4254.18</v>
      </c>
      <c r="M30" s="128" t="n"/>
      <c r="N30" s="120">
        <f>(L30/J30)-1</f>
        <v/>
      </c>
      <c r="O30" s="237" t="n"/>
    </row>
    <row r="31">
      <c r="A31" s="124" t="n"/>
      <c r="B31" s="223" t="n"/>
      <c r="C31" s="223" t="n"/>
      <c r="D31" s="237">
        <f>D28/6</f>
        <v/>
      </c>
      <c r="J31" s="87" t="n"/>
      <c r="L31" s="87" t="n"/>
      <c r="M31" s="128" t="n"/>
      <c r="N31" s="120" t="n"/>
      <c r="O31" s="237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 t="n"/>
      <c r="J32" s="87" t="n"/>
      <c r="L32" s="87" t="n"/>
      <c r="M32" s="119" t="n"/>
      <c r="N32" s="120" t="n"/>
      <c r="O32" s="137" t="n"/>
    </row>
    <row r="33">
      <c r="A33" s="131" t="n"/>
      <c r="B33" s="158" t="n"/>
      <c r="C33" s="223" t="n"/>
      <c r="D33" s="169" t="n"/>
      <c r="J33" s="87" t="n"/>
      <c r="L33" s="87" t="n"/>
      <c r="M33" s="119" t="n"/>
      <c r="N33" s="120" t="n"/>
      <c r="O33" s="169" t="n"/>
    </row>
    <row r="34">
      <c r="A34" s="124" t="n">
        <v>501</v>
      </c>
      <c r="B34" s="140" t="inlineStr">
        <is>
          <t>Pack x 2 rollos Cel-Soft de 22,5 x 150 mts</t>
        </is>
      </c>
      <c r="D34" s="237">
        <f>L34*0.93*0.98</f>
        <v/>
      </c>
      <c r="E34" s="87">
        <f>D34*1.3*1.105</f>
        <v/>
      </c>
      <c r="F34" s="87">
        <f>D34*1.3*1.105/0.9</f>
        <v/>
      </c>
      <c r="G34" s="87">
        <f>F34*1.21</f>
        <v/>
      </c>
      <c r="H34" s="87">
        <f>ROUND(G34/100,0)*100</f>
        <v/>
      </c>
      <c r="J34" s="87" t="n">
        <v>51.9498</v>
      </c>
      <c r="L34" s="127" t="n">
        <v>61.27</v>
      </c>
      <c r="M34" s="128" t="n"/>
      <c r="N34" s="141">
        <f>(L34/J34)-1</f>
        <v/>
      </c>
      <c r="O34" s="237" t="n"/>
    </row>
    <row r="35">
      <c r="A35" s="124" t="n">
        <v>505</v>
      </c>
      <c r="B35" s="223" t="inlineStr">
        <is>
          <t>Caja x 2000 U. Servilletas Cel-Soft 30 x 40 cm</t>
        </is>
      </c>
      <c r="D35" s="237">
        <f>L35*0.93*0.98</f>
        <v/>
      </c>
      <c r="E35" s="87">
        <f>D35*1.3*1.105</f>
        <v/>
      </c>
      <c r="F35" s="87">
        <f>D35*1.3*1.105/0.9</f>
        <v/>
      </c>
      <c r="G35" s="87">
        <f>F35*1.21</f>
        <v/>
      </c>
      <c r="H35" s="87">
        <f>ROUND(G35/100,0)*100</f>
        <v/>
      </c>
      <c r="J35" s="87" t="n">
        <v>249.486636</v>
      </c>
      <c r="L35" s="230" t="n">
        <v>294.28</v>
      </c>
      <c r="M35" s="128" t="n"/>
      <c r="N35" s="120">
        <f>(L35/J35)-1</f>
        <v/>
      </c>
      <c r="O35" s="237" t="n"/>
    </row>
    <row r="36">
      <c r="A36" s="124" t="n">
        <v>506</v>
      </c>
      <c r="B36" s="223" t="inlineStr">
        <is>
          <t>Caja x 3500 Toallas Cel-Soft 21 x 25 cm Blancas</t>
        </is>
      </c>
      <c r="D36" s="237">
        <f>L36*0.93*0.98</f>
        <v/>
      </c>
      <c r="E36" s="87">
        <f>D36*1.3*1.105</f>
        <v/>
      </c>
      <c r="F36" s="87">
        <f>D36*1.3*1.105/0.9</f>
        <v/>
      </c>
      <c r="G36" s="87">
        <f>F36*1.21</f>
        <v/>
      </c>
      <c r="H36" s="87">
        <f>ROUND(G36/100,0)*100</f>
        <v/>
      </c>
      <c r="J36" s="87" t="n">
        <v>139.644708</v>
      </c>
      <c r="L36" s="230" t="n">
        <v>164.7</v>
      </c>
      <c r="M36" s="128" t="n"/>
      <c r="N36" s="120">
        <f>(L36/J36)-1</f>
        <v/>
      </c>
      <c r="O36" s="237" t="n"/>
    </row>
    <row r="37">
      <c r="A37" s="124" t="n">
        <v>512</v>
      </c>
      <c r="B37" s="223" t="inlineStr">
        <is>
          <t>Caja x 2000 U. Servilletas Cel-Soft 30 x 25 cm</t>
        </is>
      </c>
      <c r="D37" s="237">
        <f>L37*0.93*0.98</f>
        <v/>
      </c>
      <c r="E37" s="87">
        <f>D37*1.3*1.105</f>
        <v/>
      </c>
      <c r="F37" s="87">
        <f>D37*1.3*1.105/0.9</f>
        <v/>
      </c>
      <c r="G37" s="87">
        <f>F37*1.21</f>
        <v/>
      </c>
      <c r="H37" s="87">
        <f>ROUND(G37/100,0)*100</f>
        <v/>
      </c>
      <c r="I37" s="87">
        <f>D37*1.21*400/10</f>
        <v/>
      </c>
      <c r="J37" s="87" t="n">
        <v>158.273724</v>
      </c>
      <c r="L37" s="230" t="n">
        <v>186.84</v>
      </c>
      <c r="M37" s="128" t="n"/>
      <c r="N37" s="120">
        <f>(L37/J37)-1</f>
        <v/>
      </c>
      <c r="O37" s="237" t="n"/>
    </row>
    <row r="38">
      <c r="A38" s="124" t="n">
        <v>514</v>
      </c>
      <c r="B38" s="223" t="inlineStr">
        <is>
          <t>Caja por 600 servilletas Celsoft 40x40 Victoria Ambra</t>
        </is>
      </c>
      <c r="D38" s="237">
        <f>L38*0.93*0.98</f>
        <v/>
      </c>
      <c r="E38" s="87">
        <f>D38*1.3*1.105</f>
        <v/>
      </c>
      <c r="F38" s="87">
        <f>D38*1.3*1.105/0.9</f>
        <v/>
      </c>
      <c r="G38" s="87">
        <f>F38*1.21</f>
        <v/>
      </c>
      <c r="H38" s="87">
        <f>ROUND(G38/100,0)*100</f>
        <v/>
      </c>
      <c r="J38" s="87" t="n">
        <v>170.61408</v>
      </c>
      <c r="L38" s="230" t="n">
        <v>201.24</v>
      </c>
      <c r="M38" s="128" t="n"/>
      <c r="N38" s="120">
        <f>(L38/J38)-1</f>
        <v/>
      </c>
      <c r="O38" s="237" t="n"/>
    </row>
    <row r="39">
      <c r="A39" s="124" t="n">
        <v>515</v>
      </c>
      <c r="B39" s="223" t="inlineStr">
        <is>
          <t>Caja por 600 servilletas Celsoft 40x40 Victoria Nero</t>
        </is>
      </c>
      <c r="D39" s="237">
        <f>L39*0.93*0.98</f>
        <v/>
      </c>
      <c r="E39" s="87">
        <f>D39*1.3*1.105</f>
        <v/>
      </c>
      <c r="F39" s="87">
        <f>D39*1.3*1.105/0.9</f>
        <v/>
      </c>
      <c r="G39" s="87">
        <f>F39*1.21</f>
        <v/>
      </c>
      <c r="H39" s="87">
        <f>ROUND(G39/100,0)*100</f>
        <v/>
      </c>
      <c r="J39" s="87" t="n">
        <v>170.61408</v>
      </c>
      <c r="L39" s="230" t="n">
        <v>201.24</v>
      </c>
      <c r="M39" s="128" t="n"/>
      <c r="N39" s="120">
        <f>(L39/J39)-1</f>
        <v/>
      </c>
      <c r="O39" s="237" t="n"/>
    </row>
    <row r="40">
      <c r="A40" s="124" t="n">
        <v>516</v>
      </c>
      <c r="B40" s="223" t="inlineStr">
        <is>
          <t>Caja por 600 servilletas Celsoft 40x40 Tasca Bordeaux</t>
        </is>
      </c>
      <c r="D40" s="237">
        <f>L40*0.93*0.98</f>
        <v/>
      </c>
      <c r="E40" s="87">
        <f>D40*1.3*1.105</f>
        <v/>
      </c>
      <c r="F40" s="87">
        <f>D40*1.3*1.105/0.9</f>
        <v/>
      </c>
      <c r="G40" s="87">
        <f>F40*1.21</f>
        <v/>
      </c>
      <c r="H40" s="87">
        <f>ROUND(G40/100,0)*100</f>
        <v/>
      </c>
      <c r="J40" s="87" t="n">
        <v>201.182436</v>
      </c>
      <c r="L40" s="230" t="n">
        <v>237.29</v>
      </c>
      <c r="M40" s="128" t="n"/>
      <c r="N40" s="120">
        <f>(L40/J40)-1</f>
        <v/>
      </c>
      <c r="O40" s="237" t="n"/>
    </row>
    <row r="41">
      <c r="A41" s="124" t="n">
        <v>517</v>
      </c>
      <c r="B41" s="223" t="inlineStr">
        <is>
          <t>Caja por 600 servilletas Celsoft 40x40 Tasca Nero</t>
        </is>
      </c>
      <c r="D41" s="237">
        <f>L41*0.93*0.98</f>
        <v/>
      </c>
      <c r="E41" s="87">
        <f>D41*1.3*1.105</f>
        <v/>
      </c>
      <c r="F41" s="87">
        <f>D41*1.3*1.105/0.9</f>
        <v/>
      </c>
      <c r="G41" s="87">
        <f>F41*1.21</f>
        <v/>
      </c>
      <c r="H41" s="87">
        <f>ROUND(G41/100,0)*100</f>
        <v/>
      </c>
      <c r="J41" s="87" t="n">
        <v>201.182436</v>
      </c>
      <c r="L41" s="230" t="n">
        <v>237.29</v>
      </c>
      <c r="M41" s="128" t="n"/>
      <c r="N41" s="120">
        <f>(L41/J41)-1</f>
        <v/>
      </c>
      <c r="O41" s="237" t="n"/>
    </row>
    <row r="42">
      <c r="A42" s="124" t="n">
        <v>518</v>
      </c>
      <c r="B42" s="223" t="inlineStr">
        <is>
          <t>Caja por 600 servilletas Celsoft 40x40 Tasca Lino Avorio</t>
        </is>
      </c>
      <c r="D42" s="237">
        <f>L42*0.93*0.98</f>
        <v/>
      </c>
      <c r="E42" s="87">
        <f>D42*1.3*1.105</f>
        <v/>
      </c>
      <c r="F42" s="87">
        <f>D42*1.3*1.105/0.9</f>
        <v/>
      </c>
      <c r="G42" s="87">
        <f>F42*1.21</f>
        <v/>
      </c>
      <c r="H42" s="87">
        <f>ROUND(G42/100,0)*100</f>
        <v/>
      </c>
      <c r="J42" s="87" t="n">
        <v>170.61408</v>
      </c>
      <c r="L42" s="230" t="n">
        <v>201.24</v>
      </c>
      <c r="M42" s="128" t="n"/>
      <c r="N42" s="120">
        <f>(L42/J42)-1</f>
        <v/>
      </c>
      <c r="O42" s="237" t="n"/>
    </row>
    <row r="43">
      <c r="A43" s="124" t="n">
        <v>519</v>
      </c>
      <c r="B43" s="223" t="inlineStr">
        <is>
          <t>Caja por 600 servilletas Celsoft 40x40 Taca Iuta Grigio</t>
        </is>
      </c>
      <c r="D43" s="237">
        <f>L43*0.93*0.98</f>
        <v/>
      </c>
      <c r="E43" s="87">
        <f>D43*1.3*1.105</f>
        <v/>
      </c>
      <c r="F43" s="87">
        <f>D43*1.3*1.105/0.9</f>
        <v/>
      </c>
      <c r="G43" s="87">
        <f>F43*1.21</f>
        <v/>
      </c>
      <c r="H43" s="87">
        <f>ROUND(G43/100,0)*100</f>
        <v/>
      </c>
      <c r="J43" s="87" t="n">
        <v>170.61408</v>
      </c>
      <c r="L43" s="230" t="n">
        <v>201.24</v>
      </c>
      <c r="M43" s="128" t="n"/>
      <c r="N43" s="120">
        <f>(L43/J43)-1</f>
        <v/>
      </c>
      <c r="O43" s="237" t="n"/>
    </row>
    <row r="44">
      <c r="A44" s="124" t="n">
        <v>520</v>
      </c>
      <c r="B44" s="223" t="inlineStr">
        <is>
          <t>Caja de servilletas Celsoft 40 x 40 SAMPLER 300 Unid</t>
        </is>
      </c>
      <c r="D44" s="237">
        <f>L44*0.93*0.98</f>
        <v/>
      </c>
      <c r="E44" s="87">
        <f>D44*1.3*1.105</f>
        <v/>
      </c>
      <c r="F44" s="87">
        <f>D44*1.3*1.105/0.9</f>
        <v/>
      </c>
      <c r="G44" s="87">
        <f>F44*1.21</f>
        <v/>
      </c>
      <c r="H44" s="87">
        <f>ROUND(G44/100,0)*100</f>
        <v/>
      </c>
      <c r="J44" s="87" t="n">
        <v>90.31062600000001</v>
      </c>
      <c r="L44" s="230" t="n">
        <v>106.52</v>
      </c>
      <c r="M44" s="128" t="n"/>
      <c r="N44" s="120">
        <f>(L44/J44)-1</f>
        <v/>
      </c>
      <c r="O44" s="237" t="n"/>
    </row>
    <row r="45">
      <c r="A45" s="124" t="n"/>
      <c r="B45" s="223" t="n"/>
      <c r="C45" s="223" t="n"/>
      <c r="D45" s="237" t="n"/>
      <c r="J45" s="87" t="n"/>
      <c r="L45" s="87" t="n"/>
      <c r="M45" s="128" t="n"/>
      <c r="N45" s="120" t="n"/>
      <c r="O45" s="237" t="n"/>
    </row>
    <row r="46">
      <c r="A46" s="142" t="inlineStr">
        <is>
          <t>PAPEL HIGIENICO</t>
        </is>
      </c>
      <c r="B46" s="271" t="n"/>
      <c r="C46" s="223" t="n"/>
      <c r="D46" s="237" t="n"/>
      <c r="J46" s="87" t="n"/>
      <c r="L46" s="87" t="n"/>
      <c r="M46" s="144" t="n"/>
      <c r="O46" s="237" t="n"/>
    </row>
    <row r="47">
      <c r="A47" s="111" t="n"/>
      <c r="B47" s="223" t="n"/>
      <c r="C47" s="223" t="n"/>
      <c r="D47" s="237" t="n"/>
      <c r="J47" s="87" t="n"/>
      <c r="L47" s="87" t="n"/>
      <c r="M47" s="144" t="n"/>
      <c r="N47" s="120" t="n"/>
      <c r="O47" s="237" t="n"/>
    </row>
    <row r="48">
      <c r="A48" s="124" t="n">
        <v>211</v>
      </c>
      <c r="B48" s="223" t="inlineStr">
        <is>
          <t>Pack x18 Rollos Higienico Racional D/H x 60 mts</t>
        </is>
      </c>
      <c r="D48" s="237">
        <f>L48*0.93*0.98</f>
        <v/>
      </c>
      <c r="E48" s="87">
        <f>D48*1.3*1.105</f>
        <v/>
      </c>
      <c r="F48" s="87">
        <f>D48*1.3*1.105/0.9</f>
        <v/>
      </c>
      <c r="G48" s="87">
        <f>F48*1.21</f>
        <v/>
      </c>
      <c r="H48" s="87">
        <f>ROUND(G48/100,0)*100</f>
        <v/>
      </c>
      <c r="J48" s="87" t="n">
        <v>5186.303472</v>
      </c>
      <c r="L48" s="127" t="n">
        <v>7824.41</v>
      </c>
      <c r="M48" s="128" t="n"/>
      <c r="N48" s="120">
        <f>(L48/J48)-1</f>
        <v/>
      </c>
      <c r="O48" s="237" t="n"/>
    </row>
    <row r="49">
      <c r="A49" s="124" t="n">
        <v>213</v>
      </c>
      <c r="B49" s="223" t="inlineStr">
        <is>
          <t>Pack x 4 Rollos Higienico Racional x 500 mts Buje 7,5</t>
        </is>
      </c>
      <c r="D49" s="237">
        <f>L49*0.93*0.98</f>
        <v/>
      </c>
      <c r="E49" s="87">
        <f>D49*1.3*1.105</f>
        <v/>
      </c>
      <c r="F49" s="87">
        <f>D49*1.3*1.105/0.9</f>
        <v/>
      </c>
      <c r="G49" s="87">
        <f>F49*1.21</f>
        <v/>
      </c>
      <c r="H49" s="87">
        <f>ROUND(G49/100,0)*100</f>
        <v/>
      </c>
      <c r="J49" s="87" t="n">
        <v>4019.474508</v>
      </c>
      <c r="L49" s="230" t="n">
        <v>6064.05</v>
      </c>
      <c r="M49" s="128" t="n"/>
      <c r="N49" s="120">
        <f>(L49/J49)-1</f>
        <v/>
      </c>
      <c r="O49" s="237" t="n"/>
    </row>
    <row r="50">
      <c r="A50" s="182" t="n">
        <v>214</v>
      </c>
      <c r="B50" s="224" t="inlineStr">
        <is>
          <t>Pack x 18 rollos Papel Higienico Racional x 122 mts</t>
        </is>
      </c>
      <c r="D50" s="184">
        <f>L50*0.93*0.98</f>
        <v/>
      </c>
      <c r="E50" s="87">
        <f>D50*1.3*1.105</f>
        <v/>
      </c>
      <c r="F50" s="87">
        <f>D50*1.3*1.105/0.9</f>
        <v/>
      </c>
      <c r="G50" s="87">
        <f>F50*1.21</f>
        <v/>
      </c>
      <c r="H50" s="87">
        <f>ROUND(G50/100,0)*100</f>
        <v/>
      </c>
      <c r="J50" s="87" t="n">
        <v>4938.165708</v>
      </c>
      <c r="L50" s="230" t="n">
        <v>7450.06</v>
      </c>
      <c r="M50" s="128" t="n"/>
      <c r="N50" s="120">
        <f>(L50/J50)-1</f>
        <v/>
      </c>
      <c r="O50" s="184" t="n"/>
    </row>
    <row r="51">
      <c r="A51" s="124" t="n">
        <v>218</v>
      </c>
      <c r="B51" s="223" t="inlineStr">
        <is>
          <t>Pack x 8 rollos Higienico Racional x 265 mts buje 7,5</t>
        </is>
      </c>
      <c r="D51" s="237">
        <f>L51*0.93*0.98</f>
        <v/>
      </c>
      <c r="E51" s="87">
        <f>D51*1.3*1.105</f>
        <v/>
      </c>
      <c r="F51" s="87">
        <f>D51*1.3*1.105/0.9</f>
        <v/>
      </c>
      <c r="G51" s="87">
        <f>F51*1.21</f>
        <v/>
      </c>
      <c r="H51" s="87">
        <f>ROUND(G51/100,0)*100</f>
        <v/>
      </c>
      <c r="J51" s="87" t="n">
        <v>4545.005976</v>
      </c>
      <c r="L51" s="230" t="n">
        <v>6856.9</v>
      </c>
      <c r="M51" s="128" t="n"/>
      <c r="N51" s="120">
        <f>(L51/J51)-1</f>
        <v/>
      </c>
      <c r="O51" s="237" t="n"/>
    </row>
    <row r="52">
      <c r="A52" s="133" t="n">
        <v>220</v>
      </c>
      <c r="B52" s="134" t="inlineStr">
        <is>
          <t>Pack x 8 Rollos Papel Higienico Racional x 300 mts</t>
        </is>
      </c>
      <c r="D52" s="135">
        <f>L52*0.93*0.98</f>
        <v/>
      </c>
      <c r="E52" s="87">
        <f>D52*1.3*1.105</f>
        <v/>
      </c>
      <c r="F52" s="87">
        <f>D52*1.3*1.105/0.9</f>
        <v/>
      </c>
      <c r="G52" s="87">
        <f>F52*1.21</f>
        <v/>
      </c>
      <c r="H52" s="87">
        <f>ROUND(G52/100,0)*100</f>
        <v/>
      </c>
      <c r="J52" s="87" t="n">
        <v>5179.176324</v>
      </c>
      <c r="L52" s="230" t="n">
        <v>7813.65</v>
      </c>
      <c r="M52" s="128" t="n"/>
      <c r="N52" s="120">
        <f>(L52/J52)-1</f>
        <v/>
      </c>
      <c r="O52" s="135" t="n"/>
    </row>
    <row r="53">
      <c r="A53" s="124" t="n">
        <v>222</v>
      </c>
      <c r="B53" s="223" t="inlineStr">
        <is>
          <t>Pack x 8 Rollos Papel Higienico x 260 mts Buje4,5</t>
        </is>
      </c>
      <c r="D53" s="237">
        <f>L53*0.93*0.98</f>
        <v/>
      </c>
      <c r="E53" s="87">
        <f>D53*1.3*1.105</f>
        <v/>
      </c>
      <c r="F53" s="87">
        <f>D53*1.3*1.105/0.9</f>
        <v/>
      </c>
      <c r="G53" s="87">
        <f>F53*1.21</f>
        <v/>
      </c>
      <c r="H53" s="87">
        <f>ROUND(G53/100,0)*100</f>
        <v/>
      </c>
      <c r="J53" s="87" t="n">
        <v>4396.739423999999</v>
      </c>
      <c r="L53" s="230" t="n">
        <v>6633.22</v>
      </c>
      <c r="M53" s="128" t="n"/>
      <c r="N53" s="120">
        <f>(L53/J53)-1</f>
        <v/>
      </c>
      <c r="O53" s="237" t="n"/>
    </row>
    <row r="54">
      <c r="A54" s="124" t="n">
        <v>909</v>
      </c>
      <c r="B54" s="223" t="inlineStr">
        <is>
          <t>Papel Higiénico 20 x 14,5 8000 h. 4000 usos</t>
        </is>
      </c>
      <c r="D54" s="237">
        <f>L54*0.93*0.98</f>
        <v/>
      </c>
      <c r="E54" s="87">
        <f>D54*1.3*1.105</f>
        <v/>
      </c>
      <c r="F54" s="87">
        <f>D54*1.3*1.105/0.9</f>
        <v/>
      </c>
      <c r="G54" s="87">
        <f>F54*1.21</f>
        <v/>
      </c>
      <c r="H54" s="87">
        <f>ROUND(G54/100,0)*100</f>
        <v/>
      </c>
      <c r="J54" s="87" t="n">
        <v>6790.394814</v>
      </c>
      <c r="L54" s="230" t="n">
        <v>10244.45</v>
      </c>
      <c r="M54" s="128" t="n"/>
      <c r="N54" s="120">
        <f>(L54/J54)-1</f>
        <v/>
      </c>
      <c r="O54" s="237" t="n"/>
    </row>
    <row r="55">
      <c r="A55" s="124" t="n">
        <v>912</v>
      </c>
      <c r="B55" s="223" t="inlineStr">
        <is>
          <t>Papel Higienico UNITAS(18x14,5cm) 8000 h/4000 usos</t>
        </is>
      </c>
      <c r="D55" s="237">
        <f>L55*0.93*0.98</f>
        <v/>
      </c>
      <c r="E55" s="87">
        <f>D55*1.3*1.105</f>
        <v/>
      </c>
      <c r="F55" s="87">
        <f>D55*1.3*1.105/0.9</f>
        <v/>
      </c>
      <c r="G55" s="87">
        <f>F55*1.21</f>
        <v/>
      </c>
      <c r="H55" s="87">
        <f>ROUND(G55/100,0)*100</f>
        <v/>
      </c>
      <c r="I55" s="87">
        <f>F55*1.1</f>
        <v/>
      </c>
      <c r="J55" s="87" t="n">
        <v>5456.241924000001</v>
      </c>
      <c r="L55" s="230" t="n">
        <v>8231.16</v>
      </c>
      <c r="M55" s="128" t="n"/>
      <c r="N55" s="120">
        <f>(L55/J55)-1</f>
        <v/>
      </c>
      <c r="O55" s="237" t="n"/>
    </row>
    <row r="56">
      <c r="A56" s="124" t="n"/>
      <c r="B56" s="223" t="n"/>
      <c r="C56" s="223" t="n"/>
      <c r="D56" s="237" t="n"/>
      <c r="J56" s="87" t="n"/>
      <c r="L56" s="87" t="n"/>
      <c r="M56" s="128" t="n"/>
      <c r="N56" s="120" t="n"/>
      <c r="O56" s="237" t="n"/>
    </row>
    <row r="57">
      <c r="A57" s="124" t="n"/>
      <c r="B57" s="108" t="n">
        <v>44896</v>
      </c>
      <c r="C57" s="223" t="n"/>
      <c r="D57" s="237" t="n"/>
      <c r="J57" s="87" t="n"/>
      <c r="L57" s="87" t="n"/>
      <c r="M57" s="128" t="n"/>
      <c r="N57" s="156" t="n"/>
      <c r="O57" s="237" t="n"/>
    </row>
    <row r="58">
      <c r="A58" s="124" t="n"/>
      <c r="B58" s="223" t="n"/>
      <c r="C58" s="223" t="n"/>
      <c r="D58" s="237" t="n"/>
      <c r="J58" s="87" t="n"/>
      <c r="L58" s="87" t="n"/>
      <c r="M58" s="128" t="n"/>
      <c r="N58" s="120" t="n"/>
      <c r="O58" s="237" t="n"/>
    </row>
    <row r="59">
      <c r="A59" s="117" t="inlineStr">
        <is>
          <t>CAMILLEROS</t>
        </is>
      </c>
      <c r="B59" s="223" t="n"/>
      <c r="C59" s="223" t="n"/>
      <c r="D59" s="237" t="n"/>
      <c r="J59" s="87" t="n"/>
      <c r="L59" s="87" t="n"/>
      <c r="M59" s="119" t="n"/>
      <c r="N59" s="120" t="n"/>
      <c r="O59" s="237" t="n"/>
    </row>
    <row r="60">
      <c r="A60" s="131" t="n"/>
      <c r="B60" s="223" t="n"/>
      <c r="C60" s="223" t="n"/>
      <c r="D60" s="237" t="n"/>
      <c r="J60" s="87" t="n"/>
      <c r="L60" s="87" t="n"/>
      <c r="M60" s="119" t="n"/>
      <c r="N60" s="120" t="n"/>
      <c r="O60" s="237" t="n"/>
    </row>
    <row r="61">
      <c r="A61" s="124" t="n">
        <v>301</v>
      </c>
      <c r="B61" s="223" t="inlineStr">
        <is>
          <t>Pack x 2 Rollos Camilleros bco s/h 54x100mts Prec</t>
        </is>
      </c>
      <c r="D61" s="87" t="n">
        <v>6630.27</v>
      </c>
      <c r="E61" s="87">
        <f>D61*1.3*1.105</f>
        <v/>
      </c>
      <c r="F61" s="87">
        <f>D61*1.3*1.105/0.9</f>
        <v/>
      </c>
      <c r="G61" s="87">
        <f>F61*1.21</f>
        <v/>
      </c>
      <c r="H61" s="87">
        <f>ROUND(G61/100,0)*100</f>
        <v/>
      </c>
      <c r="J61" s="87" t="n">
        <v>5470.961034000002</v>
      </c>
      <c r="L61" s="87" t="n"/>
      <c r="M61" s="128" t="n"/>
      <c r="N61" s="120" t="n">
        <v>0.1</v>
      </c>
      <c r="O61" s="154" t="n"/>
    </row>
    <row r="62">
      <c r="A62" s="124" t="n"/>
      <c r="B62" s="155" t="n"/>
      <c r="C62" s="223" t="n"/>
      <c r="D62" s="237" t="n"/>
      <c r="J62" s="87" t="n"/>
      <c r="L62" s="87" t="n"/>
      <c r="M62" s="128" t="n"/>
      <c r="N62" s="156" t="n"/>
      <c r="O62" s="237" t="n"/>
    </row>
    <row r="63">
      <c r="A63" s="142" t="inlineStr">
        <is>
          <t>DISPENSERS</t>
        </is>
      </c>
      <c r="B63" s="223" t="n"/>
      <c r="C63" s="223" t="n"/>
      <c r="D63" s="237" t="n"/>
      <c r="J63" s="87" t="n"/>
      <c r="L63" s="87" t="n"/>
      <c r="M63" s="144" t="n"/>
      <c r="N63" s="120" t="n"/>
      <c r="O63" s="237" t="n"/>
    </row>
    <row r="64">
      <c r="A64" s="111" t="n"/>
      <c r="B64" s="223" t="n"/>
      <c r="C64" s="223" t="n"/>
      <c r="D64" s="237" t="n"/>
      <c r="J64" s="87" t="n"/>
      <c r="L64" s="87" t="n"/>
      <c r="M64" s="144" t="n"/>
      <c r="N64" s="120" t="n"/>
      <c r="O64" s="237" t="n"/>
    </row>
    <row r="65">
      <c r="A65" s="124" t="n">
        <v>403</v>
      </c>
      <c r="B65" s="223" t="inlineStr">
        <is>
          <t>Portabobina de Pared</t>
        </is>
      </c>
      <c r="C65" s="223" t="n"/>
      <c r="D65" s="237">
        <f>L65*0.93*0.98</f>
        <v/>
      </c>
      <c r="E65" s="87">
        <f>D65*1.3*1.105</f>
        <v/>
      </c>
      <c r="F65" s="87">
        <f>D65*1.3*1.105/0.9</f>
        <v/>
      </c>
      <c r="G65" s="87">
        <f>F65*1.21</f>
        <v/>
      </c>
      <c r="H65" s="87">
        <f>ROUND(G65/100,0)*100</f>
        <v/>
      </c>
      <c r="J65" s="87" t="n">
        <v>8895.938436</v>
      </c>
      <c r="L65" s="127" t="n">
        <v>13421</v>
      </c>
      <c r="M65" s="128" t="n"/>
      <c r="N65" s="120">
        <f>(L65/J65)-1</f>
        <v/>
      </c>
      <c r="O65" s="237" t="n"/>
    </row>
    <row r="66">
      <c r="A66" s="124" t="n">
        <v>418</v>
      </c>
      <c r="B66" s="223" t="inlineStr">
        <is>
          <t>Portabobina de Piso</t>
        </is>
      </c>
      <c r="C66" s="223" t="n"/>
      <c r="D66" s="237">
        <f>L66*0.93*0.98</f>
        <v/>
      </c>
      <c r="E66" s="87">
        <f>D66*1.3*1.105</f>
        <v/>
      </c>
      <c r="F66" s="87">
        <f>D66*1.3*1.105/0.9</f>
        <v/>
      </c>
      <c r="G66" s="87">
        <f>F66*1.21</f>
        <v/>
      </c>
      <c r="H66" s="87">
        <f>ROUND(G66/100,0)*100</f>
        <v/>
      </c>
      <c r="J66" s="87" t="n">
        <v>9785.309898</v>
      </c>
      <c r="L66" s="230" t="n">
        <v>14762.78</v>
      </c>
      <c r="M66" s="128" t="n"/>
      <c r="N66" s="120">
        <f>(L66/J66)-1</f>
        <v/>
      </c>
      <c r="O66" s="237" t="n"/>
    </row>
    <row r="67">
      <c r="A67" s="124" t="n">
        <v>422</v>
      </c>
      <c r="B67" s="223" t="inlineStr">
        <is>
          <t>Dispenser Celmatic Due</t>
        </is>
      </c>
      <c r="C67" s="223" t="n"/>
      <c r="D67" s="237">
        <f>L67*0.93*0.98</f>
        <v/>
      </c>
      <c r="E67" s="87">
        <f>D67*1.3*1.105</f>
        <v/>
      </c>
      <c r="F67" s="87">
        <f>D67*1.3*1.105/0.9</f>
        <v/>
      </c>
      <c r="G67" s="87">
        <f>F67*1.21</f>
        <v/>
      </c>
      <c r="H67" s="87">
        <f>ROUND(G67/100,0)*100</f>
        <v/>
      </c>
      <c r="J67" s="87" t="n">
        <v>12538.239168</v>
      </c>
      <c r="L67" s="230" t="n">
        <v>18916.04</v>
      </c>
      <c r="M67" s="128" t="n"/>
      <c r="N67" s="120">
        <f>(L67/J67)-1</f>
        <v/>
      </c>
      <c r="O67" s="237" t="n"/>
    </row>
    <row r="68">
      <c r="A68" s="124" t="n">
        <v>425</v>
      </c>
      <c r="B68" s="223" t="inlineStr">
        <is>
          <t>Dosificador para Jabón Líquido Recargable</t>
        </is>
      </c>
      <c r="D68" s="237">
        <f>L68*0.93*0.98</f>
        <v/>
      </c>
      <c r="E68" s="87">
        <f>D68*1.3*1.105</f>
        <v/>
      </c>
      <c r="F68" s="87">
        <f>D68*1.3*1.105/0.9</f>
        <v/>
      </c>
      <c r="G68" s="87">
        <f>F68*1.21</f>
        <v/>
      </c>
      <c r="H68" s="87">
        <f>ROUND(G68/100,0)*100</f>
        <v/>
      </c>
      <c r="J68" s="87" t="n">
        <v>4703.41641</v>
      </c>
      <c r="L68" s="230" t="n">
        <v>7095.9</v>
      </c>
      <c r="M68" s="128" t="n"/>
      <c r="N68" s="120">
        <f>(L68/J68)-1</f>
        <v/>
      </c>
      <c r="O68" s="237" t="n"/>
    </row>
    <row r="69">
      <c r="A69" s="124" t="n">
        <v>427</v>
      </c>
      <c r="B69" s="223" t="inlineStr">
        <is>
          <t>Dispenser Para Papel Higienico Racional 350</t>
        </is>
      </c>
      <c r="D69" s="237">
        <f>L69*0.93*0.98</f>
        <v/>
      </c>
      <c r="E69" s="87">
        <f>D69*1.3*1.105</f>
        <v/>
      </c>
      <c r="F69" s="87">
        <f>D69*1.3*1.105/0.9</f>
        <v/>
      </c>
      <c r="G69" s="87">
        <f>F69*1.21</f>
        <v/>
      </c>
      <c r="H69" s="87">
        <f>ROUND(G69/100,0)*100</f>
        <v/>
      </c>
      <c r="J69" s="87" t="n">
        <v>5745.301547999999</v>
      </c>
      <c r="L69" s="230" t="n">
        <v>8667.76</v>
      </c>
      <c r="M69" s="128" t="n"/>
      <c r="N69" s="120">
        <f>(L69/J69)-1</f>
        <v/>
      </c>
      <c r="O69" s="237" t="n"/>
    </row>
    <row r="70">
      <c r="A70" s="124" t="n">
        <v>428</v>
      </c>
      <c r="B70" s="223" t="inlineStr">
        <is>
          <t>Dispenser para Papel Higiénico</t>
        </is>
      </c>
      <c r="C70" s="223" t="n"/>
      <c r="D70" s="237">
        <f>L70*0.93*0.98</f>
        <v/>
      </c>
      <c r="E70" s="87">
        <f>D70*1.3*1.105</f>
        <v/>
      </c>
      <c r="F70" s="87">
        <f>D70*1.3*1.105/0.9</f>
        <v/>
      </c>
      <c r="G70" s="87">
        <f>F70*1.21</f>
        <v/>
      </c>
      <c r="H70" s="87">
        <f>ROUND(G70/100,0)*100</f>
        <v/>
      </c>
      <c r="J70" s="87" t="n">
        <v>6569.954496</v>
      </c>
      <c r="L70" s="230" t="n">
        <v>9911.879999999999</v>
      </c>
      <c r="M70" s="128" t="n"/>
      <c r="N70" s="120">
        <f>(L70/J70)-1</f>
        <v/>
      </c>
      <c r="O70" s="237" t="n"/>
    </row>
    <row r="71">
      <c r="A71" s="124" t="n">
        <v>429</v>
      </c>
      <c r="B71" s="223" t="inlineStr">
        <is>
          <t>Dispenser para Toallas de Papel</t>
        </is>
      </c>
      <c r="C71" s="223" t="n"/>
      <c r="D71" s="237">
        <f>L71*0.93*0.98</f>
        <v/>
      </c>
      <c r="E71" s="87">
        <f>D71*1.3*1.105</f>
        <v/>
      </c>
      <c r="F71" s="87">
        <f>D71*1.3*1.105/0.9</f>
        <v/>
      </c>
      <c r="G71" s="87">
        <f>F71*1.21</f>
        <v/>
      </c>
      <c r="H71" s="87">
        <f>ROUND(G71/100,0)*100</f>
        <v/>
      </c>
      <c r="J71" s="87" t="n">
        <v>4713.469152</v>
      </c>
      <c r="L71" s="230" t="n">
        <v>7111.06</v>
      </c>
      <c r="M71" s="128" t="n"/>
      <c r="N71" s="120">
        <f>(L71/J71)-1</f>
        <v/>
      </c>
      <c r="O71" s="237" t="n"/>
    </row>
    <row r="72">
      <c r="A72" s="124" t="n">
        <v>430</v>
      </c>
      <c r="B72" s="223" t="inlineStr">
        <is>
          <t>Dispenser Para Papel Higienico Racional 600</t>
        </is>
      </c>
      <c r="D72" s="237">
        <f>L72*0.93*0.98</f>
        <v/>
      </c>
      <c r="E72" s="87">
        <f>D72*1.3*1.105</f>
        <v/>
      </c>
      <c r="F72" s="87">
        <f>D72*1.3*1.105/0.9</f>
        <v/>
      </c>
      <c r="G72" s="87">
        <f>F72*1.21</f>
        <v/>
      </c>
      <c r="H72" s="87">
        <f>ROUND(G72/100,0)*100</f>
        <v/>
      </c>
      <c r="J72" s="87" t="n">
        <v>9248.212764</v>
      </c>
      <c r="L72" s="230" t="n">
        <v>13952.46</v>
      </c>
      <c r="M72" s="128" t="n"/>
      <c r="N72" s="120">
        <f>(L72/J72)-1</f>
        <v/>
      </c>
      <c r="O72" s="237" t="n"/>
    </row>
    <row r="73">
      <c r="A73" s="124" t="n"/>
      <c r="B73" s="223" t="n"/>
      <c r="C73" s="223" t="n"/>
      <c r="D73" s="237" t="n"/>
      <c r="J73" s="87" t="n"/>
      <c r="L73" s="87" t="n"/>
      <c r="M73" s="128" t="n"/>
      <c r="N73" s="120" t="n"/>
      <c r="O73" s="237" t="n"/>
    </row>
    <row r="74">
      <c r="A74" s="124" t="n"/>
      <c r="B74" s="223" t="n"/>
      <c r="C74" s="223" t="n"/>
      <c r="D74" s="237" t="n"/>
      <c r="J74" s="87" t="n"/>
      <c r="L74" s="87" t="n"/>
      <c r="M74" s="128" t="n"/>
      <c r="N74" s="120" t="n"/>
      <c r="O74" s="237" t="n"/>
    </row>
    <row r="75">
      <c r="A75" s="124" t="n"/>
      <c r="B75" s="223" t="n"/>
      <c r="C75" s="223" t="n"/>
      <c r="D75" s="237" t="n"/>
      <c r="J75" s="87" t="n"/>
      <c r="L75" s="87" t="n"/>
      <c r="M75" s="128" t="n"/>
      <c r="N75" s="120" t="n"/>
      <c r="O75" s="237" t="n"/>
    </row>
    <row r="76">
      <c r="A76" s="117" t="inlineStr">
        <is>
          <t>LIMPIEZA INDUSTRIAL</t>
        </is>
      </c>
      <c r="B76" s="271" t="n"/>
      <c r="C76" s="223" t="n"/>
      <c r="D76" s="237" t="n"/>
      <c r="J76" s="87" t="n"/>
      <c r="L76" s="87" t="n"/>
      <c r="M76" s="119" t="n"/>
      <c r="O76" s="237" t="n"/>
    </row>
    <row r="77">
      <c r="A77" s="131" t="n"/>
      <c r="B77" s="223" t="n"/>
      <c r="C77" s="223" t="n"/>
      <c r="D77" s="237" t="n"/>
      <c r="J77" s="87" t="n"/>
      <c r="L77" s="87" t="n"/>
      <c r="M77" s="119" t="n"/>
      <c r="N77" s="120" t="n"/>
      <c r="O77" s="237" t="n"/>
    </row>
    <row r="78">
      <c r="A78" s="182" t="n">
        <v>101</v>
      </c>
      <c r="B78" s="224" t="inlineStr">
        <is>
          <t>Pack x 6 bobinas 22,5 cm x 300 porciones</t>
        </is>
      </c>
      <c r="D78" s="184">
        <f>L78*0.93*0.98</f>
        <v/>
      </c>
      <c r="E78" s="87">
        <f>D78*1.3*1.105</f>
        <v/>
      </c>
      <c r="F78" s="87">
        <f>D78*1.3*1.105/0.9</f>
        <v/>
      </c>
      <c r="G78" s="87">
        <f>F78*1.21</f>
        <v/>
      </c>
      <c r="H78" s="87">
        <f>ROUND(G78/100,0)*100</f>
        <v/>
      </c>
      <c r="J78" s="87" t="n">
        <v>7070.887278000001</v>
      </c>
      <c r="L78" s="127" t="n">
        <v>10667.62</v>
      </c>
      <c r="M78" s="128" t="n"/>
      <c r="N78" s="120">
        <f>(L78/J78)-1</f>
        <v/>
      </c>
      <c r="O78" s="184" t="n"/>
    </row>
    <row r="79">
      <c r="A79" s="124" t="n">
        <v>109</v>
      </c>
      <c r="B79" s="223" t="inlineStr">
        <is>
          <t>Pack x 2 bobinas papel original 22,5 cm x 270 mts</t>
        </is>
      </c>
      <c r="D79" s="237">
        <f>L79*0.93*0.98</f>
        <v/>
      </c>
      <c r="E79" s="87">
        <f>D79*1.3*1.105</f>
        <v/>
      </c>
      <c r="F79" s="87">
        <f>D79*1.3*1.105/0.9</f>
        <v/>
      </c>
      <c r="G79" s="87">
        <f>F79*1.21</f>
        <v/>
      </c>
      <c r="H79" s="87">
        <f>ROUND(G79/100,0)*100</f>
        <v/>
      </c>
      <c r="J79" s="87" t="n">
        <v>5518.472315999999</v>
      </c>
      <c r="L79" s="230" t="n">
        <v>8325.530000000001</v>
      </c>
      <c r="M79" s="128" t="n"/>
      <c r="N79" s="120">
        <f>(L79/J79)-1</f>
        <v/>
      </c>
      <c r="O79" s="237" t="n"/>
    </row>
    <row r="80">
      <c r="A80" s="182" t="n">
        <v>123</v>
      </c>
      <c r="B80" s="224" t="inlineStr">
        <is>
          <t>Pack x 2 bobinas Papel Original 900 hjs/360 mts.</t>
        </is>
      </c>
      <c r="D80" s="184">
        <f>L80*0.93*0.98</f>
        <v/>
      </c>
      <c r="E80" s="87">
        <f>D80*1.3*1.105</f>
        <v/>
      </c>
      <c r="F80" s="87">
        <f>D80*1.3*1.105/0.9</f>
        <v/>
      </c>
      <c r="G80" s="87">
        <f>F80*1.21</f>
        <v/>
      </c>
      <c r="H80" s="87">
        <f>ROUND(G80/100,0)*100</f>
        <v/>
      </c>
      <c r="J80" s="87" t="n">
        <v>8079.943788000001</v>
      </c>
      <c r="L80" s="230" t="n">
        <v>12189.96</v>
      </c>
      <c r="M80" s="128" t="n"/>
      <c r="N80" s="120">
        <f>(L80/J80)-1</f>
        <v/>
      </c>
      <c r="O80" s="184" t="n"/>
    </row>
    <row r="81">
      <c r="A81" s="124" t="n">
        <v>809</v>
      </c>
      <c r="B81" s="223" t="inlineStr">
        <is>
          <t>Pack x 4 Rollos 600 porc 25x25 Rep Tambo</t>
        </is>
      </c>
      <c r="D81" s="237">
        <f>L81*0.93*0.98</f>
        <v/>
      </c>
      <c r="E81" s="87">
        <f>D81*1.3*1.105</f>
        <v/>
      </c>
      <c r="F81" s="87">
        <f>D81*1.3*1.105/0.9</f>
        <v/>
      </c>
      <c r="G81" s="87">
        <f>F81*1.21</f>
        <v/>
      </c>
      <c r="H81" s="87">
        <f>ROUND(G81/100,0)*100</f>
        <v/>
      </c>
      <c r="J81" s="87" t="n">
        <v>8420.798273999999</v>
      </c>
      <c r="L81" s="230" t="n">
        <v>12704.18</v>
      </c>
      <c r="M81" s="128" t="n"/>
      <c r="N81" s="120">
        <f>(L81/J81)-1</f>
        <v/>
      </c>
      <c r="O81" s="237" t="n"/>
    </row>
    <row r="82">
      <c r="A82" s="124" t="n"/>
      <c r="B82" s="223" t="n"/>
      <c r="C82" s="223" t="n"/>
      <c r="D82" s="237" t="n"/>
      <c r="J82" s="87" t="n"/>
      <c r="L82" s="87" t="n"/>
      <c r="M82" s="128" t="n"/>
      <c r="N82" s="120" t="n"/>
      <c r="O82" s="237" t="n"/>
    </row>
    <row r="83">
      <c r="A83" s="124" t="n"/>
      <c r="B83" s="223" t="n"/>
      <c r="C83" s="223" t="n"/>
      <c r="D83" s="237" t="n"/>
      <c r="J83" s="87" t="n"/>
      <c r="L83" s="87" t="n"/>
      <c r="M83" s="128" t="n"/>
      <c r="N83" s="120" t="n"/>
      <c r="O83" s="237" t="n"/>
    </row>
    <row r="84">
      <c r="A84" s="117" t="inlineStr">
        <is>
          <t>PAÑOS DE LIMPIEZA DE ALTA PERFORMANCE</t>
        </is>
      </c>
      <c r="B84" s="223" t="n"/>
      <c r="C84" s="223" t="n"/>
      <c r="D84" s="237" t="n"/>
      <c r="J84" s="87" t="n"/>
      <c r="L84" s="87" t="n"/>
      <c r="M84" s="119" t="n"/>
      <c r="N84" s="120" t="n"/>
      <c r="O84" s="237" t="n"/>
    </row>
    <row r="85">
      <c r="A85" s="131" t="n"/>
      <c r="B85" s="223" t="n"/>
      <c r="C85" s="223" t="n"/>
      <c r="D85" s="237" t="n"/>
      <c r="J85" s="87" t="n"/>
      <c r="L85" s="87" t="n"/>
      <c r="M85" s="119" t="n"/>
      <c r="N85" s="120" t="n"/>
      <c r="O85" s="237" t="n"/>
    </row>
    <row r="86">
      <c r="A86" s="157" t="inlineStr">
        <is>
          <t>Linea Softclean</t>
        </is>
      </c>
      <c r="C86" s="158" t="n"/>
      <c r="D86" s="169" t="n"/>
      <c r="J86" s="87" t="n"/>
      <c r="L86" s="87" t="n"/>
      <c r="M86" s="119" t="n"/>
      <c r="O86" s="169" t="n"/>
    </row>
    <row r="87">
      <c r="A87" s="186" t="n">
        <v>605</v>
      </c>
      <c r="B87" s="223" t="inlineStr">
        <is>
          <t>Caja x 250 Paños Ultratex de 34cm x 60cm</t>
        </is>
      </c>
      <c r="D87" s="166">
        <f>L87*0.93*0.98</f>
        <v/>
      </c>
      <c r="E87" s="87">
        <f>D87*1.3*1.105</f>
        <v/>
      </c>
      <c r="F87" s="87">
        <f>D87*1.3*1.105/0.9</f>
        <v/>
      </c>
      <c r="G87" s="87">
        <f>F87*1.21</f>
        <v/>
      </c>
      <c r="H87" s="87">
        <f>ROUND(G87/100,0)*100</f>
        <v/>
      </c>
      <c r="J87" s="87" t="n">
        <v>208.16376</v>
      </c>
      <c r="L87" s="160" t="n">
        <v>78.98999999999999</v>
      </c>
      <c r="M87" s="167" t="n"/>
      <c r="N87" s="120">
        <f>(L87/J87)-1</f>
        <v/>
      </c>
      <c r="O87" s="166" t="n"/>
    </row>
    <row r="88">
      <c r="A88" s="186" t="n">
        <v>606</v>
      </c>
      <c r="B88" s="134" t="inlineStr">
        <is>
          <t>Caja x 300 Paños Ultratex de 45,7cm x 53,3cm</t>
        </is>
      </c>
      <c r="D88" s="164">
        <f>L88*0.93*0.98</f>
        <v/>
      </c>
      <c r="E88" s="147">
        <f>D88*1.3*1.105</f>
        <v/>
      </c>
      <c r="F88" s="147">
        <f>D88*1.3*1.105/0.9</f>
        <v/>
      </c>
      <c r="G88" s="147">
        <f>F88*1.21</f>
        <v/>
      </c>
      <c r="H88" s="147">
        <f>ROUND(G88/100,0)*100</f>
        <v/>
      </c>
      <c r="I88" s="146" t="n"/>
      <c r="J88" s="147" t="n">
        <v>294.509796</v>
      </c>
      <c r="K88" s="146" t="n"/>
      <c r="L88" s="240" t="n">
        <v>347.37</v>
      </c>
      <c r="M88" s="163" t="n"/>
      <c r="N88" s="150">
        <f>(L88/J88)-1</f>
        <v/>
      </c>
      <c r="O88" s="164" t="n"/>
      <c r="P88" s="146" t="n"/>
      <c r="Q88" s="146" t="n"/>
      <c r="R88" s="146" t="n"/>
      <c r="S88" s="146" t="n"/>
      <c r="T88" s="146" t="n"/>
      <c r="U88" s="146" t="n"/>
      <c r="V88" s="146" t="n"/>
      <c r="W88" s="146" t="n"/>
      <c r="X88" s="146" t="n"/>
      <c r="Y88" s="146" t="n"/>
      <c r="Z88" s="146" t="n"/>
      <c r="AA88" s="146" t="n"/>
    </row>
    <row r="89">
      <c r="A89" s="186" t="n">
        <v>608</v>
      </c>
      <c r="B89" s="223" t="inlineStr">
        <is>
          <t>Repuesto x 2 rollos Softclean x 350 mts</t>
        </is>
      </c>
      <c r="D89" s="166">
        <f>L89*0.93*0.98</f>
        <v/>
      </c>
      <c r="E89" s="87">
        <f>D89*1.3*1.105</f>
        <v/>
      </c>
      <c r="F89" s="87">
        <f>D89*1.3*1.105/0.9</f>
        <v/>
      </c>
      <c r="G89" s="87">
        <f>F89*1.21</f>
        <v/>
      </c>
      <c r="H89" s="87">
        <f>ROUND(G89/100,0)*100</f>
        <v/>
      </c>
      <c r="J89" s="87" t="n">
        <v>45.050502</v>
      </c>
      <c r="L89" s="240" t="n">
        <v>71.73999999999999</v>
      </c>
      <c r="M89" s="167" t="n"/>
      <c r="N89" s="120">
        <f>(L89/J89)-1</f>
        <v/>
      </c>
      <c r="O89" s="166" t="n"/>
    </row>
    <row r="90">
      <c r="A90" s="186" t="n">
        <v>612</v>
      </c>
      <c r="B90" s="223" t="inlineStr">
        <is>
          <t>Contenedor Mini Softclean x 150 porc. 13 x 26.5cm</t>
        </is>
      </c>
      <c r="D90" s="166">
        <f>L90*0.93*0.98</f>
        <v/>
      </c>
      <c r="E90" s="87">
        <f>D90*1.3*1.105</f>
        <v/>
      </c>
      <c r="F90" s="87">
        <f>D90*1.3*1.105/0.9</f>
        <v/>
      </c>
      <c r="G90" s="87">
        <f>F90*1.21</f>
        <v/>
      </c>
      <c r="H90" s="87">
        <f>ROUND(G90/100,0)*100</f>
        <v/>
      </c>
      <c r="J90" s="87" t="n">
        <v>6.862842000000001</v>
      </c>
      <c r="L90" s="240" t="n">
        <v>86.42</v>
      </c>
      <c r="M90" s="167" t="n"/>
      <c r="N90" s="120">
        <f>(L90/J90)-1</f>
        <v/>
      </c>
      <c r="O90" s="166" t="n"/>
    </row>
    <row r="91">
      <c r="A91" s="186" t="n">
        <v>614</v>
      </c>
      <c r="B91" s="223" t="inlineStr">
        <is>
          <t>Rollo SoftClean S 70x 875 Porciones de 30x 25</t>
        </is>
      </c>
      <c r="D91" s="166">
        <f>L91*0.93*0.98</f>
        <v/>
      </c>
      <c r="E91" s="87">
        <f>D91*1.3*1.105</f>
        <v/>
      </c>
      <c r="F91" s="87">
        <f>D91*1.3*1.105/0.9</f>
        <v/>
      </c>
      <c r="G91" s="87">
        <f>F91*1.21</f>
        <v/>
      </c>
      <c r="H91" s="87">
        <f>ROUND(G91/100,0)*100</f>
        <v/>
      </c>
      <c r="J91" s="87" t="n">
        <v>54.27387</v>
      </c>
      <c r="L91" s="240" t="n">
        <v>37.59</v>
      </c>
      <c r="M91" s="167" t="n"/>
      <c r="N91" s="120">
        <f>(L91/J91)-1</f>
        <v/>
      </c>
      <c r="O91" s="166" t="n"/>
    </row>
    <row r="92">
      <c r="A92" s="186" t="n">
        <v>615</v>
      </c>
      <c r="B92" s="223" t="inlineStr">
        <is>
          <t>Contenedor Center Softclean x 350 22,5 x26,5</t>
        </is>
      </c>
      <c r="D92" s="166">
        <f>L92*0.93*0.98</f>
        <v/>
      </c>
      <c r="E92" s="87">
        <f>D92*1.3*1.105</f>
        <v/>
      </c>
      <c r="F92" s="87">
        <f>D92*1.3*1.105/0.9</f>
        <v/>
      </c>
      <c r="G92" s="87">
        <f>F92*1.21</f>
        <v/>
      </c>
      <c r="H92" s="87">
        <f>ROUND(G92/100,0)*100</f>
        <v/>
      </c>
      <c r="J92" s="87" t="n">
        <v>23.60526</v>
      </c>
      <c r="L92" s="240" t="n">
        <v>18.8</v>
      </c>
      <c r="M92" s="167" t="n"/>
      <c r="N92" s="120">
        <f>(L92/J92)-1</f>
        <v/>
      </c>
      <c r="O92" s="166" t="n"/>
    </row>
    <row r="93">
      <c r="A93" s="186" t="n">
        <v>616</v>
      </c>
      <c r="B93" s="223" t="inlineStr">
        <is>
          <t>Rollo Mini Sofclean x 190 porciones de 22,5 x 26,5</t>
        </is>
      </c>
      <c r="D93" s="166">
        <f>L93*0.93*0.98</f>
        <v/>
      </c>
      <c r="E93" s="87">
        <f>D93*1.3*1.105</f>
        <v/>
      </c>
      <c r="F93" s="87">
        <f>D93*1.3*1.105/0.9</f>
        <v/>
      </c>
      <c r="G93" s="87">
        <f>F93*1.21</f>
        <v/>
      </c>
      <c r="H93" s="87">
        <f>ROUND(G93/100,0)*100</f>
        <v/>
      </c>
      <c r="J93" s="87" t="n">
        <v>11.793516</v>
      </c>
      <c r="L93" s="240" t="n">
        <v>62.34</v>
      </c>
      <c r="M93" s="167" t="n"/>
      <c r="N93" s="120">
        <f>(L93/J93)-1</f>
        <v/>
      </c>
      <c r="O93" s="166" t="n"/>
    </row>
    <row r="94">
      <c r="A94" s="186" t="n">
        <v>617</v>
      </c>
      <c r="B94" s="134" t="inlineStr">
        <is>
          <t>Caja 1/4 Folded Softclean 500 30 x 30 cm Celeste</t>
        </is>
      </c>
      <c r="D94" s="164">
        <f>L94*0.93*0.98</f>
        <v/>
      </c>
      <c r="E94" s="147">
        <f>D94*1.3*1.105</f>
        <v/>
      </c>
      <c r="F94" s="147">
        <f>D94*1.3*1.105/0.9</f>
        <v/>
      </c>
      <c r="G94" s="147">
        <f>F94*1.21</f>
        <v/>
      </c>
      <c r="H94" s="147">
        <f>ROUND(G94/100,0)*100</f>
        <v/>
      </c>
      <c r="I94" s="146" t="n"/>
      <c r="J94" s="147" t="n">
        <v>39.153744</v>
      </c>
      <c r="K94" s="146" t="n"/>
      <c r="L94" s="240" t="n">
        <v>62.34</v>
      </c>
      <c r="M94" s="163" t="n"/>
      <c r="N94" s="150">
        <f>(L94/J94)-1</f>
        <v/>
      </c>
      <c r="O94" s="164" t="n"/>
      <c r="P94" s="146" t="n"/>
      <c r="Q94" s="146" t="n"/>
      <c r="R94" s="146" t="n"/>
      <c r="S94" s="146" t="n"/>
      <c r="T94" s="146" t="n"/>
      <c r="U94" s="146" t="n"/>
      <c r="V94" s="146" t="n"/>
      <c r="W94" s="146" t="n"/>
      <c r="X94" s="146" t="n"/>
      <c r="Y94" s="146" t="n"/>
      <c r="Z94" s="146" t="n"/>
      <c r="AA94" s="146" t="n"/>
    </row>
    <row r="95">
      <c r="A95" s="186" t="n">
        <v>618</v>
      </c>
      <c r="B95" s="223" t="inlineStr">
        <is>
          <t>Rollo Precortado Softclean 600 porciones de 30x 26,5</t>
        </is>
      </c>
      <c r="D95" s="166">
        <f>L95*0.93*0.98</f>
        <v/>
      </c>
      <c r="E95" s="87">
        <f>D95*1.3*1.105</f>
        <v/>
      </c>
      <c r="F95" s="87">
        <f>D95*1.3*1.105/0.9</f>
        <v/>
      </c>
      <c r="G95" s="87">
        <f>F95*1.21</f>
        <v/>
      </c>
      <c r="H95" s="87">
        <f>ROUND(G95/100,0)*100</f>
        <v/>
      </c>
      <c r="J95" s="87" t="n">
        <v>39.153744</v>
      </c>
      <c r="L95" s="240" t="n">
        <v>46.18</v>
      </c>
      <c r="M95" s="167" t="n"/>
      <c r="N95" s="120">
        <f>(L95/J95)-1</f>
        <v/>
      </c>
      <c r="O95" s="166" t="n"/>
    </row>
    <row r="96">
      <c r="A96" s="186" t="n"/>
      <c r="B96" s="223" t="n"/>
      <c r="C96" s="223" t="n"/>
      <c r="D96" s="166" t="n"/>
      <c r="J96" s="87" t="n"/>
      <c r="L96" s="87" t="n"/>
      <c r="M96" s="167" t="n"/>
      <c r="N96" s="120" t="n"/>
      <c r="O96" s="166" t="n"/>
    </row>
    <row r="97">
      <c r="A97" s="168" t="inlineStr">
        <is>
          <t>Linea Sontara</t>
        </is>
      </c>
      <c r="C97" s="158" t="n"/>
      <c r="D97" s="169" t="n"/>
      <c r="J97" s="87" t="n"/>
      <c r="L97" s="87" t="n"/>
      <c r="M97" s="170" t="n"/>
      <c r="O97" s="169" t="n"/>
    </row>
    <row r="98">
      <c r="A98" s="186" t="n">
        <v>604</v>
      </c>
      <c r="B98" s="223" t="inlineStr">
        <is>
          <t>Rollo precortado Maxi de 30 x38 blanco</t>
        </is>
      </c>
      <c r="D98" s="166">
        <f>L98*0.93*0.98</f>
        <v/>
      </c>
      <c r="E98" s="87">
        <f>D98*1.3*1.105</f>
        <v/>
      </c>
      <c r="F98" s="87">
        <f>D98*1.3*1.105/0.9</f>
        <v/>
      </c>
      <c r="G98" s="87">
        <f>F98*1.21</f>
        <v/>
      </c>
      <c r="H98" s="87">
        <f>ROUND(G98/100,0)*100</f>
        <v/>
      </c>
      <c r="J98" s="87" t="n">
        <v>103.389216</v>
      </c>
      <c r="L98" s="160" t="n">
        <v>121.94</v>
      </c>
      <c r="M98" s="167" t="n"/>
      <c r="N98" s="120">
        <f>(L98/J98)-1</f>
        <v/>
      </c>
      <c r="O98" s="166" t="n"/>
    </row>
    <row r="99">
      <c r="A99" s="186" t="n">
        <v>619</v>
      </c>
      <c r="B99" s="223" t="inlineStr">
        <is>
          <t>Centerfeed Sontara Celeste 350 porc22,5 x 26,5</t>
        </is>
      </c>
      <c r="D99" s="166">
        <f>L99*0.93*0.98</f>
        <v/>
      </c>
      <c r="E99" s="87">
        <f>D99*1.3*1.105</f>
        <v/>
      </c>
      <c r="F99" s="87">
        <f>D99*1.3*1.105/0.9</f>
        <v/>
      </c>
      <c r="G99" s="87">
        <f>F99*1.21</f>
        <v/>
      </c>
      <c r="H99" s="87">
        <f>ROUND(G99/100,0)*100</f>
        <v/>
      </c>
      <c r="J99" s="87" t="n">
        <v>52.441956</v>
      </c>
      <c r="L99" s="240" t="n">
        <v>61.85</v>
      </c>
      <c r="M99" s="167" t="n"/>
      <c r="N99" s="120">
        <f>(L99/J99)-1</f>
        <v/>
      </c>
      <c r="O99" s="166" t="n"/>
    </row>
    <row r="100">
      <c r="A100" s="186" t="n">
        <v>620</v>
      </c>
      <c r="B100" s="223" t="inlineStr">
        <is>
          <t>Rollo prec Sontara por 600 porc 30 x26,5 celeste</t>
        </is>
      </c>
      <c r="D100" s="166">
        <f>L100*0.93*0.98</f>
        <v/>
      </c>
      <c r="E100" s="87">
        <f>D100*1.3*1.105</f>
        <v/>
      </c>
      <c r="F100" s="87">
        <f>D100*1.3*1.105/0.9</f>
        <v/>
      </c>
      <c r="G100" s="87">
        <f>F100*1.21</f>
        <v/>
      </c>
      <c r="H100" s="87">
        <f>ROUND(G100/100,0)*100</f>
        <v/>
      </c>
      <c r="J100" s="87" t="n">
        <v>97.34663400000001</v>
      </c>
      <c r="L100" s="240" t="n">
        <v>116.54</v>
      </c>
      <c r="M100" s="167" t="n"/>
      <c r="N100" s="120">
        <f>(L100/J100)-1</f>
        <v/>
      </c>
      <c r="O100" s="166" t="n"/>
    </row>
    <row r="101">
      <c r="A101" s="186" t="n">
        <v>621</v>
      </c>
      <c r="B101" s="223" t="inlineStr">
        <is>
          <t>Rollo Sontara Mini x 190 porc 22,5 x26,5 celeste</t>
        </is>
      </c>
      <c r="D101" s="166">
        <f>L101*0.93*0.98</f>
        <v/>
      </c>
      <c r="E101" s="87">
        <f>D101*1.3*1.105</f>
        <v/>
      </c>
      <c r="F101" s="87">
        <f>D101*1.3*1.105/0.9</f>
        <v/>
      </c>
      <c r="G101" s="87">
        <f>F101*1.21</f>
        <v/>
      </c>
      <c r="H101" s="87">
        <f>ROUND(G101/100,0)*100</f>
        <v/>
      </c>
      <c r="J101" s="87" t="n">
        <v>23.823996</v>
      </c>
      <c r="L101" s="240" t="n">
        <v>28.1</v>
      </c>
      <c r="M101" s="167" t="n"/>
      <c r="N101" s="120">
        <f>(L101/J101)-1</f>
        <v/>
      </c>
      <c r="O101" s="166" t="n"/>
    </row>
    <row r="102">
      <c r="A102" s="186" t="n">
        <v>627</v>
      </c>
      <c r="B102" s="223" t="inlineStr">
        <is>
          <t>SMP 300 Paños de 22,5 cm x 22,5 cm</t>
        </is>
      </c>
      <c r="D102" s="166">
        <f>L102*0.93*0.98</f>
        <v/>
      </c>
      <c r="E102" s="87">
        <f>D102*1.3*1.105</f>
        <v/>
      </c>
      <c r="F102" s="87">
        <f>D102*1.3*1.105/0.9</f>
        <v/>
      </c>
      <c r="G102" s="87">
        <f>F102*1.21</f>
        <v/>
      </c>
      <c r="H102" s="87">
        <f>ROUND(G102/100,0)*100</f>
        <v/>
      </c>
      <c r="J102" s="87" t="n">
        <v>62.92305600000001</v>
      </c>
      <c r="L102" s="240" t="n">
        <v>74.22</v>
      </c>
      <c r="M102" s="167" t="n"/>
      <c r="N102" s="120">
        <f>(L102/J102)-1</f>
        <v/>
      </c>
      <c r="O102" s="166" t="n"/>
    </row>
    <row r="103">
      <c r="A103" s="171" t="n">
        <v>645</v>
      </c>
      <c r="B103" s="175" t="inlineStr">
        <is>
          <t>Caja por 500Paños Sontara de 30 x 30 cm celeste</t>
        </is>
      </c>
      <c r="D103" s="166">
        <f>L103*0.93*0.98</f>
        <v/>
      </c>
      <c r="E103" s="87">
        <f>D103*1.3*1.105</f>
        <v/>
      </c>
      <c r="F103" s="87">
        <f>D103*1.3*1.105/0.9</f>
        <v/>
      </c>
      <c r="G103" s="87">
        <f>F103*1.21</f>
        <v/>
      </c>
      <c r="H103" s="87">
        <f>ROUND(G103/100,0)*100</f>
        <v/>
      </c>
      <c r="J103" s="87" t="n">
        <v>69.211716</v>
      </c>
      <c r="L103" s="240" t="n">
        <v>81.63</v>
      </c>
      <c r="M103" s="173" t="n"/>
      <c r="N103" s="177">
        <f>(L103/J103)-1</f>
        <v/>
      </c>
      <c r="O103" s="166" t="n"/>
    </row>
    <row r="104">
      <c r="A104" s="186" t="n">
        <v>656</v>
      </c>
      <c r="B104" s="175" t="inlineStr">
        <is>
          <t>Caja por 400 Paños Sontara de 30 x 30 cm Blancos</t>
        </is>
      </c>
      <c r="D104" s="166">
        <f>L104*0.93*0.98</f>
        <v/>
      </c>
      <c r="E104" s="87">
        <f>D104*1.3*1.105</f>
        <v/>
      </c>
      <c r="F104" s="87">
        <f>D104*1.3*1.105/0.9</f>
        <v/>
      </c>
      <c r="G104" s="87">
        <f>F104*1.21</f>
        <v/>
      </c>
      <c r="H104" s="87">
        <f>ROUND(G104/100,0)*100</f>
        <v/>
      </c>
      <c r="J104" s="87" t="n">
        <v>66.978786</v>
      </c>
      <c r="L104" s="240" t="n">
        <v>79</v>
      </c>
      <c r="M104" s="167" t="n"/>
      <c r="N104" s="177">
        <f>(L104/J104)-1</f>
        <v/>
      </c>
      <c r="O104" s="166" t="n"/>
    </row>
    <row r="105">
      <c r="A105" s="223" t="n"/>
      <c r="B105" s="175" t="n"/>
      <c r="C105" s="175" t="n"/>
      <c r="D105" s="215" t="n"/>
      <c r="J105" s="87" t="n"/>
      <c r="L105" s="87" t="n"/>
      <c r="M105" s="176" t="n"/>
      <c r="N105" s="177" t="n"/>
      <c r="O105" s="215" t="n"/>
    </row>
    <row r="106">
      <c r="A106" s="223" t="n"/>
      <c r="B106" s="175" t="n"/>
      <c r="C106" s="223" t="n"/>
      <c r="D106" s="215" t="n"/>
      <c r="J106" s="87" t="n"/>
      <c r="L106" s="87" t="n"/>
      <c r="M106" s="176" t="n"/>
      <c r="N106" s="177" t="n"/>
      <c r="O106" s="215" t="n"/>
    </row>
    <row r="107">
      <c r="A107" s="223" t="n"/>
      <c r="B107" s="175" t="n"/>
      <c r="C107" s="223" t="n"/>
      <c r="D107" s="215" t="n"/>
      <c r="J107" s="87" t="n"/>
      <c r="L107" s="87" t="n"/>
      <c r="M107" s="176" t="n"/>
      <c r="N107" s="177" t="n"/>
      <c r="O107" s="215" t="n"/>
    </row>
    <row r="108">
      <c r="A108" s="248" t="inlineStr">
        <is>
          <t>LOS PRECIOS NO INCLUYEN I.V.A.</t>
        </is>
      </c>
      <c r="B108" s="272" t="n"/>
      <c r="C108" s="179" t="n"/>
      <c r="D108" s="215" t="n"/>
      <c r="J108" s="87" t="n"/>
      <c r="L108" s="87" t="n"/>
      <c r="M108" s="144" t="n"/>
      <c r="O108" s="215" t="n"/>
    </row>
    <row r="109">
      <c r="A109" s="180" t="inlineStr">
        <is>
          <t>CONDICION DE PAGO: PAGO CONTADO 7% DE DESCUENTO</t>
        </is>
      </c>
      <c r="B109" s="273" t="n"/>
      <c r="C109" s="273" t="n"/>
      <c r="D109" s="215" t="n"/>
      <c r="J109" s="87" t="n"/>
      <c r="L109" s="87" t="n"/>
      <c r="M109" s="144" t="n"/>
      <c r="O109" s="215" t="n"/>
    </row>
    <row r="110">
      <c r="J110" s="87" t="n"/>
      <c r="L110" s="87" t="n"/>
      <c r="M110" s="105" t="n"/>
      <c r="N110" s="106" t="n"/>
    </row>
    <row r="111">
      <c r="J111" s="87" t="n"/>
      <c r="L111" s="87" t="n"/>
      <c r="M111" s="105" t="n"/>
      <c r="N111" s="106" t="n"/>
    </row>
    <row r="112">
      <c r="J112" s="87" t="n"/>
      <c r="L112" s="87" t="n"/>
      <c r="M112" s="105" t="n"/>
      <c r="N112" s="106" t="n"/>
    </row>
    <row r="113">
      <c r="J113" s="87" t="n"/>
      <c r="L113" s="87" t="n"/>
      <c r="M113" s="105" t="n"/>
      <c r="N113" s="106" t="n"/>
    </row>
    <row r="114">
      <c r="J114" s="87" t="n"/>
      <c r="L114" s="87" t="n"/>
      <c r="M114" s="105" t="n"/>
      <c r="N114" s="106" t="n"/>
    </row>
    <row r="115">
      <c r="J115" s="87" t="n"/>
      <c r="L115" s="87" t="n"/>
      <c r="M115" s="105" t="n"/>
      <c r="N115" s="106" t="n"/>
    </row>
    <row r="116">
      <c r="J116" s="87" t="n"/>
      <c r="L116" s="87" t="n"/>
      <c r="M116" s="105" t="n"/>
      <c r="N116" s="106" t="n"/>
    </row>
    <row r="117">
      <c r="J117" s="87" t="n"/>
      <c r="L117" s="87" t="n"/>
      <c r="M117" s="105" t="n"/>
      <c r="N117" s="106" t="n"/>
    </row>
    <row r="118">
      <c r="J118" s="87" t="n"/>
      <c r="L118" s="87" t="n"/>
      <c r="M118" s="105" t="n"/>
      <c r="N118" s="106" t="n"/>
    </row>
    <row r="119">
      <c r="J119" s="87" t="n"/>
      <c r="L119" s="87" t="n"/>
      <c r="M119" s="105" t="n"/>
      <c r="N119" s="106" t="n"/>
    </row>
    <row r="120">
      <c r="J120" s="87" t="n"/>
      <c r="L120" s="87" t="n"/>
      <c r="M120" s="105" t="n"/>
      <c r="N120" s="106" t="n"/>
    </row>
    <row r="121">
      <c r="J121" s="87" t="n"/>
      <c r="L121" s="87" t="n"/>
      <c r="M121" s="105" t="n"/>
      <c r="N121" s="106" t="n"/>
    </row>
    <row r="122">
      <c r="J122" s="87" t="n"/>
      <c r="L122" s="87" t="n"/>
      <c r="M122" s="105" t="n"/>
      <c r="N122" s="106" t="n"/>
    </row>
    <row r="123">
      <c r="J123" s="87" t="n"/>
      <c r="L123" s="87" t="n"/>
      <c r="M123" s="105" t="n"/>
      <c r="N123" s="106" t="n"/>
    </row>
    <row r="124">
      <c r="J124" s="87" t="n"/>
      <c r="L124" s="87" t="n"/>
      <c r="M124" s="105" t="n"/>
      <c r="N124" s="106" t="n"/>
    </row>
    <row r="125">
      <c r="J125" s="87" t="n"/>
      <c r="L125" s="87" t="n"/>
      <c r="M125" s="105" t="n"/>
      <c r="N125" s="106" t="n"/>
    </row>
    <row r="126">
      <c r="J126" s="87" t="n"/>
      <c r="L126" s="87" t="n"/>
      <c r="M126" s="105" t="n"/>
      <c r="N126" s="106" t="n"/>
    </row>
    <row r="127">
      <c r="J127" s="87" t="n"/>
      <c r="L127" s="87" t="n"/>
      <c r="M127" s="105" t="n"/>
      <c r="N127" s="106" t="n"/>
    </row>
    <row r="128">
      <c r="J128" s="87" t="n"/>
      <c r="L128" s="87" t="n"/>
      <c r="M128" s="105" t="n"/>
      <c r="N128" s="106" t="n"/>
    </row>
    <row r="129">
      <c r="J129" s="87" t="n"/>
      <c r="L129" s="87" t="n"/>
      <c r="M129" s="105" t="n"/>
      <c r="N129" s="106" t="n"/>
    </row>
    <row r="130">
      <c r="J130" s="87" t="n"/>
      <c r="L130" s="87" t="n"/>
      <c r="M130" s="105" t="n"/>
      <c r="N130" s="106" t="n"/>
    </row>
    <row r="131">
      <c r="J131" s="87" t="n"/>
      <c r="L131" s="87" t="n"/>
      <c r="M131" s="105" t="n"/>
      <c r="N131" s="106" t="n"/>
    </row>
    <row r="132">
      <c r="J132" s="87" t="n"/>
      <c r="L132" s="87" t="n"/>
      <c r="M132" s="105" t="n"/>
      <c r="N132" s="106" t="n"/>
    </row>
    <row r="133">
      <c r="J133" s="87" t="n"/>
      <c r="L133" s="87" t="n"/>
      <c r="M133" s="105" t="n"/>
      <c r="N133" s="106" t="n"/>
    </row>
    <row r="134">
      <c r="J134" s="87" t="n"/>
      <c r="L134" s="87" t="n"/>
      <c r="M134" s="105" t="n"/>
      <c r="N134" s="106" t="n"/>
    </row>
    <row r="135">
      <c r="J135" s="87" t="n"/>
      <c r="L135" s="87" t="n"/>
      <c r="M135" s="105" t="n"/>
      <c r="N135" s="106" t="n"/>
    </row>
    <row r="136">
      <c r="J136" s="87" t="n"/>
      <c r="L136" s="87" t="n"/>
      <c r="M136" s="105" t="n"/>
      <c r="N136" s="106" t="n"/>
    </row>
    <row r="137">
      <c r="J137" s="87" t="n"/>
      <c r="L137" s="87" t="n"/>
      <c r="M137" s="105" t="n"/>
      <c r="N137" s="106" t="n"/>
    </row>
    <row r="138">
      <c r="J138" s="87" t="n"/>
      <c r="L138" s="87" t="n"/>
      <c r="M138" s="105" t="n"/>
      <c r="N138" s="106" t="n"/>
    </row>
    <row r="139">
      <c r="J139" s="87" t="n"/>
      <c r="L139" s="87" t="n"/>
      <c r="M139" s="105" t="n"/>
      <c r="N139" s="106" t="n"/>
    </row>
    <row r="140">
      <c r="J140" s="87" t="n"/>
      <c r="L140" s="87" t="n"/>
      <c r="M140" s="105" t="n"/>
      <c r="N140" s="106" t="n"/>
    </row>
    <row r="141">
      <c r="J141" s="87" t="n"/>
      <c r="L141" s="87" t="n"/>
      <c r="M141" s="105" t="n"/>
      <c r="N141" s="106" t="n"/>
    </row>
    <row r="142">
      <c r="J142" s="87" t="n"/>
      <c r="L142" s="87" t="n"/>
      <c r="M142" s="105" t="n"/>
      <c r="N142" s="106" t="n"/>
    </row>
    <row r="143">
      <c r="J143" s="87" t="n"/>
      <c r="L143" s="87" t="n"/>
      <c r="M143" s="105" t="n"/>
      <c r="N143" s="106" t="n"/>
    </row>
    <row r="144">
      <c r="J144" s="87" t="n"/>
      <c r="L144" s="87" t="n"/>
      <c r="M144" s="105" t="n"/>
      <c r="N144" s="106" t="n"/>
    </row>
    <row r="145">
      <c r="J145" s="87" t="n"/>
      <c r="L145" s="87" t="n"/>
      <c r="M145" s="105" t="n"/>
      <c r="N145" s="106" t="n"/>
    </row>
    <row r="146">
      <c r="J146" s="87" t="n"/>
      <c r="L146" s="87" t="n"/>
      <c r="M146" s="105" t="n"/>
      <c r="N146" s="106" t="n"/>
    </row>
    <row r="147">
      <c r="J147" s="87" t="n"/>
      <c r="L147" s="87" t="n"/>
      <c r="M147" s="105" t="n"/>
      <c r="N147" s="106" t="n"/>
    </row>
    <row r="148">
      <c r="J148" s="87" t="n"/>
      <c r="L148" s="87" t="n"/>
      <c r="M148" s="105" t="n"/>
      <c r="N148" s="106" t="n"/>
    </row>
    <row r="149">
      <c r="J149" s="87" t="n"/>
      <c r="L149" s="87" t="n"/>
      <c r="M149" s="105" t="n"/>
      <c r="N149" s="106" t="n"/>
    </row>
    <row r="150">
      <c r="J150" s="87" t="n"/>
      <c r="L150" s="87" t="n"/>
      <c r="M150" s="105" t="n"/>
      <c r="N150" s="106" t="n"/>
    </row>
    <row r="151">
      <c r="J151" s="87" t="n"/>
      <c r="L151" s="87" t="n"/>
      <c r="M151" s="105" t="n"/>
      <c r="N151" s="106" t="n"/>
    </row>
    <row r="152">
      <c r="J152" s="87" t="n"/>
      <c r="L152" s="87" t="n"/>
      <c r="M152" s="105" t="n"/>
      <c r="N152" s="106" t="n"/>
    </row>
    <row r="153">
      <c r="J153" s="87" t="n"/>
      <c r="L153" s="87" t="n"/>
      <c r="M153" s="105" t="n"/>
      <c r="N153" s="106" t="n"/>
    </row>
    <row r="154">
      <c r="J154" s="87" t="n"/>
      <c r="L154" s="87" t="n"/>
      <c r="M154" s="105" t="n"/>
      <c r="N154" s="106" t="n"/>
    </row>
    <row r="155">
      <c r="J155" s="87" t="n"/>
      <c r="L155" s="87" t="n"/>
      <c r="M155" s="105" t="n"/>
      <c r="N155" s="106" t="n"/>
    </row>
    <row r="156">
      <c r="J156" s="87" t="n"/>
      <c r="L156" s="87" t="n"/>
      <c r="M156" s="105" t="n"/>
      <c r="N156" s="106" t="n"/>
    </row>
    <row r="157">
      <c r="J157" s="87" t="n"/>
      <c r="L157" s="87" t="n"/>
      <c r="M157" s="105" t="n"/>
      <c r="N157" s="106" t="n"/>
    </row>
    <row r="158">
      <c r="J158" s="87" t="n"/>
      <c r="L158" s="87" t="n"/>
      <c r="M158" s="105" t="n"/>
      <c r="N158" s="106" t="n"/>
    </row>
    <row r="159">
      <c r="J159" s="87" t="n"/>
      <c r="L159" s="87" t="n"/>
      <c r="M159" s="105" t="n"/>
      <c r="N159" s="106" t="n"/>
    </row>
    <row r="160">
      <c r="J160" s="87" t="n"/>
      <c r="L160" s="87" t="n"/>
      <c r="M160" s="105" t="n"/>
      <c r="N160" s="106" t="n"/>
    </row>
    <row r="161">
      <c r="J161" s="87" t="n"/>
      <c r="L161" s="87" t="n"/>
      <c r="M161" s="105" t="n"/>
      <c r="N161" s="106" t="n"/>
    </row>
    <row r="162">
      <c r="J162" s="87" t="n"/>
      <c r="L162" s="87" t="n"/>
      <c r="M162" s="105" t="n"/>
      <c r="N162" s="106" t="n"/>
    </row>
    <row r="163">
      <c r="J163" s="87" t="n"/>
      <c r="L163" s="87" t="n"/>
      <c r="M163" s="105" t="n"/>
      <c r="N163" s="106" t="n"/>
    </row>
    <row r="164">
      <c r="J164" s="87" t="n"/>
      <c r="L164" s="87" t="n"/>
      <c r="M164" s="105" t="n"/>
      <c r="N164" s="106" t="n"/>
    </row>
    <row r="165">
      <c r="J165" s="87" t="n"/>
      <c r="L165" s="87" t="n"/>
      <c r="M165" s="105" t="n"/>
      <c r="N165" s="106" t="n"/>
    </row>
    <row r="166">
      <c r="J166" s="87" t="n"/>
      <c r="L166" s="87" t="n"/>
      <c r="M166" s="105" t="n"/>
      <c r="N166" s="106" t="n"/>
    </row>
    <row r="167">
      <c r="J167" s="87" t="n"/>
      <c r="L167" s="87" t="n"/>
      <c r="M167" s="105" t="n"/>
      <c r="N167" s="106" t="n"/>
    </row>
    <row r="168">
      <c r="J168" s="87" t="n"/>
      <c r="L168" s="87" t="n"/>
      <c r="M168" s="105" t="n"/>
      <c r="N168" s="106" t="n"/>
    </row>
    <row r="169">
      <c r="J169" s="87" t="n"/>
      <c r="L169" s="87" t="n"/>
      <c r="M169" s="105" t="n"/>
      <c r="N169" s="106" t="n"/>
    </row>
    <row r="170">
      <c r="J170" s="87" t="n"/>
      <c r="L170" s="87" t="n"/>
      <c r="M170" s="105" t="n"/>
      <c r="N170" s="106" t="n"/>
    </row>
    <row r="171">
      <c r="J171" s="87" t="n"/>
      <c r="L171" s="87" t="n"/>
      <c r="M171" s="105" t="n"/>
      <c r="N171" s="106" t="n"/>
    </row>
    <row r="172">
      <c r="J172" s="87" t="n"/>
      <c r="L172" s="87" t="n"/>
      <c r="M172" s="105" t="n"/>
      <c r="N172" s="106" t="n"/>
    </row>
    <row r="173">
      <c r="J173" s="87" t="n"/>
      <c r="L173" s="87" t="n"/>
      <c r="M173" s="105" t="n"/>
      <c r="N173" s="106" t="n"/>
    </row>
    <row r="174">
      <c r="J174" s="87" t="n"/>
      <c r="L174" s="87" t="n"/>
      <c r="M174" s="105" t="n"/>
      <c r="N174" s="106" t="n"/>
    </row>
    <row r="175">
      <c r="J175" s="87" t="n"/>
      <c r="L175" s="87" t="n"/>
      <c r="M175" s="105" t="n"/>
      <c r="N175" s="106" t="n"/>
    </row>
    <row r="176">
      <c r="J176" s="87" t="n"/>
      <c r="L176" s="87" t="n"/>
      <c r="M176" s="105" t="n"/>
      <c r="N176" s="106" t="n"/>
    </row>
    <row r="177">
      <c r="J177" s="87" t="n"/>
      <c r="L177" s="87" t="n"/>
      <c r="M177" s="105" t="n"/>
      <c r="N177" s="106" t="n"/>
    </row>
    <row r="178">
      <c r="J178" s="87" t="n"/>
      <c r="L178" s="87" t="n"/>
      <c r="M178" s="105" t="n"/>
      <c r="N178" s="106" t="n"/>
    </row>
    <row r="179">
      <c r="J179" s="87" t="n"/>
      <c r="L179" s="87" t="n"/>
      <c r="M179" s="105" t="n"/>
      <c r="N179" s="106" t="n"/>
    </row>
    <row r="180">
      <c r="J180" s="87" t="n"/>
      <c r="L180" s="87" t="n"/>
      <c r="M180" s="105" t="n"/>
      <c r="N180" s="106" t="n"/>
    </row>
    <row r="181">
      <c r="J181" s="87" t="n"/>
      <c r="L181" s="87" t="n"/>
      <c r="M181" s="105" t="n"/>
      <c r="N181" s="106" t="n"/>
    </row>
    <row r="182">
      <c r="J182" s="87" t="n"/>
      <c r="L182" s="87" t="n"/>
      <c r="M182" s="105" t="n"/>
      <c r="N182" s="106" t="n"/>
    </row>
    <row r="183">
      <c r="J183" s="87" t="n"/>
      <c r="L183" s="87" t="n"/>
      <c r="M183" s="105" t="n"/>
      <c r="N183" s="106" t="n"/>
    </row>
    <row r="184">
      <c r="J184" s="87" t="n"/>
      <c r="L184" s="87" t="n"/>
      <c r="M184" s="105" t="n"/>
      <c r="N184" s="106" t="n"/>
    </row>
    <row r="185">
      <c r="J185" s="87" t="n"/>
      <c r="L185" s="87" t="n"/>
      <c r="M185" s="105" t="n"/>
      <c r="N185" s="106" t="n"/>
    </row>
    <row r="186">
      <c r="J186" s="87" t="n"/>
      <c r="L186" s="87" t="n"/>
      <c r="M186" s="105" t="n"/>
      <c r="N186" s="106" t="n"/>
    </row>
    <row r="187">
      <c r="J187" s="87" t="n"/>
      <c r="L187" s="87" t="n"/>
      <c r="M187" s="105" t="n"/>
      <c r="N187" s="106" t="n"/>
    </row>
    <row r="188">
      <c r="J188" s="87" t="n"/>
      <c r="L188" s="87" t="n"/>
      <c r="M188" s="105" t="n"/>
      <c r="N188" s="106" t="n"/>
    </row>
    <row r="189">
      <c r="J189" s="87" t="n"/>
      <c r="L189" s="87" t="n"/>
      <c r="M189" s="105" t="n"/>
      <c r="N189" s="106" t="n"/>
    </row>
    <row r="190">
      <c r="J190" s="87" t="n"/>
      <c r="L190" s="87" t="n"/>
      <c r="M190" s="105" t="n"/>
      <c r="N190" s="106" t="n"/>
    </row>
    <row r="191">
      <c r="J191" s="87" t="n"/>
      <c r="L191" s="87" t="n"/>
      <c r="M191" s="105" t="n"/>
      <c r="N191" s="106" t="n"/>
    </row>
    <row r="192">
      <c r="J192" s="87" t="n"/>
      <c r="L192" s="87" t="n"/>
      <c r="M192" s="105" t="n"/>
      <c r="N192" s="106" t="n"/>
    </row>
    <row r="193">
      <c r="J193" s="87" t="n"/>
      <c r="L193" s="87" t="n"/>
      <c r="M193" s="105" t="n"/>
      <c r="N193" s="106" t="n"/>
    </row>
    <row r="194">
      <c r="J194" s="87" t="n"/>
      <c r="L194" s="87" t="n"/>
      <c r="M194" s="105" t="n"/>
      <c r="N194" s="106" t="n"/>
    </row>
    <row r="195">
      <c r="J195" s="87" t="n"/>
      <c r="L195" s="87" t="n"/>
      <c r="M195" s="105" t="n"/>
      <c r="N195" s="106" t="n"/>
    </row>
    <row r="196">
      <c r="J196" s="87" t="n"/>
      <c r="L196" s="87" t="n"/>
      <c r="M196" s="105" t="n"/>
      <c r="N196" s="106" t="n"/>
    </row>
    <row r="197">
      <c r="J197" s="87" t="n"/>
      <c r="L197" s="87" t="n"/>
      <c r="M197" s="105" t="n"/>
      <c r="N197" s="106" t="n"/>
    </row>
    <row r="198">
      <c r="J198" s="87" t="n"/>
      <c r="L198" s="87" t="n"/>
      <c r="M198" s="105" t="n"/>
      <c r="N198" s="106" t="n"/>
    </row>
    <row r="199">
      <c r="J199" s="87" t="n"/>
      <c r="L199" s="87" t="n"/>
      <c r="M199" s="105" t="n"/>
      <c r="N199" s="106" t="n"/>
    </row>
    <row r="200">
      <c r="J200" s="87" t="n"/>
      <c r="L200" s="87" t="n"/>
      <c r="M200" s="105" t="n"/>
      <c r="N200" s="106" t="n"/>
    </row>
    <row r="201">
      <c r="J201" s="87" t="n"/>
      <c r="L201" s="87" t="n"/>
      <c r="M201" s="105" t="n"/>
      <c r="N201" s="106" t="n"/>
    </row>
    <row r="202">
      <c r="J202" s="87" t="n"/>
      <c r="L202" s="87" t="n"/>
      <c r="M202" s="105" t="n"/>
      <c r="N202" s="106" t="n"/>
    </row>
    <row r="203">
      <c r="J203" s="87" t="n"/>
      <c r="L203" s="87" t="n"/>
      <c r="M203" s="105" t="n"/>
      <c r="N203" s="106" t="n"/>
    </row>
    <row r="204">
      <c r="J204" s="87" t="n"/>
      <c r="L204" s="87" t="n"/>
      <c r="M204" s="105" t="n"/>
      <c r="N204" s="106" t="n"/>
    </row>
    <row r="205">
      <c r="J205" s="87" t="n"/>
      <c r="L205" s="87" t="n"/>
      <c r="M205" s="105" t="n"/>
      <c r="N205" s="106" t="n"/>
    </row>
    <row r="206">
      <c r="J206" s="87" t="n"/>
      <c r="L206" s="87" t="n"/>
      <c r="M206" s="105" t="n"/>
      <c r="N206" s="106" t="n"/>
    </row>
    <row r="207">
      <c r="J207" s="87" t="n"/>
      <c r="L207" s="87" t="n"/>
      <c r="M207" s="105" t="n"/>
      <c r="N207" s="106" t="n"/>
    </row>
    <row r="208">
      <c r="J208" s="87" t="n"/>
      <c r="L208" s="87" t="n"/>
      <c r="M208" s="105" t="n"/>
      <c r="N208" s="106" t="n"/>
    </row>
    <row r="209">
      <c r="J209" s="87" t="n"/>
      <c r="L209" s="87" t="n"/>
      <c r="M209" s="105" t="n"/>
      <c r="N209" s="106" t="n"/>
    </row>
    <row r="210">
      <c r="J210" s="87" t="n"/>
      <c r="L210" s="87" t="n"/>
      <c r="M210" s="105" t="n"/>
      <c r="N210" s="106" t="n"/>
    </row>
    <row r="211">
      <c r="J211" s="87" t="n"/>
      <c r="L211" s="87" t="n"/>
      <c r="M211" s="105" t="n"/>
      <c r="N211" s="106" t="n"/>
    </row>
    <row r="212">
      <c r="J212" s="87" t="n"/>
      <c r="L212" s="87" t="n"/>
      <c r="M212" s="105" t="n"/>
      <c r="N212" s="106" t="n"/>
    </row>
    <row r="213">
      <c r="J213" s="87" t="n"/>
      <c r="L213" s="87" t="n"/>
      <c r="M213" s="105" t="n"/>
      <c r="N213" s="106" t="n"/>
    </row>
    <row r="214">
      <c r="J214" s="87" t="n"/>
      <c r="L214" s="87" t="n"/>
      <c r="M214" s="105" t="n"/>
      <c r="N214" s="106" t="n"/>
    </row>
    <row r="215">
      <c r="J215" s="87" t="n"/>
      <c r="L215" s="87" t="n"/>
      <c r="M215" s="105" t="n"/>
      <c r="N215" s="106" t="n"/>
    </row>
    <row r="216">
      <c r="J216" s="87" t="n"/>
      <c r="L216" s="87" t="n"/>
      <c r="M216" s="105" t="n"/>
      <c r="N216" s="106" t="n"/>
    </row>
    <row r="217">
      <c r="J217" s="87" t="n"/>
      <c r="L217" s="87" t="n"/>
      <c r="M217" s="105" t="n"/>
      <c r="N217" s="106" t="n"/>
    </row>
    <row r="218">
      <c r="J218" s="87" t="n"/>
      <c r="L218" s="87" t="n"/>
      <c r="M218" s="105" t="n"/>
      <c r="N218" s="106" t="n"/>
    </row>
    <row r="219">
      <c r="J219" s="87" t="n"/>
      <c r="L219" s="87" t="n"/>
      <c r="M219" s="105" t="n"/>
      <c r="N219" s="106" t="n"/>
    </row>
    <row r="220">
      <c r="J220" s="87" t="n"/>
      <c r="L220" s="87" t="n"/>
      <c r="M220" s="105" t="n"/>
      <c r="N220" s="106" t="n"/>
    </row>
    <row r="221">
      <c r="J221" s="87" t="n"/>
      <c r="L221" s="87" t="n"/>
      <c r="M221" s="105" t="n"/>
      <c r="N221" s="106" t="n"/>
    </row>
    <row r="222">
      <c r="J222" s="87" t="n"/>
      <c r="L222" s="87" t="n"/>
      <c r="M222" s="105" t="n"/>
      <c r="N222" s="106" t="n"/>
    </row>
    <row r="223">
      <c r="J223" s="87" t="n"/>
      <c r="L223" s="87" t="n"/>
      <c r="M223" s="105" t="n"/>
      <c r="N223" s="106" t="n"/>
    </row>
    <row r="224">
      <c r="J224" s="87" t="n"/>
      <c r="L224" s="87" t="n"/>
      <c r="M224" s="105" t="n"/>
      <c r="N224" s="106" t="n"/>
    </row>
    <row r="225">
      <c r="J225" s="87" t="n"/>
      <c r="L225" s="87" t="n"/>
      <c r="M225" s="105" t="n"/>
      <c r="N225" s="106" t="n"/>
    </row>
    <row r="226">
      <c r="J226" s="87" t="n"/>
      <c r="L226" s="87" t="n"/>
      <c r="M226" s="105" t="n"/>
      <c r="N226" s="106" t="n"/>
    </row>
    <row r="227">
      <c r="J227" s="87" t="n"/>
      <c r="L227" s="87" t="n"/>
      <c r="M227" s="105" t="n"/>
      <c r="N227" s="106" t="n"/>
    </row>
    <row r="228">
      <c r="J228" s="87" t="n"/>
      <c r="L228" s="87" t="n"/>
      <c r="M228" s="105" t="n"/>
      <c r="N228" s="106" t="n"/>
    </row>
    <row r="229">
      <c r="J229" s="87" t="n"/>
      <c r="L229" s="87" t="n"/>
      <c r="M229" s="105" t="n"/>
      <c r="N229" s="106" t="n"/>
    </row>
    <row r="230">
      <c r="J230" s="87" t="n"/>
      <c r="L230" s="87" t="n"/>
      <c r="M230" s="105" t="n"/>
      <c r="N230" s="106" t="n"/>
    </row>
    <row r="231">
      <c r="J231" s="87" t="n"/>
      <c r="L231" s="87" t="n"/>
      <c r="M231" s="105" t="n"/>
      <c r="N231" s="106" t="n"/>
    </row>
    <row r="232">
      <c r="J232" s="87" t="n"/>
      <c r="L232" s="87" t="n"/>
      <c r="M232" s="105" t="n"/>
      <c r="N232" s="106" t="n"/>
    </row>
    <row r="233">
      <c r="J233" s="87" t="n"/>
      <c r="L233" s="87" t="n"/>
      <c r="M233" s="105" t="n"/>
      <c r="N233" s="106" t="n"/>
    </row>
    <row r="234">
      <c r="J234" s="87" t="n"/>
      <c r="L234" s="87" t="n"/>
      <c r="M234" s="105" t="n"/>
      <c r="N234" s="106" t="n"/>
    </row>
    <row r="235">
      <c r="J235" s="87" t="n"/>
      <c r="L235" s="87" t="n"/>
      <c r="M235" s="105" t="n"/>
      <c r="N235" s="106" t="n"/>
    </row>
    <row r="236">
      <c r="J236" s="87" t="n"/>
      <c r="L236" s="87" t="n"/>
      <c r="M236" s="105" t="n"/>
      <c r="N236" s="106" t="n"/>
    </row>
    <row r="237">
      <c r="J237" s="87" t="n"/>
      <c r="L237" s="87" t="n"/>
      <c r="M237" s="105" t="n"/>
      <c r="N237" s="106" t="n"/>
    </row>
    <row r="238">
      <c r="J238" s="87" t="n"/>
      <c r="L238" s="87" t="n"/>
      <c r="M238" s="105" t="n"/>
      <c r="N238" s="106" t="n"/>
    </row>
    <row r="239">
      <c r="J239" s="87" t="n"/>
      <c r="L239" s="87" t="n"/>
      <c r="M239" s="105" t="n"/>
      <c r="N239" s="106" t="n"/>
    </row>
    <row r="240">
      <c r="J240" s="87" t="n"/>
      <c r="L240" s="87" t="n"/>
      <c r="M240" s="105" t="n"/>
      <c r="N240" s="106" t="n"/>
    </row>
    <row r="241">
      <c r="J241" s="87" t="n"/>
      <c r="L241" s="87" t="n"/>
      <c r="M241" s="105" t="n"/>
      <c r="N241" s="106" t="n"/>
    </row>
    <row r="242">
      <c r="J242" s="87" t="n"/>
      <c r="L242" s="87" t="n"/>
      <c r="M242" s="105" t="n"/>
      <c r="N242" s="106" t="n"/>
    </row>
    <row r="243">
      <c r="J243" s="87" t="n"/>
      <c r="L243" s="87" t="n"/>
      <c r="M243" s="105" t="n"/>
      <c r="N243" s="106" t="n"/>
    </row>
    <row r="244">
      <c r="J244" s="87" t="n"/>
      <c r="L244" s="87" t="n"/>
      <c r="M244" s="105" t="n"/>
      <c r="N244" s="106" t="n"/>
    </row>
    <row r="245">
      <c r="J245" s="87" t="n"/>
      <c r="L245" s="87" t="n"/>
      <c r="M245" s="105" t="n"/>
      <c r="N245" s="106" t="n"/>
    </row>
    <row r="246">
      <c r="J246" s="87" t="n"/>
      <c r="L246" s="87" t="n"/>
      <c r="M246" s="105" t="n"/>
      <c r="N246" s="106" t="n"/>
    </row>
    <row r="247">
      <c r="J247" s="87" t="n"/>
      <c r="L247" s="87" t="n"/>
      <c r="M247" s="105" t="n"/>
      <c r="N247" s="106" t="n"/>
    </row>
    <row r="248">
      <c r="J248" s="87" t="n"/>
      <c r="L248" s="87" t="n"/>
      <c r="M248" s="105" t="n"/>
      <c r="N248" s="106" t="n"/>
    </row>
    <row r="249">
      <c r="J249" s="87" t="n"/>
      <c r="L249" s="87" t="n"/>
      <c r="M249" s="105" t="n"/>
      <c r="N249" s="106" t="n"/>
    </row>
    <row r="250">
      <c r="J250" s="87" t="n"/>
      <c r="L250" s="87" t="n"/>
      <c r="M250" s="105" t="n"/>
      <c r="N250" s="106" t="n"/>
    </row>
    <row r="251">
      <c r="J251" s="87" t="n"/>
      <c r="L251" s="87" t="n"/>
      <c r="M251" s="105" t="n"/>
      <c r="N251" s="106" t="n"/>
    </row>
    <row r="252">
      <c r="J252" s="87" t="n"/>
      <c r="L252" s="87" t="n"/>
      <c r="M252" s="105" t="n"/>
      <c r="N252" s="106" t="n"/>
    </row>
    <row r="253">
      <c r="J253" s="87" t="n"/>
      <c r="L253" s="87" t="n"/>
      <c r="M253" s="105" t="n"/>
      <c r="N253" s="106" t="n"/>
    </row>
    <row r="254">
      <c r="J254" s="87" t="n"/>
      <c r="L254" s="87" t="n"/>
      <c r="M254" s="105" t="n"/>
      <c r="N254" s="106" t="n"/>
    </row>
    <row r="255">
      <c r="J255" s="87" t="n"/>
      <c r="L255" s="87" t="n"/>
      <c r="M255" s="105" t="n"/>
      <c r="N255" s="106" t="n"/>
    </row>
    <row r="256">
      <c r="J256" s="87" t="n"/>
      <c r="L256" s="87" t="n"/>
      <c r="M256" s="105" t="n"/>
      <c r="N256" s="106" t="n"/>
    </row>
    <row r="257">
      <c r="J257" s="87" t="n"/>
      <c r="L257" s="87" t="n"/>
      <c r="M257" s="105" t="n"/>
      <c r="N257" s="106" t="n"/>
    </row>
    <row r="258">
      <c r="J258" s="87" t="n"/>
      <c r="L258" s="87" t="n"/>
      <c r="M258" s="105" t="n"/>
      <c r="N258" s="106" t="n"/>
    </row>
    <row r="259">
      <c r="J259" s="87" t="n"/>
      <c r="L259" s="87" t="n"/>
      <c r="M259" s="105" t="n"/>
      <c r="N259" s="106" t="n"/>
    </row>
    <row r="260">
      <c r="J260" s="87" t="n"/>
      <c r="L260" s="87" t="n"/>
      <c r="M260" s="105" t="n"/>
      <c r="N260" s="106" t="n"/>
    </row>
    <row r="261">
      <c r="J261" s="87" t="n"/>
      <c r="L261" s="87" t="n"/>
      <c r="M261" s="105" t="n"/>
      <c r="N261" s="106" t="n"/>
    </row>
    <row r="262">
      <c r="J262" s="87" t="n"/>
      <c r="L262" s="87" t="n"/>
      <c r="M262" s="105" t="n"/>
      <c r="N262" s="106" t="n"/>
    </row>
    <row r="263">
      <c r="J263" s="87" t="n"/>
      <c r="L263" s="87" t="n"/>
      <c r="M263" s="105" t="n"/>
      <c r="N263" s="106" t="n"/>
    </row>
    <row r="264">
      <c r="J264" s="87" t="n"/>
      <c r="L264" s="87" t="n"/>
      <c r="M264" s="105" t="n"/>
      <c r="N264" s="106" t="n"/>
    </row>
    <row r="265">
      <c r="J265" s="87" t="n"/>
      <c r="L265" s="87" t="n"/>
      <c r="M265" s="105" t="n"/>
      <c r="N265" s="106" t="n"/>
    </row>
    <row r="266">
      <c r="J266" s="87" t="n"/>
      <c r="L266" s="87" t="n"/>
      <c r="M266" s="105" t="n"/>
      <c r="N266" s="106" t="n"/>
    </row>
    <row r="267">
      <c r="J267" s="87" t="n"/>
      <c r="L267" s="87" t="n"/>
      <c r="M267" s="105" t="n"/>
      <c r="N267" s="106" t="n"/>
    </row>
    <row r="268">
      <c r="J268" s="87" t="n"/>
      <c r="L268" s="87" t="n"/>
      <c r="M268" s="105" t="n"/>
      <c r="N268" s="106" t="n"/>
    </row>
    <row r="269">
      <c r="J269" s="87" t="n"/>
      <c r="L269" s="87" t="n"/>
      <c r="M269" s="105" t="n"/>
      <c r="N269" s="106" t="n"/>
    </row>
    <row r="270">
      <c r="J270" s="87" t="n"/>
      <c r="L270" s="87" t="n"/>
      <c r="M270" s="105" t="n"/>
      <c r="N270" s="106" t="n"/>
    </row>
    <row r="271">
      <c r="J271" s="87" t="n"/>
      <c r="L271" s="87" t="n"/>
      <c r="M271" s="105" t="n"/>
      <c r="N271" s="106" t="n"/>
    </row>
    <row r="272">
      <c r="J272" s="87" t="n"/>
      <c r="L272" s="87" t="n"/>
      <c r="M272" s="105" t="n"/>
      <c r="N272" s="106" t="n"/>
    </row>
    <row r="273">
      <c r="J273" s="87" t="n"/>
      <c r="L273" s="87" t="n"/>
      <c r="M273" s="105" t="n"/>
      <c r="N273" s="106" t="n"/>
    </row>
    <row r="274">
      <c r="J274" s="87" t="n"/>
      <c r="L274" s="87" t="n"/>
      <c r="M274" s="105" t="n"/>
      <c r="N274" s="106" t="n"/>
    </row>
    <row r="275">
      <c r="J275" s="87" t="n"/>
      <c r="L275" s="87" t="n"/>
      <c r="M275" s="105" t="n"/>
      <c r="N275" s="106" t="n"/>
    </row>
    <row r="276">
      <c r="J276" s="87" t="n"/>
      <c r="L276" s="87" t="n"/>
      <c r="M276" s="105" t="n"/>
      <c r="N276" s="106" t="n"/>
    </row>
    <row r="277">
      <c r="J277" s="87" t="n"/>
      <c r="L277" s="87" t="n"/>
      <c r="M277" s="105" t="n"/>
      <c r="N277" s="106" t="n"/>
    </row>
    <row r="278">
      <c r="J278" s="87" t="n"/>
      <c r="L278" s="87" t="n"/>
      <c r="M278" s="105" t="n"/>
      <c r="N278" s="106" t="n"/>
    </row>
    <row r="279">
      <c r="J279" s="87" t="n"/>
      <c r="L279" s="87" t="n"/>
      <c r="M279" s="105" t="n"/>
      <c r="N279" s="106" t="n"/>
    </row>
    <row r="280">
      <c r="J280" s="87" t="n"/>
      <c r="L280" s="87" t="n"/>
      <c r="M280" s="105" t="n"/>
      <c r="N280" s="106" t="n"/>
    </row>
    <row r="281">
      <c r="J281" s="87" t="n"/>
      <c r="L281" s="87" t="n"/>
      <c r="M281" s="105" t="n"/>
      <c r="N281" s="106" t="n"/>
    </row>
    <row r="282">
      <c r="J282" s="87" t="n"/>
      <c r="L282" s="87" t="n"/>
      <c r="M282" s="105" t="n"/>
      <c r="N282" s="106" t="n"/>
    </row>
    <row r="283">
      <c r="J283" s="87" t="n"/>
      <c r="L283" s="87" t="n"/>
      <c r="M283" s="105" t="n"/>
      <c r="N283" s="106" t="n"/>
    </row>
    <row r="284">
      <c r="J284" s="87" t="n"/>
      <c r="L284" s="87" t="n"/>
      <c r="M284" s="105" t="n"/>
      <c r="N284" s="106" t="n"/>
    </row>
    <row r="285">
      <c r="J285" s="87" t="n"/>
      <c r="L285" s="87" t="n"/>
      <c r="M285" s="105" t="n"/>
      <c r="N285" s="106" t="n"/>
    </row>
    <row r="286">
      <c r="J286" s="87" t="n"/>
      <c r="L286" s="87" t="n"/>
      <c r="M286" s="105" t="n"/>
      <c r="N286" s="106" t="n"/>
    </row>
    <row r="287">
      <c r="J287" s="87" t="n"/>
      <c r="L287" s="87" t="n"/>
      <c r="M287" s="105" t="n"/>
      <c r="N287" s="106" t="n"/>
    </row>
    <row r="288">
      <c r="J288" s="87" t="n"/>
      <c r="L288" s="87" t="n"/>
      <c r="M288" s="105" t="n"/>
      <c r="N288" s="106" t="n"/>
    </row>
    <row r="289">
      <c r="J289" s="87" t="n"/>
      <c r="L289" s="87" t="n"/>
      <c r="M289" s="105" t="n"/>
      <c r="N289" s="106" t="n"/>
    </row>
    <row r="290">
      <c r="J290" s="87" t="n"/>
      <c r="L290" s="87" t="n"/>
      <c r="M290" s="105" t="n"/>
      <c r="N290" s="106" t="n"/>
    </row>
    <row r="291">
      <c r="J291" s="87" t="n"/>
      <c r="L291" s="87" t="n"/>
      <c r="M291" s="105" t="n"/>
      <c r="N291" s="106" t="n"/>
    </row>
    <row r="292">
      <c r="J292" s="87" t="n"/>
      <c r="L292" s="87" t="n"/>
      <c r="M292" s="105" t="n"/>
      <c r="N292" s="106" t="n"/>
    </row>
    <row r="293">
      <c r="J293" s="87" t="n"/>
      <c r="L293" s="87" t="n"/>
      <c r="M293" s="105" t="n"/>
      <c r="N293" s="106" t="n"/>
    </row>
    <row r="294">
      <c r="J294" s="87" t="n"/>
      <c r="L294" s="87" t="n"/>
      <c r="M294" s="105" t="n"/>
      <c r="N294" s="106" t="n"/>
    </row>
    <row r="295">
      <c r="J295" s="87" t="n"/>
      <c r="L295" s="87" t="n"/>
      <c r="M295" s="105" t="n"/>
      <c r="N295" s="106" t="n"/>
    </row>
    <row r="296">
      <c r="J296" s="87" t="n"/>
      <c r="L296" s="87" t="n"/>
      <c r="M296" s="105" t="n"/>
      <c r="N296" s="106" t="n"/>
    </row>
    <row r="297">
      <c r="J297" s="87" t="n"/>
      <c r="L297" s="87" t="n"/>
      <c r="M297" s="105" t="n"/>
      <c r="N297" s="106" t="n"/>
    </row>
    <row r="298">
      <c r="J298" s="87" t="n"/>
      <c r="L298" s="87" t="n"/>
      <c r="M298" s="105" t="n"/>
      <c r="N298" s="106" t="n"/>
    </row>
    <row r="299">
      <c r="J299" s="87" t="n"/>
      <c r="L299" s="87" t="n"/>
      <c r="M299" s="105" t="n"/>
      <c r="N299" s="106" t="n"/>
    </row>
    <row r="300">
      <c r="J300" s="87" t="n"/>
      <c r="L300" s="87" t="n"/>
      <c r="M300" s="105" t="n"/>
      <c r="N300" s="106" t="n"/>
    </row>
    <row r="301">
      <c r="J301" s="87" t="n"/>
      <c r="L301" s="87" t="n"/>
      <c r="M301" s="105" t="n"/>
      <c r="N301" s="106" t="n"/>
    </row>
    <row r="302">
      <c r="J302" s="87" t="n"/>
      <c r="L302" s="87" t="n"/>
      <c r="M302" s="105" t="n"/>
      <c r="N302" s="106" t="n"/>
    </row>
    <row r="303">
      <c r="J303" s="87" t="n"/>
      <c r="L303" s="87" t="n"/>
      <c r="M303" s="105" t="n"/>
      <c r="N303" s="106" t="n"/>
    </row>
    <row r="304">
      <c r="J304" s="87" t="n"/>
      <c r="L304" s="87" t="n"/>
      <c r="M304" s="105" t="n"/>
      <c r="N304" s="106" t="n"/>
    </row>
    <row r="305">
      <c r="J305" s="87" t="n"/>
      <c r="L305" s="87" t="n"/>
      <c r="M305" s="105" t="n"/>
      <c r="N305" s="106" t="n"/>
    </row>
    <row r="306">
      <c r="J306" s="87" t="n"/>
      <c r="L306" s="87" t="n"/>
      <c r="M306" s="105" t="n"/>
      <c r="N306" s="106" t="n"/>
    </row>
    <row r="307">
      <c r="J307" s="87" t="n"/>
      <c r="L307" s="87" t="n"/>
      <c r="M307" s="105" t="n"/>
      <c r="N307" s="106" t="n"/>
    </row>
    <row r="308">
      <c r="J308" s="87" t="n"/>
      <c r="L308" s="87" t="n"/>
      <c r="M308" s="105" t="n"/>
      <c r="N308" s="106" t="n"/>
    </row>
    <row r="309">
      <c r="J309" s="87" t="n"/>
      <c r="L309" s="87" t="n"/>
      <c r="M309" s="105" t="n"/>
      <c r="N309" s="106" t="n"/>
    </row>
    <row r="310">
      <c r="J310" s="87" t="n"/>
      <c r="L310" s="87" t="n"/>
      <c r="M310" s="105" t="n"/>
      <c r="N310" s="106" t="n"/>
    </row>
    <row r="311">
      <c r="J311" s="87" t="n"/>
      <c r="L311" s="87" t="n"/>
      <c r="M311" s="105" t="n"/>
      <c r="N311" s="106" t="n"/>
    </row>
    <row r="312">
      <c r="J312" s="87" t="n"/>
      <c r="L312" s="87" t="n"/>
      <c r="M312" s="105" t="n"/>
      <c r="N312" s="106" t="n"/>
    </row>
    <row r="313">
      <c r="J313" s="87" t="n"/>
      <c r="L313" s="87" t="n"/>
      <c r="M313" s="105" t="n"/>
      <c r="N313" s="106" t="n"/>
    </row>
    <row r="314">
      <c r="J314" s="87" t="n"/>
      <c r="L314" s="87" t="n"/>
      <c r="M314" s="105" t="n"/>
      <c r="N314" s="106" t="n"/>
    </row>
    <row r="315">
      <c r="J315" s="87" t="n"/>
      <c r="L315" s="87" t="n"/>
      <c r="M315" s="105" t="n"/>
      <c r="N315" s="106" t="n"/>
    </row>
    <row r="316">
      <c r="J316" s="87" t="n"/>
      <c r="L316" s="87" t="n"/>
      <c r="M316" s="105" t="n"/>
      <c r="N316" s="106" t="n"/>
    </row>
    <row r="317">
      <c r="J317" s="87" t="n"/>
      <c r="L317" s="87" t="n"/>
      <c r="M317" s="105" t="n"/>
      <c r="N317" s="106" t="n"/>
    </row>
    <row r="318">
      <c r="J318" s="87" t="n"/>
      <c r="L318" s="87" t="n"/>
      <c r="M318" s="105" t="n"/>
      <c r="N318" s="106" t="n"/>
    </row>
    <row r="319">
      <c r="J319" s="87" t="n"/>
      <c r="L319" s="87" t="n"/>
      <c r="M319" s="105" t="n"/>
      <c r="N319" s="106" t="n"/>
    </row>
    <row r="320">
      <c r="J320" s="87" t="n"/>
      <c r="L320" s="87" t="n"/>
      <c r="M320" s="105" t="n"/>
      <c r="N320" s="106" t="n"/>
    </row>
    <row r="321">
      <c r="J321" s="87" t="n"/>
      <c r="L321" s="87" t="n"/>
      <c r="M321" s="105" t="n"/>
      <c r="N321" s="106" t="n"/>
    </row>
    <row r="322">
      <c r="J322" s="87" t="n"/>
      <c r="L322" s="87" t="n"/>
      <c r="M322" s="105" t="n"/>
      <c r="N322" s="106" t="n"/>
    </row>
    <row r="323">
      <c r="J323" s="87" t="n"/>
      <c r="L323" s="87" t="n"/>
      <c r="M323" s="105" t="n"/>
      <c r="N323" s="106" t="n"/>
    </row>
    <row r="324">
      <c r="J324" s="87" t="n"/>
      <c r="L324" s="87" t="n"/>
      <c r="M324" s="105" t="n"/>
      <c r="N324" s="106" t="n"/>
    </row>
    <row r="325">
      <c r="J325" s="87" t="n"/>
      <c r="L325" s="87" t="n"/>
      <c r="M325" s="105" t="n"/>
      <c r="N325" s="106" t="n"/>
    </row>
    <row r="326">
      <c r="J326" s="87" t="n"/>
      <c r="L326" s="87" t="n"/>
      <c r="M326" s="105" t="n"/>
      <c r="N326" s="106" t="n"/>
    </row>
    <row r="327">
      <c r="J327" s="87" t="n"/>
      <c r="L327" s="87" t="n"/>
      <c r="M327" s="105" t="n"/>
      <c r="N327" s="106" t="n"/>
    </row>
    <row r="328">
      <c r="J328" s="87" t="n"/>
      <c r="L328" s="87" t="n"/>
      <c r="M328" s="105" t="n"/>
      <c r="N328" s="106" t="n"/>
    </row>
    <row r="329">
      <c r="J329" s="87" t="n"/>
      <c r="L329" s="87" t="n"/>
      <c r="M329" s="105" t="n"/>
      <c r="N329" s="106" t="n"/>
    </row>
    <row r="330">
      <c r="J330" s="87" t="n"/>
      <c r="L330" s="87" t="n"/>
      <c r="M330" s="105" t="n"/>
      <c r="N330" s="106" t="n"/>
    </row>
    <row r="331">
      <c r="J331" s="87" t="n"/>
      <c r="L331" s="87" t="n"/>
      <c r="M331" s="105" t="n"/>
      <c r="N331" s="106" t="n"/>
    </row>
    <row r="332">
      <c r="J332" s="87" t="n"/>
      <c r="L332" s="87" t="n"/>
      <c r="M332" s="105" t="n"/>
      <c r="N332" s="106" t="n"/>
    </row>
    <row r="333">
      <c r="J333" s="87" t="n"/>
      <c r="L333" s="87" t="n"/>
      <c r="M333" s="105" t="n"/>
      <c r="N333" s="106" t="n"/>
    </row>
    <row r="334">
      <c r="J334" s="87" t="n"/>
      <c r="L334" s="87" t="n"/>
      <c r="M334" s="105" t="n"/>
      <c r="N334" s="106" t="n"/>
    </row>
    <row r="335">
      <c r="J335" s="87" t="n"/>
      <c r="L335" s="87" t="n"/>
      <c r="M335" s="105" t="n"/>
      <c r="N335" s="106" t="n"/>
    </row>
    <row r="336">
      <c r="J336" s="87" t="n"/>
      <c r="L336" s="87" t="n"/>
      <c r="M336" s="105" t="n"/>
      <c r="N336" s="106" t="n"/>
    </row>
    <row r="337">
      <c r="J337" s="87" t="n"/>
      <c r="L337" s="87" t="n"/>
      <c r="M337" s="105" t="n"/>
      <c r="N337" s="106" t="n"/>
    </row>
    <row r="338">
      <c r="J338" s="87" t="n"/>
      <c r="L338" s="87" t="n"/>
      <c r="M338" s="105" t="n"/>
      <c r="N338" s="106" t="n"/>
    </row>
    <row r="339">
      <c r="J339" s="87" t="n"/>
      <c r="L339" s="87" t="n"/>
      <c r="M339" s="105" t="n"/>
      <c r="N339" s="106" t="n"/>
    </row>
    <row r="340">
      <c r="J340" s="87" t="n"/>
      <c r="L340" s="87" t="n"/>
      <c r="M340" s="105" t="n"/>
      <c r="N340" s="106" t="n"/>
    </row>
    <row r="341">
      <c r="J341" s="87" t="n"/>
      <c r="L341" s="87" t="n"/>
      <c r="M341" s="105" t="n"/>
      <c r="N341" s="106" t="n"/>
    </row>
    <row r="342">
      <c r="J342" s="87" t="n"/>
      <c r="L342" s="87" t="n"/>
      <c r="M342" s="105" t="n"/>
      <c r="N342" s="106" t="n"/>
    </row>
    <row r="343">
      <c r="J343" s="87" t="n"/>
      <c r="L343" s="87" t="n"/>
      <c r="M343" s="105" t="n"/>
      <c r="N343" s="106" t="n"/>
    </row>
    <row r="344">
      <c r="J344" s="87" t="n"/>
      <c r="L344" s="87" t="n"/>
      <c r="M344" s="105" t="n"/>
      <c r="N344" s="106" t="n"/>
    </row>
    <row r="345">
      <c r="J345" s="87" t="n"/>
      <c r="L345" s="87" t="n"/>
      <c r="M345" s="105" t="n"/>
      <c r="N345" s="106" t="n"/>
    </row>
    <row r="346">
      <c r="J346" s="87" t="n"/>
      <c r="L346" s="87" t="n"/>
      <c r="M346" s="105" t="n"/>
      <c r="N346" s="106" t="n"/>
    </row>
    <row r="347">
      <c r="J347" s="87" t="n"/>
      <c r="L347" s="87" t="n"/>
      <c r="M347" s="105" t="n"/>
      <c r="N347" s="106" t="n"/>
    </row>
    <row r="348">
      <c r="J348" s="87" t="n"/>
      <c r="L348" s="87" t="n"/>
      <c r="M348" s="105" t="n"/>
      <c r="N348" s="106" t="n"/>
    </row>
    <row r="349">
      <c r="J349" s="87" t="n"/>
      <c r="L349" s="87" t="n"/>
      <c r="M349" s="105" t="n"/>
      <c r="N349" s="106" t="n"/>
    </row>
    <row r="350">
      <c r="J350" s="87" t="n"/>
      <c r="L350" s="87" t="n"/>
      <c r="M350" s="105" t="n"/>
      <c r="N350" s="106" t="n"/>
    </row>
    <row r="351">
      <c r="J351" s="87" t="n"/>
      <c r="L351" s="87" t="n"/>
      <c r="M351" s="105" t="n"/>
      <c r="N351" s="106" t="n"/>
    </row>
    <row r="352">
      <c r="J352" s="87" t="n"/>
      <c r="L352" s="87" t="n"/>
      <c r="M352" s="105" t="n"/>
      <c r="N352" s="106" t="n"/>
    </row>
    <row r="353">
      <c r="J353" s="87" t="n"/>
      <c r="L353" s="87" t="n"/>
      <c r="M353" s="105" t="n"/>
      <c r="N353" s="106" t="n"/>
    </row>
    <row r="354">
      <c r="J354" s="87" t="n"/>
      <c r="L354" s="87" t="n"/>
      <c r="M354" s="105" t="n"/>
      <c r="N354" s="106" t="n"/>
    </row>
    <row r="355">
      <c r="J355" s="87" t="n"/>
      <c r="L355" s="87" t="n"/>
      <c r="M355" s="105" t="n"/>
      <c r="N355" s="106" t="n"/>
    </row>
    <row r="356">
      <c r="J356" s="87" t="n"/>
      <c r="L356" s="87" t="n"/>
      <c r="M356" s="105" t="n"/>
      <c r="N356" s="106" t="n"/>
    </row>
    <row r="357">
      <c r="J357" s="87" t="n"/>
      <c r="L357" s="87" t="n"/>
      <c r="M357" s="105" t="n"/>
      <c r="N357" s="106" t="n"/>
    </row>
    <row r="358">
      <c r="J358" s="87" t="n"/>
      <c r="L358" s="87" t="n"/>
      <c r="M358" s="105" t="n"/>
      <c r="N358" s="106" t="n"/>
    </row>
    <row r="359">
      <c r="J359" s="87" t="n"/>
      <c r="L359" s="87" t="n"/>
      <c r="M359" s="105" t="n"/>
      <c r="N359" s="106" t="n"/>
    </row>
    <row r="360">
      <c r="J360" s="87" t="n"/>
      <c r="L360" s="87" t="n"/>
      <c r="M360" s="105" t="n"/>
      <c r="N360" s="106" t="n"/>
    </row>
    <row r="361">
      <c r="J361" s="87" t="n"/>
      <c r="L361" s="87" t="n"/>
      <c r="M361" s="105" t="n"/>
      <c r="N361" s="106" t="n"/>
    </row>
    <row r="362">
      <c r="J362" s="87" t="n"/>
      <c r="L362" s="87" t="n"/>
      <c r="M362" s="105" t="n"/>
      <c r="N362" s="106" t="n"/>
    </row>
    <row r="363">
      <c r="J363" s="87" t="n"/>
      <c r="L363" s="87" t="n"/>
      <c r="M363" s="105" t="n"/>
      <c r="N363" s="106" t="n"/>
    </row>
    <row r="364">
      <c r="J364" s="87" t="n"/>
      <c r="L364" s="87" t="n"/>
      <c r="M364" s="105" t="n"/>
      <c r="N364" s="106" t="n"/>
    </row>
    <row r="365">
      <c r="J365" s="87" t="n"/>
      <c r="L365" s="87" t="n"/>
      <c r="M365" s="105" t="n"/>
      <c r="N365" s="106" t="n"/>
    </row>
    <row r="366">
      <c r="J366" s="87" t="n"/>
      <c r="L366" s="87" t="n"/>
      <c r="M366" s="105" t="n"/>
      <c r="N366" s="106" t="n"/>
    </row>
    <row r="367">
      <c r="J367" s="87" t="n"/>
      <c r="L367" s="87" t="n"/>
      <c r="M367" s="105" t="n"/>
      <c r="N367" s="106" t="n"/>
    </row>
    <row r="368">
      <c r="J368" s="87" t="n"/>
      <c r="L368" s="87" t="n"/>
      <c r="M368" s="105" t="n"/>
      <c r="N368" s="106" t="n"/>
    </row>
    <row r="369">
      <c r="J369" s="87" t="n"/>
      <c r="L369" s="87" t="n"/>
      <c r="M369" s="105" t="n"/>
      <c r="N369" s="106" t="n"/>
    </row>
    <row r="370">
      <c r="J370" s="87" t="n"/>
      <c r="L370" s="87" t="n"/>
      <c r="M370" s="105" t="n"/>
      <c r="N370" s="106" t="n"/>
    </row>
    <row r="371">
      <c r="J371" s="87" t="n"/>
      <c r="L371" s="87" t="n"/>
      <c r="M371" s="105" t="n"/>
      <c r="N371" s="106" t="n"/>
    </row>
    <row r="372">
      <c r="J372" s="87" t="n"/>
      <c r="L372" s="87" t="n"/>
      <c r="M372" s="105" t="n"/>
      <c r="N372" s="106" t="n"/>
    </row>
    <row r="373">
      <c r="J373" s="87" t="n"/>
      <c r="L373" s="87" t="n"/>
      <c r="M373" s="105" t="n"/>
      <c r="N373" s="106" t="n"/>
    </row>
    <row r="374">
      <c r="J374" s="87" t="n"/>
      <c r="L374" s="87" t="n"/>
      <c r="M374" s="105" t="n"/>
      <c r="N374" s="106" t="n"/>
    </row>
    <row r="375">
      <c r="J375" s="87" t="n"/>
      <c r="L375" s="87" t="n"/>
      <c r="M375" s="105" t="n"/>
      <c r="N375" s="106" t="n"/>
    </row>
    <row r="376">
      <c r="J376" s="87" t="n"/>
      <c r="L376" s="87" t="n"/>
      <c r="M376" s="105" t="n"/>
      <c r="N376" s="106" t="n"/>
    </row>
    <row r="377">
      <c r="J377" s="87" t="n"/>
      <c r="L377" s="87" t="n"/>
      <c r="M377" s="105" t="n"/>
      <c r="N377" s="106" t="n"/>
    </row>
    <row r="378">
      <c r="J378" s="87" t="n"/>
      <c r="L378" s="87" t="n"/>
      <c r="M378" s="105" t="n"/>
      <c r="N378" s="106" t="n"/>
    </row>
    <row r="379">
      <c r="J379" s="87" t="n"/>
      <c r="L379" s="87" t="n"/>
      <c r="M379" s="105" t="n"/>
      <c r="N379" s="106" t="n"/>
    </row>
    <row r="380">
      <c r="J380" s="87" t="n"/>
      <c r="L380" s="87" t="n"/>
      <c r="M380" s="105" t="n"/>
      <c r="N380" s="106" t="n"/>
    </row>
    <row r="381">
      <c r="J381" s="87" t="n"/>
      <c r="L381" s="87" t="n"/>
      <c r="M381" s="105" t="n"/>
      <c r="N381" s="106" t="n"/>
    </row>
    <row r="382">
      <c r="J382" s="87" t="n"/>
      <c r="L382" s="87" t="n"/>
      <c r="M382" s="105" t="n"/>
      <c r="N382" s="106" t="n"/>
    </row>
    <row r="383">
      <c r="J383" s="87" t="n"/>
      <c r="L383" s="87" t="n"/>
      <c r="M383" s="105" t="n"/>
      <c r="N383" s="106" t="n"/>
    </row>
    <row r="384">
      <c r="J384" s="87" t="n"/>
      <c r="L384" s="87" t="n"/>
      <c r="M384" s="105" t="n"/>
      <c r="N384" s="106" t="n"/>
    </row>
    <row r="385">
      <c r="J385" s="87" t="n"/>
      <c r="L385" s="87" t="n"/>
      <c r="M385" s="105" t="n"/>
      <c r="N385" s="106" t="n"/>
    </row>
    <row r="386">
      <c r="J386" s="87" t="n"/>
      <c r="L386" s="87" t="n"/>
      <c r="M386" s="105" t="n"/>
      <c r="N386" s="106" t="n"/>
    </row>
    <row r="387">
      <c r="J387" s="87" t="n"/>
      <c r="L387" s="87" t="n"/>
      <c r="M387" s="105" t="n"/>
      <c r="N387" s="106" t="n"/>
    </row>
    <row r="388">
      <c r="J388" s="87" t="n"/>
      <c r="L388" s="87" t="n"/>
      <c r="M388" s="105" t="n"/>
      <c r="N388" s="106" t="n"/>
    </row>
    <row r="389">
      <c r="J389" s="87" t="n"/>
      <c r="L389" s="87" t="n"/>
      <c r="M389" s="105" t="n"/>
      <c r="N389" s="106" t="n"/>
    </row>
    <row r="390">
      <c r="J390" s="87" t="n"/>
      <c r="L390" s="87" t="n"/>
      <c r="M390" s="105" t="n"/>
      <c r="N390" s="106" t="n"/>
    </row>
    <row r="391">
      <c r="J391" s="87" t="n"/>
      <c r="L391" s="87" t="n"/>
      <c r="M391" s="105" t="n"/>
      <c r="N391" s="106" t="n"/>
    </row>
    <row r="392">
      <c r="J392" s="87" t="n"/>
      <c r="L392" s="87" t="n"/>
      <c r="M392" s="105" t="n"/>
      <c r="N392" s="106" t="n"/>
    </row>
    <row r="393">
      <c r="J393" s="87" t="n"/>
      <c r="L393" s="87" t="n"/>
      <c r="M393" s="105" t="n"/>
      <c r="N393" s="106" t="n"/>
    </row>
    <row r="394">
      <c r="J394" s="87" t="n"/>
      <c r="L394" s="87" t="n"/>
      <c r="M394" s="105" t="n"/>
      <c r="N394" s="106" t="n"/>
    </row>
    <row r="395">
      <c r="J395" s="87" t="n"/>
      <c r="L395" s="87" t="n"/>
      <c r="M395" s="105" t="n"/>
      <c r="N395" s="106" t="n"/>
    </row>
    <row r="396">
      <c r="J396" s="87" t="n"/>
      <c r="L396" s="87" t="n"/>
      <c r="M396" s="105" t="n"/>
      <c r="N396" s="106" t="n"/>
    </row>
    <row r="397">
      <c r="J397" s="87" t="n"/>
      <c r="L397" s="87" t="n"/>
      <c r="M397" s="105" t="n"/>
      <c r="N397" s="106" t="n"/>
    </row>
    <row r="398">
      <c r="J398" s="87" t="n"/>
      <c r="L398" s="87" t="n"/>
      <c r="M398" s="105" t="n"/>
      <c r="N398" s="106" t="n"/>
    </row>
    <row r="399">
      <c r="J399" s="87" t="n"/>
      <c r="L399" s="87" t="n"/>
      <c r="M399" s="105" t="n"/>
      <c r="N399" s="106" t="n"/>
    </row>
    <row r="400">
      <c r="J400" s="87" t="n"/>
      <c r="L400" s="87" t="n"/>
      <c r="M400" s="105" t="n"/>
      <c r="N400" s="106" t="n"/>
    </row>
    <row r="401">
      <c r="J401" s="87" t="n"/>
      <c r="L401" s="87" t="n"/>
      <c r="M401" s="105" t="n"/>
      <c r="N401" s="106" t="n"/>
    </row>
    <row r="402">
      <c r="J402" s="87" t="n"/>
      <c r="L402" s="87" t="n"/>
      <c r="M402" s="105" t="n"/>
      <c r="N402" s="106" t="n"/>
    </row>
    <row r="403">
      <c r="J403" s="87" t="n"/>
      <c r="L403" s="87" t="n"/>
      <c r="M403" s="105" t="n"/>
      <c r="N403" s="106" t="n"/>
    </row>
    <row r="404">
      <c r="J404" s="87" t="n"/>
      <c r="L404" s="87" t="n"/>
      <c r="M404" s="105" t="n"/>
      <c r="N404" s="106" t="n"/>
    </row>
    <row r="405">
      <c r="J405" s="87" t="n"/>
      <c r="L405" s="87" t="n"/>
      <c r="M405" s="105" t="n"/>
      <c r="N405" s="106" t="n"/>
    </row>
    <row r="406">
      <c r="J406" s="87" t="n"/>
      <c r="L406" s="87" t="n"/>
      <c r="M406" s="105" t="n"/>
      <c r="N406" s="106" t="n"/>
    </row>
    <row r="407">
      <c r="J407" s="87" t="n"/>
      <c r="L407" s="87" t="n"/>
      <c r="M407" s="105" t="n"/>
      <c r="N407" s="106" t="n"/>
    </row>
    <row r="408">
      <c r="J408" s="87" t="n"/>
      <c r="L408" s="87" t="n"/>
      <c r="M408" s="105" t="n"/>
      <c r="N408" s="106" t="n"/>
    </row>
    <row r="409">
      <c r="J409" s="87" t="n"/>
      <c r="L409" s="87" t="n"/>
      <c r="M409" s="105" t="n"/>
      <c r="N409" s="106" t="n"/>
    </row>
    <row r="410">
      <c r="J410" s="87" t="n"/>
      <c r="L410" s="87" t="n"/>
      <c r="M410" s="105" t="n"/>
      <c r="N410" s="106" t="n"/>
    </row>
    <row r="411">
      <c r="J411" s="87" t="n"/>
      <c r="L411" s="87" t="n"/>
      <c r="M411" s="105" t="n"/>
      <c r="N411" s="106" t="n"/>
    </row>
    <row r="412">
      <c r="J412" s="87" t="n"/>
      <c r="L412" s="87" t="n"/>
      <c r="M412" s="105" t="n"/>
      <c r="N412" s="106" t="n"/>
    </row>
    <row r="413">
      <c r="J413" s="87" t="n"/>
      <c r="L413" s="87" t="n"/>
      <c r="M413" s="105" t="n"/>
      <c r="N413" s="106" t="n"/>
    </row>
    <row r="414">
      <c r="J414" s="87" t="n"/>
      <c r="L414" s="87" t="n"/>
      <c r="M414" s="105" t="n"/>
      <c r="N414" s="106" t="n"/>
    </row>
    <row r="415">
      <c r="J415" s="87" t="n"/>
      <c r="L415" s="87" t="n"/>
      <c r="M415" s="105" t="n"/>
      <c r="N415" s="106" t="n"/>
    </row>
    <row r="416">
      <c r="J416" s="87" t="n"/>
      <c r="L416" s="87" t="n"/>
      <c r="M416" s="105" t="n"/>
      <c r="N416" s="106" t="n"/>
    </row>
    <row r="417">
      <c r="J417" s="87" t="n"/>
      <c r="L417" s="87" t="n"/>
      <c r="M417" s="105" t="n"/>
      <c r="N417" s="106" t="n"/>
    </row>
    <row r="418">
      <c r="J418" s="87" t="n"/>
      <c r="L418" s="87" t="n"/>
      <c r="M418" s="105" t="n"/>
      <c r="N418" s="106" t="n"/>
    </row>
    <row r="419">
      <c r="J419" s="87" t="n"/>
      <c r="L419" s="87" t="n"/>
      <c r="M419" s="105" t="n"/>
      <c r="N419" s="106" t="n"/>
    </row>
    <row r="420">
      <c r="J420" s="87" t="n"/>
      <c r="L420" s="87" t="n"/>
      <c r="M420" s="105" t="n"/>
      <c r="N420" s="106" t="n"/>
    </row>
    <row r="421">
      <c r="J421" s="87" t="n"/>
      <c r="L421" s="87" t="n"/>
      <c r="M421" s="105" t="n"/>
      <c r="N421" s="106" t="n"/>
    </row>
    <row r="422">
      <c r="J422" s="87" t="n"/>
      <c r="L422" s="87" t="n"/>
      <c r="M422" s="105" t="n"/>
      <c r="N422" s="106" t="n"/>
    </row>
    <row r="423">
      <c r="J423" s="87" t="n"/>
      <c r="L423" s="87" t="n"/>
      <c r="M423" s="105" t="n"/>
      <c r="N423" s="106" t="n"/>
    </row>
    <row r="424">
      <c r="J424" s="87" t="n"/>
      <c r="L424" s="87" t="n"/>
      <c r="M424" s="105" t="n"/>
      <c r="N424" s="106" t="n"/>
    </row>
    <row r="425">
      <c r="J425" s="87" t="n"/>
      <c r="L425" s="87" t="n"/>
      <c r="M425" s="105" t="n"/>
      <c r="N425" s="106" t="n"/>
    </row>
    <row r="426">
      <c r="J426" s="87" t="n"/>
      <c r="L426" s="87" t="n"/>
      <c r="M426" s="105" t="n"/>
      <c r="N426" s="106" t="n"/>
    </row>
    <row r="427">
      <c r="J427" s="87" t="n"/>
      <c r="L427" s="87" t="n"/>
      <c r="M427" s="105" t="n"/>
      <c r="N427" s="106" t="n"/>
    </row>
    <row r="428">
      <c r="J428" s="87" t="n"/>
      <c r="L428" s="87" t="n"/>
      <c r="M428" s="105" t="n"/>
      <c r="N428" s="106" t="n"/>
    </row>
    <row r="429">
      <c r="J429" s="87" t="n"/>
      <c r="L429" s="87" t="n"/>
      <c r="M429" s="105" t="n"/>
      <c r="N429" s="106" t="n"/>
    </row>
    <row r="430">
      <c r="J430" s="87" t="n"/>
      <c r="L430" s="87" t="n"/>
      <c r="M430" s="105" t="n"/>
      <c r="N430" s="106" t="n"/>
    </row>
    <row r="431">
      <c r="J431" s="87" t="n"/>
      <c r="L431" s="87" t="n"/>
      <c r="M431" s="105" t="n"/>
      <c r="N431" s="106" t="n"/>
    </row>
    <row r="432">
      <c r="J432" s="87" t="n"/>
      <c r="L432" s="87" t="n"/>
      <c r="M432" s="105" t="n"/>
      <c r="N432" s="106" t="n"/>
    </row>
    <row r="433">
      <c r="J433" s="87" t="n"/>
      <c r="L433" s="87" t="n"/>
      <c r="M433" s="105" t="n"/>
      <c r="N433" s="106" t="n"/>
    </row>
    <row r="434">
      <c r="J434" s="87" t="n"/>
      <c r="L434" s="87" t="n"/>
      <c r="M434" s="105" t="n"/>
      <c r="N434" s="106" t="n"/>
    </row>
    <row r="435">
      <c r="J435" s="87" t="n"/>
      <c r="L435" s="87" t="n"/>
      <c r="M435" s="105" t="n"/>
      <c r="N435" s="106" t="n"/>
    </row>
    <row r="436">
      <c r="J436" s="87" t="n"/>
      <c r="L436" s="87" t="n"/>
      <c r="M436" s="105" t="n"/>
      <c r="N436" s="106" t="n"/>
    </row>
    <row r="437">
      <c r="J437" s="87" t="n"/>
      <c r="L437" s="87" t="n"/>
      <c r="M437" s="105" t="n"/>
      <c r="N437" s="106" t="n"/>
    </row>
    <row r="438">
      <c r="J438" s="87" t="n"/>
      <c r="L438" s="87" t="n"/>
      <c r="M438" s="105" t="n"/>
      <c r="N438" s="106" t="n"/>
    </row>
    <row r="439">
      <c r="J439" s="87" t="n"/>
      <c r="L439" s="87" t="n"/>
      <c r="M439" s="105" t="n"/>
      <c r="N439" s="106" t="n"/>
    </row>
    <row r="440">
      <c r="J440" s="87" t="n"/>
      <c r="L440" s="87" t="n"/>
      <c r="M440" s="105" t="n"/>
      <c r="N440" s="106" t="n"/>
    </row>
    <row r="441">
      <c r="J441" s="87" t="n"/>
      <c r="L441" s="87" t="n"/>
      <c r="M441" s="105" t="n"/>
      <c r="N441" s="106" t="n"/>
    </row>
    <row r="442">
      <c r="J442" s="87" t="n"/>
      <c r="L442" s="87" t="n"/>
      <c r="M442" s="105" t="n"/>
      <c r="N442" s="106" t="n"/>
    </row>
    <row r="443">
      <c r="J443" s="87" t="n"/>
      <c r="L443" s="87" t="n"/>
      <c r="M443" s="105" t="n"/>
      <c r="N443" s="106" t="n"/>
    </row>
    <row r="444">
      <c r="J444" s="87" t="n"/>
      <c r="L444" s="87" t="n"/>
      <c r="M444" s="105" t="n"/>
      <c r="N444" s="106" t="n"/>
    </row>
    <row r="445">
      <c r="J445" s="87" t="n"/>
      <c r="L445" s="87" t="n"/>
      <c r="M445" s="105" t="n"/>
      <c r="N445" s="106" t="n"/>
    </row>
    <row r="446">
      <c r="J446" s="87" t="n"/>
      <c r="L446" s="87" t="n"/>
      <c r="M446" s="105" t="n"/>
      <c r="N446" s="106" t="n"/>
    </row>
    <row r="447">
      <c r="J447" s="87" t="n"/>
      <c r="L447" s="87" t="n"/>
      <c r="M447" s="105" t="n"/>
      <c r="N447" s="106" t="n"/>
    </row>
    <row r="448">
      <c r="J448" s="87" t="n"/>
      <c r="L448" s="87" t="n"/>
      <c r="M448" s="105" t="n"/>
      <c r="N448" s="106" t="n"/>
    </row>
    <row r="449">
      <c r="J449" s="87" t="n"/>
      <c r="L449" s="87" t="n"/>
      <c r="M449" s="105" t="n"/>
      <c r="N449" s="106" t="n"/>
    </row>
    <row r="450">
      <c r="J450" s="87" t="n"/>
      <c r="L450" s="87" t="n"/>
      <c r="M450" s="105" t="n"/>
      <c r="N450" s="106" t="n"/>
    </row>
    <row r="451">
      <c r="J451" s="87" t="n"/>
      <c r="L451" s="87" t="n"/>
      <c r="M451" s="105" t="n"/>
      <c r="N451" s="106" t="n"/>
    </row>
    <row r="452">
      <c r="J452" s="87" t="n"/>
      <c r="L452" s="87" t="n"/>
      <c r="M452" s="105" t="n"/>
      <c r="N452" s="106" t="n"/>
    </row>
    <row r="453">
      <c r="J453" s="87" t="n"/>
      <c r="L453" s="87" t="n"/>
      <c r="M453" s="105" t="n"/>
      <c r="N453" s="106" t="n"/>
    </row>
    <row r="454">
      <c r="J454" s="87" t="n"/>
      <c r="L454" s="87" t="n"/>
      <c r="M454" s="105" t="n"/>
      <c r="N454" s="106" t="n"/>
    </row>
    <row r="455">
      <c r="J455" s="87" t="n"/>
      <c r="L455" s="87" t="n"/>
      <c r="M455" s="105" t="n"/>
      <c r="N455" s="106" t="n"/>
    </row>
    <row r="456">
      <c r="J456" s="87" t="n"/>
      <c r="L456" s="87" t="n"/>
      <c r="M456" s="105" t="n"/>
      <c r="N456" s="106" t="n"/>
    </row>
    <row r="457">
      <c r="J457" s="87" t="n"/>
      <c r="L457" s="87" t="n"/>
      <c r="M457" s="105" t="n"/>
      <c r="N457" s="106" t="n"/>
    </row>
    <row r="458">
      <c r="J458" s="87" t="n"/>
      <c r="L458" s="87" t="n"/>
      <c r="M458" s="105" t="n"/>
      <c r="N458" s="106" t="n"/>
    </row>
    <row r="459">
      <c r="J459" s="87" t="n"/>
      <c r="L459" s="87" t="n"/>
      <c r="M459" s="105" t="n"/>
      <c r="N459" s="106" t="n"/>
    </row>
    <row r="460">
      <c r="J460" s="87" t="n"/>
      <c r="L460" s="87" t="n"/>
      <c r="M460" s="105" t="n"/>
      <c r="N460" s="106" t="n"/>
    </row>
    <row r="461">
      <c r="J461" s="87" t="n"/>
      <c r="L461" s="87" t="n"/>
      <c r="M461" s="105" t="n"/>
      <c r="N461" s="106" t="n"/>
    </row>
    <row r="462">
      <c r="J462" s="87" t="n"/>
      <c r="L462" s="87" t="n"/>
      <c r="M462" s="105" t="n"/>
      <c r="N462" s="106" t="n"/>
    </row>
    <row r="463">
      <c r="J463" s="87" t="n"/>
      <c r="L463" s="87" t="n"/>
      <c r="M463" s="105" t="n"/>
      <c r="N463" s="106" t="n"/>
    </row>
    <row r="464">
      <c r="J464" s="87" t="n"/>
      <c r="L464" s="87" t="n"/>
      <c r="M464" s="105" t="n"/>
      <c r="N464" s="106" t="n"/>
    </row>
    <row r="465">
      <c r="J465" s="87" t="n"/>
      <c r="L465" s="87" t="n"/>
      <c r="M465" s="105" t="n"/>
      <c r="N465" s="106" t="n"/>
    </row>
    <row r="466">
      <c r="J466" s="87" t="n"/>
      <c r="L466" s="87" t="n"/>
      <c r="M466" s="105" t="n"/>
      <c r="N466" s="106" t="n"/>
    </row>
    <row r="467">
      <c r="J467" s="87" t="n"/>
      <c r="L467" s="87" t="n"/>
      <c r="M467" s="105" t="n"/>
      <c r="N467" s="106" t="n"/>
    </row>
    <row r="468">
      <c r="J468" s="87" t="n"/>
      <c r="L468" s="87" t="n"/>
      <c r="M468" s="105" t="n"/>
      <c r="N468" s="106" t="n"/>
    </row>
    <row r="469">
      <c r="J469" s="87" t="n"/>
      <c r="L469" s="87" t="n"/>
      <c r="M469" s="105" t="n"/>
      <c r="N469" s="106" t="n"/>
    </row>
    <row r="470">
      <c r="J470" s="87" t="n"/>
      <c r="L470" s="87" t="n"/>
      <c r="M470" s="105" t="n"/>
      <c r="N470" s="106" t="n"/>
    </row>
    <row r="471">
      <c r="J471" s="87" t="n"/>
      <c r="L471" s="87" t="n"/>
      <c r="M471" s="105" t="n"/>
      <c r="N471" s="106" t="n"/>
    </row>
    <row r="472">
      <c r="J472" s="87" t="n"/>
      <c r="L472" s="87" t="n"/>
      <c r="M472" s="105" t="n"/>
      <c r="N472" s="106" t="n"/>
    </row>
    <row r="473">
      <c r="J473" s="87" t="n"/>
      <c r="L473" s="87" t="n"/>
      <c r="M473" s="105" t="n"/>
      <c r="N473" s="106" t="n"/>
    </row>
    <row r="474">
      <c r="J474" s="87" t="n"/>
      <c r="L474" s="87" t="n"/>
      <c r="M474" s="105" t="n"/>
      <c r="N474" s="106" t="n"/>
    </row>
    <row r="475">
      <c r="J475" s="87" t="n"/>
      <c r="L475" s="87" t="n"/>
      <c r="M475" s="105" t="n"/>
      <c r="N475" s="106" t="n"/>
    </row>
    <row r="476">
      <c r="J476" s="87" t="n"/>
      <c r="L476" s="87" t="n"/>
      <c r="M476" s="105" t="n"/>
      <c r="N476" s="106" t="n"/>
    </row>
    <row r="477">
      <c r="J477" s="87" t="n"/>
      <c r="L477" s="87" t="n"/>
      <c r="M477" s="105" t="n"/>
      <c r="N477" s="106" t="n"/>
    </row>
    <row r="478">
      <c r="J478" s="87" t="n"/>
      <c r="L478" s="87" t="n"/>
      <c r="M478" s="105" t="n"/>
      <c r="N478" s="106" t="n"/>
    </row>
    <row r="479">
      <c r="J479" s="87" t="n"/>
      <c r="L479" s="87" t="n"/>
      <c r="M479" s="105" t="n"/>
      <c r="N479" s="106" t="n"/>
    </row>
    <row r="480">
      <c r="J480" s="87" t="n"/>
      <c r="L480" s="87" t="n"/>
      <c r="M480" s="105" t="n"/>
      <c r="N480" s="106" t="n"/>
    </row>
    <row r="481">
      <c r="J481" s="87" t="n"/>
      <c r="L481" s="87" t="n"/>
      <c r="M481" s="105" t="n"/>
      <c r="N481" s="106" t="n"/>
    </row>
    <row r="482">
      <c r="J482" s="87" t="n"/>
      <c r="L482" s="87" t="n"/>
      <c r="M482" s="105" t="n"/>
      <c r="N482" s="106" t="n"/>
    </row>
    <row r="483">
      <c r="J483" s="87" t="n"/>
      <c r="L483" s="87" t="n"/>
      <c r="M483" s="105" t="n"/>
      <c r="N483" s="106" t="n"/>
    </row>
    <row r="484">
      <c r="J484" s="87" t="n"/>
      <c r="L484" s="87" t="n"/>
      <c r="M484" s="105" t="n"/>
      <c r="N484" s="106" t="n"/>
    </row>
    <row r="485">
      <c r="J485" s="87" t="n"/>
      <c r="L485" s="87" t="n"/>
      <c r="M485" s="105" t="n"/>
      <c r="N485" s="106" t="n"/>
    </row>
    <row r="486">
      <c r="J486" s="87" t="n"/>
      <c r="L486" s="87" t="n"/>
      <c r="M486" s="105" t="n"/>
      <c r="N486" s="106" t="n"/>
    </row>
    <row r="487">
      <c r="J487" s="87" t="n"/>
      <c r="L487" s="87" t="n"/>
      <c r="M487" s="105" t="n"/>
      <c r="N487" s="106" t="n"/>
    </row>
    <row r="488">
      <c r="J488" s="87" t="n"/>
      <c r="L488" s="87" t="n"/>
      <c r="M488" s="105" t="n"/>
      <c r="N488" s="106" t="n"/>
    </row>
    <row r="489">
      <c r="J489" s="87" t="n"/>
      <c r="L489" s="87" t="n"/>
      <c r="M489" s="105" t="n"/>
      <c r="N489" s="106" t="n"/>
    </row>
    <row r="490">
      <c r="J490" s="87" t="n"/>
      <c r="L490" s="87" t="n"/>
      <c r="M490" s="105" t="n"/>
      <c r="N490" s="106" t="n"/>
    </row>
    <row r="491">
      <c r="J491" s="87" t="n"/>
      <c r="L491" s="87" t="n"/>
      <c r="M491" s="105" t="n"/>
      <c r="N491" s="106" t="n"/>
    </row>
    <row r="492">
      <c r="J492" s="87" t="n"/>
      <c r="L492" s="87" t="n"/>
      <c r="M492" s="105" t="n"/>
      <c r="N492" s="106" t="n"/>
    </row>
    <row r="493">
      <c r="J493" s="87" t="n"/>
      <c r="L493" s="87" t="n"/>
      <c r="M493" s="105" t="n"/>
      <c r="N493" s="106" t="n"/>
    </row>
    <row r="494">
      <c r="J494" s="87" t="n"/>
      <c r="L494" s="87" t="n"/>
      <c r="M494" s="105" t="n"/>
      <c r="N494" s="106" t="n"/>
    </row>
    <row r="495">
      <c r="J495" s="87" t="n"/>
      <c r="L495" s="87" t="n"/>
      <c r="M495" s="105" t="n"/>
      <c r="N495" s="106" t="n"/>
    </row>
    <row r="496">
      <c r="J496" s="87" t="n"/>
      <c r="L496" s="87" t="n"/>
      <c r="M496" s="105" t="n"/>
      <c r="N496" s="106" t="n"/>
    </row>
    <row r="497">
      <c r="J497" s="87" t="n"/>
      <c r="L497" s="87" t="n"/>
      <c r="M497" s="105" t="n"/>
      <c r="N497" s="106" t="n"/>
    </row>
    <row r="498">
      <c r="J498" s="87" t="n"/>
      <c r="L498" s="87" t="n"/>
      <c r="M498" s="105" t="n"/>
      <c r="N498" s="106" t="n"/>
    </row>
    <row r="499">
      <c r="J499" s="87" t="n"/>
      <c r="L499" s="87" t="n"/>
      <c r="M499" s="105" t="n"/>
      <c r="N499" s="106" t="n"/>
    </row>
    <row r="500">
      <c r="J500" s="87" t="n"/>
      <c r="L500" s="87" t="n"/>
      <c r="M500" s="105" t="n"/>
      <c r="N500" s="106" t="n"/>
    </row>
    <row r="501">
      <c r="J501" s="87" t="n"/>
      <c r="L501" s="87" t="n"/>
      <c r="M501" s="105" t="n"/>
      <c r="N501" s="106" t="n"/>
    </row>
    <row r="502">
      <c r="J502" s="87" t="n"/>
      <c r="L502" s="87" t="n"/>
      <c r="M502" s="105" t="n"/>
      <c r="N502" s="106" t="n"/>
    </row>
    <row r="503">
      <c r="J503" s="87" t="n"/>
      <c r="L503" s="87" t="n"/>
      <c r="M503" s="105" t="n"/>
      <c r="N503" s="106" t="n"/>
    </row>
    <row r="504">
      <c r="J504" s="87" t="n"/>
      <c r="L504" s="87" t="n"/>
      <c r="M504" s="105" t="n"/>
      <c r="N504" s="106" t="n"/>
    </row>
    <row r="505">
      <c r="J505" s="87" t="n"/>
      <c r="L505" s="87" t="n"/>
      <c r="M505" s="105" t="n"/>
      <c r="N505" s="106" t="n"/>
    </row>
    <row r="506">
      <c r="J506" s="87" t="n"/>
      <c r="L506" s="87" t="n"/>
      <c r="M506" s="105" t="n"/>
      <c r="N506" s="106" t="n"/>
    </row>
    <row r="507">
      <c r="J507" s="87" t="n"/>
      <c r="L507" s="87" t="n"/>
      <c r="M507" s="105" t="n"/>
      <c r="N507" s="106" t="n"/>
    </row>
    <row r="508">
      <c r="J508" s="87" t="n"/>
      <c r="L508" s="87" t="n"/>
      <c r="M508" s="105" t="n"/>
      <c r="N508" s="106" t="n"/>
    </row>
    <row r="509">
      <c r="J509" s="87" t="n"/>
      <c r="L509" s="87" t="n"/>
      <c r="M509" s="105" t="n"/>
      <c r="N509" s="106" t="n"/>
    </row>
    <row r="510">
      <c r="J510" s="87" t="n"/>
      <c r="L510" s="87" t="n"/>
      <c r="M510" s="105" t="n"/>
      <c r="N510" s="106" t="n"/>
    </row>
    <row r="511">
      <c r="J511" s="87" t="n"/>
      <c r="L511" s="87" t="n"/>
      <c r="M511" s="105" t="n"/>
      <c r="N511" s="106" t="n"/>
    </row>
    <row r="512">
      <c r="J512" s="87" t="n"/>
      <c r="L512" s="87" t="n"/>
      <c r="M512" s="105" t="n"/>
      <c r="N512" s="106" t="n"/>
    </row>
    <row r="513">
      <c r="J513" s="87" t="n"/>
      <c r="L513" s="87" t="n"/>
      <c r="M513" s="105" t="n"/>
      <c r="N513" s="106" t="n"/>
    </row>
    <row r="514">
      <c r="J514" s="87" t="n"/>
      <c r="L514" s="87" t="n"/>
      <c r="M514" s="105" t="n"/>
      <c r="N514" s="106" t="n"/>
    </row>
    <row r="515">
      <c r="J515" s="87" t="n"/>
      <c r="L515" s="87" t="n"/>
      <c r="M515" s="105" t="n"/>
      <c r="N515" s="106" t="n"/>
    </row>
    <row r="516">
      <c r="J516" s="87" t="n"/>
      <c r="L516" s="87" t="n"/>
      <c r="M516" s="105" t="n"/>
      <c r="N516" s="106" t="n"/>
    </row>
    <row r="517">
      <c r="J517" s="87" t="n"/>
      <c r="L517" s="87" t="n"/>
      <c r="M517" s="105" t="n"/>
      <c r="N517" s="106" t="n"/>
    </row>
    <row r="518">
      <c r="J518" s="87" t="n"/>
      <c r="L518" s="87" t="n"/>
      <c r="M518" s="105" t="n"/>
      <c r="N518" s="106" t="n"/>
    </row>
    <row r="519">
      <c r="J519" s="87" t="n"/>
      <c r="L519" s="87" t="n"/>
      <c r="M519" s="105" t="n"/>
      <c r="N519" s="106" t="n"/>
    </row>
    <row r="520">
      <c r="J520" s="87" t="n"/>
      <c r="L520" s="87" t="n"/>
      <c r="M520" s="105" t="n"/>
      <c r="N520" s="106" t="n"/>
    </row>
    <row r="521">
      <c r="J521" s="87" t="n"/>
      <c r="L521" s="87" t="n"/>
      <c r="M521" s="105" t="n"/>
      <c r="N521" s="106" t="n"/>
    </row>
    <row r="522">
      <c r="J522" s="87" t="n"/>
      <c r="L522" s="87" t="n"/>
      <c r="M522" s="105" t="n"/>
      <c r="N522" s="106" t="n"/>
    </row>
    <row r="523">
      <c r="J523" s="87" t="n"/>
      <c r="L523" s="87" t="n"/>
      <c r="M523" s="105" t="n"/>
      <c r="N523" s="106" t="n"/>
    </row>
    <row r="524">
      <c r="J524" s="87" t="n"/>
      <c r="L524" s="87" t="n"/>
      <c r="M524" s="105" t="n"/>
      <c r="N524" s="106" t="n"/>
    </row>
    <row r="525">
      <c r="J525" s="87" t="n"/>
      <c r="L525" s="87" t="n"/>
      <c r="M525" s="105" t="n"/>
      <c r="N525" s="106" t="n"/>
    </row>
    <row r="526">
      <c r="J526" s="87" t="n"/>
      <c r="L526" s="87" t="n"/>
      <c r="M526" s="105" t="n"/>
      <c r="N526" s="106" t="n"/>
    </row>
    <row r="527">
      <c r="J527" s="87" t="n"/>
      <c r="L527" s="87" t="n"/>
      <c r="M527" s="105" t="n"/>
      <c r="N527" s="106" t="n"/>
    </row>
    <row r="528">
      <c r="J528" s="87" t="n"/>
      <c r="L528" s="87" t="n"/>
      <c r="M528" s="105" t="n"/>
      <c r="N528" s="106" t="n"/>
    </row>
    <row r="529">
      <c r="J529" s="87" t="n"/>
      <c r="L529" s="87" t="n"/>
      <c r="M529" s="105" t="n"/>
      <c r="N529" s="106" t="n"/>
    </row>
    <row r="530">
      <c r="J530" s="87" t="n"/>
      <c r="L530" s="87" t="n"/>
      <c r="M530" s="105" t="n"/>
      <c r="N530" s="106" t="n"/>
    </row>
    <row r="531">
      <c r="J531" s="87" t="n"/>
      <c r="L531" s="87" t="n"/>
      <c r="M531" s="105" t="n"/>
      <c r="N531" s="106" t="n"/>
    </row>
    <row r="532">
      <c r="J532" s="87" t="n"/>
      <c r="L532" s="87" t="n"/>
      <c r="M532" s="105" t="n"/>
      <c r="N532" s="106" t="n"/>
    </row>
    <row r="533">
      <c r="J533" s="87" t="n"/>
      <c r="L533" s="87" t="n"/>
      <c r="M533" s="105" t="n"/>
      <c r="N533" s="106" t="n"/>
    </row>
    <row r="534">
      <c r="J534" s="87" t="n"/>
      <c r="L534" s="87" t="n"/>
      <c r="M534" s="105" t="n"/>
      <c r="N534" s="106" t="n"/>
    </row>
    <row r="535">
      <c r="J535" s="87" t="n"/>
      <c r="L535" s="87" t="n"/>
      <c r="M535" s="105" t="n"/>
      <c r="N535" s="106" t="n"/>
    </row>
    <row r="536">
      <c r="J536" s="87" t="n"/>
      <c r="L536" s="87" t="n"/>
      <c r="M536" s="105" t="n"/>
      <c r="N536" s="106" t="n"/>
    </row>
    <row r="537">
      <c r="J537" s="87" t="n"/>
      <c r="L537" s="87" t="n"/>
      <c r="M537" s="105" t="n"/>
      <c r="N537" s="106" t="n"/>
    </row>
    <row r="538">
      <c r="J538" s="87" t="n"/>
      <c r="L538" s="87" t="n"/>
      <c r="M538" s="105" t="n"/>
      <c r="N538" s="106" t="n"/>
    </row>
    <row r="539">
      <c r="J539" s="87" t="n"/>
      <c r="L539" s="87" t="n"/>
      <c r="M539" s="105" t="n"/>
      <c r="N539" s="106" t="n"/>
    </row>
    <row r="540">
      <c r="J540" s="87" t="n"/>
      <c r="L540" s="87" t="n"/>
      <c r="M540" s="105" t="n"/>
      <c r="N540" s="106" t="n"/>
    </row>
    <row r="541">
      <c r="J541" s="87" t="n"/>
      <c r="L541" s="87" t="n"/>
      <c r="M541" s="105" t="n"/>
      <c r="N541" s="106" t="n"/>
    </row>
    <row r="542">
      <c r="J542" s="87" t="n"/>
      <c r="L542" s="87" t="n"/>
      <c r="M542" s="105" t="n"/>
      <c r="N542" s="106" t="n"/>
    </row>
    <row r="543">
      <c r="J543" s="87" t="n"/>
      <c r="L543" s="87" t="n"/>
      <c r="M543" s="105" t="n"/>
      <c r="N543" s="106" t="n"/>
    </row>
    <row r="544">
      <c r="J544" s="87" t="n"/>
      <c r="L544" s="87" t="n"/>
      <c r="M544" s="105" t="n"/>
      <c r="N544" s="106" t="n"/>
    </row>
    <row r="545">
      <c r="J545" s="87" t="n"/>
      <c r="L545" s="87" t="n"/>
      <c r="M545" s="105" t="n"/>
      <c r="N545" s="106" t="n"/>
    </row>
    <row r="546">
      <c r="J546" s="87" t="n"/>
      <c r="L546" s="87" t="n"/>
      <c r="M546" s="105" t="n"/>
      <c r="N546" s="106" t="n"/>
    </row>
    <row r="547">
      <c r="J547" s="87" t="n"/>
      <c r="L547" s="87" t="n"/>
      <c r="M547" s="105" t="n"/>
      <c r="N547" s="106" t="n"/>
    </row>
    <row r="548">
      <c r="J548" s="87" t="n"/>
      <c r="L548" s="87" t="n"/>
      <c r="M548" s="105" t="n"/>
      <c r="N548" s="106" t="n"/>
    </row>
    <row r="549">
      <c r="J549" s="87" t="n"/>
      <c r="L549" s="87" t="n"/>
      <c r="M549" s="105" t="n"/>
      <c r="N549" s="106" t="n"/>
    </row>
    <row r="550">
      <c r="J550" s="87" t="n"/>
      <c r="L550" s="87" t="n"/>
      <c r="M550" s="105" t="n"/>
      <c r="N550" s="106" t="n"/>
    </row>
    <row r="551">
      <c r="J551" s="87" t="n"/>
      <c r="L551" s="87" t="n"/>
      <c r="M551" s="105" t="n"/>
      <c r="N551" s="106" t="n"/>
    </row>
    <row r="552">
      <c r="J552" s="87" t="n"/>
      <c r="L552" s="87" t="n"/>
      <c r="M552" s="105" t="n"/>
      <c r="N552" s="106" t="n"/>
    </row>
    <row r="553">
      <c r="J553" s="87" t="n"/>
      <c r="L553" s="87" t="n"/>
      <c r="M553" s="105" t="n"/>
      <c r="N553" s="106" t="n"/>
    </row>
    <row r="554">
      <c r="J554" s="87" t="n"/>
      <c r="L554" s="87" t="n"/>
      <c r="M554" s="105" t="n"/>
      <c r="N554" s="106" t="n"/>
    </row>
    <row r="555">
      <c r="J555" s="87" t="n"/>
      <c r="L555" s="87" t="n"/>
      <c r="M555" s="105" t="n"/>
      <c r="N555" s="106" t="n"/>
    </row>
    <row r="556">
      <c r="J556" s="87" t="n"/>
      <c r="L556" s="87" t="n"/>
      <c r="M556" s="105" t="n"/>
      <c r="N556" s="106" t="n"/>
    </row>
    <row r="557">
      <c r="J557" s="87" t="n"/>
      <c r="L557" s="87" t="n"/>
      <c r="M557" s="105" t="n"/>
      <c r="N557" s="106" t="n"/>
    </row>
    <row r="558">
      <c r="J558" s="87" t="n"/>
      <c r="L558" s="87" t="n"/>
      <c r="M558" s="105" t="n"/>
      <c r="N558" s="106" t="n"/>
    </row>
    <row r="559">
      <c r="J559" s="87" t="n"/>
      <c r="L559" s="87" t="n"/>
      <c r="M559" s="105" t="n"/>
      <c r="N559" s="106" t="n"/>
    </row>
    <row r="560">
      <c r="J560" s="87" t="n"/>
      <c r="L560" s="87" t="n"/>
      <c r="M560" s="105" t="n"/>
      <c r="N560" s="106" t="n"/>
    </row>
    <row r="561">
      <c r="J561" s="87" t="n"/>
      <c r="L561" s="87" t="n"/>
      <c r="M561" s="105" t="n"/>
      <c r="N561" s="106" t="n"/>
    </row>
    <row r="562">
      <c r="J562" s="87" t="n"/>
      <c r="L562" s="87" t="n"/>
      <c r="M562" s="105" t="n"/>
      <c r="N562" s="106" t="n"/>
    </row>
    <row r="563">
      <c r="J563" s="87" t="n"/>
      <c r="L563" s="87" t="n"/>
      <c r="M563" s="105" t="n"/>
      <c r="N563" s="106" t="n"/>
    </row>
    <row r="564">
      <c r="J564" s="87" t="n"/>
      <c r="L564" s="87" t="n"/>
      <c r="M564" s="105" t="n"/>
      <c r="N564" s="106" t="n"/>
    </row>
    <row r="565">
      <c r="J565" s="87" t="n"/>
      <c r="L565" s="87" t="n"/>
      <c r="M565" s="105" t="n"/>
      <c r="N565" s="106" t="n"/>
    </row>
    <row r="566">
      <c r="J566" s="87" t="n"/>
      <c r="L566" s="87" t="n"/>
      <c r="M566" s="105" t="n"/>
      <c r="N566" s="106" t="n"/>
    </row>
    <row r="567">
      <c r="J567" s="87" t="n"/>
      <c r="L567" s="87" t="n"/>
      <c r="M567" s="105" t="n"/>
      <c r="N567" s="106" t="n"/>
    </row>
    <row r="568">
      <c r="J568" s="87" t="n"/>
      <c r="L568" s="87" t="n"/>
      <c r="M568" s="105" t="n"/>
      <c r="N568" s="106" t="n"/>
    </row>
    <row r="569">
      <c r="J569" s="87" t="n"/>
      <c r="L569" s="87" t="n"/>
      <c r="M569" s="105" t="n"/>
      <c r="N569" s="106" t="n"/>
    </row>
    <row r="570">
      <c r="J570" s="87" t="n"/>
      <c r="L570" s="87" t="n"/>
      <c r="M570" s="105" t="n"/>
      <c r="N570" s="106" t="n"/>
    </row>
    <row r="571">
      <c r="J571" s="87" t="n"/>
      <c r="L571" s="87" t="n"/>
      <c r="M571" s="105" t="n"/>
      <c r="N571" s="106" t="n"/>
    </row>
    <row r="572">
      <c r="J572" s="87" t="n"/>
      <c r="L572" s="87" t="n"/>
      <c r="M572" s="105" t="n"/>
      <c r="N572" s="106" t="n"/>
    </row>
    <row r="573">
      <c r="J573" s="87" t="n"/>
      <c r="L573" s="87" t="n"/>
      <c r="M573" s="105" t="n"/>
      <c r="N573" s="106" t="n"/>
    </row>
    <row r="574">
      <c r="J574" s="87" t="n"/>
      <c r="L574" s="87" t="n"/>
      <c r="M574" s="105" t="n"/>
      <c r="N574" s="106" t="n"/>
    </row>
    <row r="575">
      <c r="J575" s="87" t="n"/>
      <c r="L575" s="87" t="n"/>
      <c r="M575" s="105" t="n"/>
      <c r="N575" s="106" t="n"/>
    </row>
    <row r="576">
      <c r="J576" s="87" t="n"/>
      <c r="L576" s="87" t="n"/>
      <c r="M576" s="105" t="n"/>
      <c r="N576" s="106" t="n"/>
    </row>
    <row r="577">
      <c r="J577" s="87" t="n"/>
      <c r="L577" s="87" t="n"/>
      <c r="M577" s="105" t="n"/>
      <c r="N577" s="106" t="n"/>
    </row>
    <row r="578">
      <c r="J578" s="87" t="n"/>
      <c r="L578" s="87" t="n"/>
      <c r="M578" s="105" t="n"/>
      <c r="N578" s="106" t="n"/>
    </row>
    <row r="579">
      <c r="J579" s="87" t="n"/>
      <c r="L579" s="87" t="n"/>
      <c r="M579" s="105" t="n"/>
      <c r="N579" s="106" t="n"/>
    </row>
    <row r="580">
      <c r="J580" s="87" t="n"/>
      <c r="L580" s="87" t="n"/>
      <c r="M580" s="105" t="n"/>
      <c r="N580" s="106" t="n"/>
    </row>
    <row r="581">
      <c r="J581" s="87" t="n"/>
      <c r="L581" s="87" t="n"/>
      <c r="M581" s="105" t="n"/>
      <c r="N581" s="106" t="n"/>
    </row>
    <row r="582">
      <c r="J582" s="87" t="n"/>
      <c r="L582" s="87" t="n"/>
      <c r="M582" s="105" t="n"/>
      <c r="N582" s="106" t="n"/>
    </row>
    <row r="583">
      <c r="J583" s="87" t="n"/>
      <c r="L583" s="87" t="n"/>
      <c r="M583" s="105" t="n"/>
      <c r="N583" s="106" t="n"/>
    </row>
    <row r="584">
      <c r="J584" s="87" t="n"/>
      <c r="L584" s="87" t="n"/>
      <c r="M584" s="105" t="n"/>
      <c r="N584" s="106" t="n"/>
    </row>
    <row r="585">
      <c r="J585" s="87" t="n"/>
      <c r="L585" s="87" t="n"/>
      <c r="M585" s="105" t="n"/>
      <c r="N585" s="106" t="n"/>
    </row>
    <row r="586">
      <c r="J586" s="87" t="n"/>
      <c r="L586" s="87" t="n"/>
      <c r="M586" s="105" t="n"/>
      <c r="N586" s="106" t="n"/>
    </row>
    <row r="587">
      <c r="J587" s="87" t="n"/>
      <c r="L587" s="87" t="n"/>
      <c r="M587" s="105" t="n"/>
      <c r="N587" s="106" t="n"/>
    </row>
    <row r="588">
      <c r="J588" s="87" t="n"/>
      <c r="L588" s="87" t="n"/>
      <c r="M588" s="105" t="n"/>
      <c r="N588" s="106" t="n"/>
    </row>
    <row r="589">
      <c r="J589" s="87" t="n"/>
      <c r="L589" s="87" t="n"/>
      <c r="M589" s="105" t="n"/>
      <c r="N589" s="106" t="n"/>
    </row>
    <row r="590">
      <c r="J590" s="87" t="n"/>
      <c r="L590" s="87" t="n"/>
      <c r="M590" s="105" t="n"/>
      <c r="N590" s="106" t="n"/>
    </row>
    <row r="591">
      <c r="J591" s="87" t="n"/>
      <c r="L591" s="87" t="n"/>
      <c r="M591" s="105" t="n"/>
      <c r="N591" s="106" t="n"/>
    </row>
    <row r="592">
      <c r="J592" s="87" t="n"/>
      <c r="L592" s="87" t="n"/>
      <c r="M592" s="105" t="n"/>
      <c r="N592" s="106" t="n"/>
    </row>
    <row r="593">
      <c r="J593" s="87" t="n"/>
      <c r="L593" s="87" t="n"/>
      <c r="M593" s="105" t="n"/>
      <c r="N593" s="106" t="n"/>
    </row>
    <row r="594">
      <c r="J594" s="87" t="n"/>
      <c r="L594" s="87" t="n"/>
      <c r="M594" s="105" t="n"/>
      <c r="N594" s="106" t="n"/>
    </row>
    <row r="595">
      <c r="J595" s="87" t="n"/>
      <c r="L595" s="87" t="n"/>
      <c r="M595" s="105" t="n"/>
      <c r="N595" s="106" t="n"/>
    </row>
    <row r="596">
      <c r="J596" s="87" t="n"/>
      <c r="L596" s="87" t="n"/>
      <c r="M596" s="105" t="n"/>
      <c r="N596" s="106" t="n"/>
    </row>
    <row r="597">
      <c r="J597" s="87" t="n"/>
      <c r="L597" s="87" t="n"/>
      <c r="M597" s="105" t="n"/>
      <c r="N597" s="106" t="n"/>
    </row>
    <row r="598">
      <c r="J598" s="87" t="n"/>
      <c r="L598" s="87" t="n"/>
      <c r="M598" s="105" t="n"/>
      <c r="N598" s="106" t="n"/>
    </row>
    <row r="599">
      <c r="J599" s="87" t="n"/>
      <c r="L599" s="87" t="n"/>
      <c r="M599" s="105" t="n"/>
      <c r="N599" s="106" t="n"/>
    </row>
    <row r="600">
      <c r="J600" s="87" t="n"/>
      <c r="L600" s="87" t="n"/>
      <c r="M600" s="105" t="n"/>
      <c r="N600" s="106" t="n"/>
    </row>
    <row r="601">
      <c r="J601" s="87" t="n"/>
      <c r="L601" s="87" t="n"/>
      <c r="M601" s="105" t="n"/>
      <c r="N601" s="106" t="n"/>
    </row>
    <row r="602">
      <c r="J602" s="87" t="n"/>
      <c r="L602" s="87" t="n"/>
      <c r="M602" s="105" t="n"/>
      <c r="N602" s="106" t="n"/>
    </row>
    <row r="603">
      <c r="J603" s="87" t="n"/>
      <c r="L603" s="87" t="n"/>
      <c r="M603" s="105" t="n"/>
      <c r="N603" s="106" t="n"/>
    </row>
    <row r="604">
      <c r="J604" s="87" t="n"/>
      <c r="L604" s="87" t="n"/>
      <c r="M604" s="105" t="n"/>
      <c r="N604" s="106" t="n"/>
    </row>
    <row r="605">
      <c r="J605" s="87" t="n"/>
      <c r="L605" s="87" t="n"/>
      <c r="M605" s="105" t="n"/>
      <c r="N605" s="106" t="n"/>
    </row>
    <row r="606">
      <c r="J606" s="87" t="n"/>
      <c r="L606" s="87" t="n"/>
      <c r="M606" s="105" t="n"/>
      <c r="N606" s="106" t="n"/>
    </row>
    <row r="607">
      <c r="J607" s="87" t="n"/>
      <c r="L607" s="87" t="n"/>
      <c r="M607" s="105" t="n"/>
      <c r="N607" s="106" t="n"/>
    </row>
    <row r="608">
      <c r="J608" s="87" t="n"/>
      <c r="L608" s="87" t="n"/>
      <c r="M608" s="105" t="n"/>
      <c r="N608" s="106" t="n"/>
    </row>
    <row r="609">
      <c r="J609" s="87" t="n"/>
      <c r="L609" s="87" t="n"/>
      <c r="M609" s="105" t="n"/>
      <c r="N609" s="106" t="n"/>
    </row>
    <row r="610">
      <c r="J610" s="87" t="n"/>
      <c r="L610" s="87" t="n"/>
      <c r="M610" s="105" t="n"/>
      <c r="N610" s="106" t="n"/>
    </row>
    <row r="611">
      <c r="J611" s="87" t="n"/>
      <c r="L611" s="87" t="n"/>
      <c r="M611" s="105" t="n"/>
      <c r="N611" s="106" t="n"/>
    </row>
    <row r="612">
      <c r="J612" s="87" t="n"/>
      <c r="L612" s="87" t="n"/>
      <c r="M612" s="105" t="n"/>
      <c r="N612" s="106" t="n"/>
    </row>
    <row r="613">
      <c r="J613" s="87" t="n"/>
      <c r="L613" s="87" t="n"/>
      <c r="M613" s="105" t="n"/>
      <c r="N613" s="106" t="n"/>
    </row>
    <row r="614">
      <c r="J614" s="87" t="n"/>
      <c r="L614" s="87" t="n"/>
      <c r="M614" s="105" t="n"/>
      <c r="N614" s="106" t="n"/>
    </row>
    <row r="615">
      <c r="J615" s="87" t="n"/>
      <c r="L615" s="87" t="n"/>
      <c r="M615" s="105" t="n"/>
      <c r="N615" s="106" t="n"/>
    </row>
    <row r="616">
      <c r="J616" s="87" t="n"/>
      <c r="L616" s="87" t="n"/>
      <c r="M616" s="105" t="n"/>
      <c r="N616" s="106" t="n"/>
    </row>
    <row r="617">
      <c r="J617" s="87" t="n"/>
      <c r="L617" s="87" t="n"/>
      <c r="M617" s="105" t="n"/>
      <c r="N617" s="106" t="n"/>
    </row>
    <row r="618">
      <c r="J618" s="87" t="n"/>
      <c r="L618" s="87" t="n"/>
      <c r="M618" s="105" t="n"/>
      <c r="N618" s="106" t="n"/>
    </row>
    <row r="619">
      <c r="J619" s="87" t="n"/>
      <c r="L619" s="87" t="n"/>
      <c r="M619" s="105" t="n"/>
      <c r="N619" s="106" t="n"/>
    </row>
    <row r="620">
      <c r="J620" s="87" t="n"/>
      <c r="L620" s="87" t="n"/>
      <c r="M620" s="105" t="n"/>
      <c r="N620" s="106" t="n"/>
    </row>
    <row r="621">
      <c r="J621" s="87" t="n"/>
      <c r="L621" s="87" t="n"/>
      <c r="M621" s="105" t="n"/>
      <c r="N621" s="106" t="n"/>
    </row>
    <row r="622">
      <c r="J622" s="87" t="n"/>
      <c r="L622" s="87" t="n"/>
      <c r="M622" s="105" t="n"/>
      <c r="N622" s="106" t="n"/>
    </row>
    <row r="623">
      <c r="J623" s="87" t="n"/>
      <c r="L623" s="87" t="n"/>
      <c r="M623" s="105" t="n"/>
      <c r="N623" s="106" t="n"/>
    </row>
    <row r="624">
      <c r="J624" s="87" t="n"/>
      <c r="L624" s="87" t="n"/>
      <c r="M624" s="105" t="n"/>
      <c r="N624" s="106" t="n"/>
    </row>
    <row r="625">
      <c r="J625" s="87" t="n"/>
      <c r="L625" s="87" t="n"/>
      <c r="M625" s="105" t="n"/>
      <c r="N625" s="106" t="n"/>
    </row>
    <row r="626">
      <c r="J626" s="87" t="n"/>
      <c r="L626" s="87" t="n"/>
      <c r="M626" s="105" t="n"/>
      <c r="N626" s="106" t="n"/>
    </row>
    <row r="627">
      <c r="J627" s="87" t="n"/>
      <c r="L627" s="87" t="n"/>
      <c r="M627" s="105" t="n"/>
      <c r="N627" s="106" t="n"/>
    </row>
    <row r="628">
      <c r="J628" s="87" t="n"/>
      <c r="L628" s="87" t="n"/>
      <c r="M628" s="105" t="n"/>
      <c r="N628" s="106" t="n"/>
    </row>
    <row r="629">
      <c r="J629" s="87" t="n"/>
      <c r="L629" s="87" t="n"/>
      <c r="M629" s="105" t="n"/>
      <c r="N629" s="106" t="n"/>
    </row>
    <row r="630">
      <c r="J630" s="87" t="n"/>
      <c r="L630" s="87" t="n"/>
      <c r="M630" s="105" t="n"/>
      <c r="N630" s="106" t="n"/>
    </row>
    <row r="631">
      <c r="J631" s="87" t="n"/>
      <c r="L631" s="87" t="n"/>
      <c r="M631" s="105" t="n"/>
      <c r="N631" s="106" t="n"/>
    </row>
    <row r="632">
      <c r="J632" s="87" t="n"/>
      <c r="L632" s="87" t="n"/>
      <c r="M632" s="105" t="n"/>
      <c r="N632" s="106" t="n"/>
    </row>
    <row r="633">
      <c r="J633" s="87" t="n"/>
      <c r="L633" s="87" t="n"/>
      <c r="M633" s="105" t="n"/>
      <c r="N633" s="106" t="n"/>
    </row>
    <row r="634">
      <c r="J634" s="87" t="n"/>
      <c r="L634" s="87" t="n"/>
      <c r="M634" s="105" t="n"/>
      <c r="N634" s="106" t="n"/>
    </row>
    <row r="635">
      <c r="J635" s="87" t="n"/>
      <c r="L635" s="87" t="n"/>
      <c r="M635" s="105" t="n"/>
      <c r="N635" s="106" t="n"/>
    </row>
    <row r="636">
      <c r="J636" s="87" t="n"/>
      <c r="L636" s="87" t="n"/>
      <c r="M636" s="105" t="n"/>
      <c r="N636" s="106" t="n"/>
    </row>
    <row r="637">
      <c r="J637" s="87" t="n"/>
      <c r="L637" s="87" t="n"/>
      <c r="M637" s="105" t="n"/>
      <c r="N637" s="106" t="n"/>
    </row>
    <row r="638">
      <c r="J638" s="87" t="n"/>
      <c r="L638" s="87" t="n"/>
      <c r="M638" s="105" t="n"/>
      <c r="N638" s="106" t="n"/>
    </row>
    <row r="639">
      <c r="J639" s="87" t="n"/>
      <c r="L639" s="87" t="n"/>
      <c r="M639" s="105" t="n"/>
      <c r="N639" s="106" t="n"/>
    </row>
    <row r="640">
      <c r="J640" s="87" t="n"/>
      <c r="L640" s="87" t="n"/>
      <c r="M640" s="105" t="n"/>
      <c r="N640" s="106" t="n"/>
    </row>
    <row r="641">
      <c r="J641" s="87" t="n"/>
      <c r="L641" s="87" t="n"/>
      <c r="M641" s="105" t="n"/>
      <c r="N641" s="106" t="n"/>
    </row>
    <row r="642">
      <c r="J642" s="87" t="n"/>
      <c r="L642" s="87" t="n"/>
      <c r="M642" s="105" t="n"/>
      <c r="N642" s="106" t="n"/>
    </row>
    <row r="643">
      <c r="J643" s="87" t="n"/>
      <c r="L643" s="87" t="n"/>
      <c r="M643" s="105" t="n"/>
      <c r="N643" s="106" t="n"/>
    </row>
    <row r="644">
      <c r="J644" s="87" t="n"/>
      <c r="L644" s="87" t="n"/>
      <c r="M644" s="105" t="n"/>
      <c r="N644" s="106" t="n"/>
    </row>
    <row r="645">
      <c r="J645" s="87" t="n"/>
      <c r="L645" s="87" t="n"/>
      <c r="M645" s="105" t="n"/>
      <c r="N645" s="106" t="n"/>
    </row>
    <row r="646">
      <c r="J646" s="87" t="n"/>
      <c r="L646" s="87" t="n"/>
      <c r="M646" s="105" t="n"/>
      <c r="N646" s="106" t="n"/>
    </row>
    <row r="647">
      <c r="J647" s="87" t="n"/>
      <c r="L647" s="87" t="n"/>
      <c r="M647" s="105" t="n"/>
      <c r="N647" s="106" t="n"/>
    </row>
    <row r="648">
      <c r="J648" s="87" t="n"/>
      <c r="L648" s="87" t="n"/>
      <c r="M648" s="105" t="n"/>
      <c r="N648" s="106" t="n"/>
    </row>
    <row r="649">
      <c r="J649" s="87" t="n"/>
      <c r="L649" s="87" t="n"/>
      <c r="M649" s="105" t="n"/>
      <c r="N649" s="106" t="n"/>
    </row>
    <row r="650">
      <c r="J650" s="87" t="n"/>
      <c r="L650" s="87" t="n"/>
      <c r="M650" s="105" t="n"/>
      <c r="N650" s="106" t="n"/>
    </row>
    <row r="651">
      <c r="J651" s="87" t="n"/>
      <c r="L651" s="87" t="n"/>
      <c r="M651" s="105" t="n"/>
      <c r="N651" s="106" t="n"/>
    </row>
    <row r="652">
      <c r="J652" s="87" t="n"/>
      <c r="L652" s="87" t="n"/>
      <c r="M652" s="105" t="n"/>
      <c r="N652" s="106" t="n"/>
    </row>
    <row r="653">
      <c r="J653" s="87" t="n"/>
      <c r="L653" s="87" t="n"/>
      <c r="M653" s="105" t="n"/>
      <c r="N653" s="106" t="n"/>
    </row>
    <row r="654">
      <c r="J654" s="87" t="n"/>
      <c r="L654" s="87" t="n"/>
      <c r="M654" s="105" t="n"/>
      <c r="N654" s="106" t="n"/>
    </row>
    <row r="655">
      <c r="J655" s="87" t="n"/>
      <c r="L655" s="87" t="n"/>
      <c r="M655" s="105" t="n"/>
      <c r="N655" s="106" t="n"/>
    </row>
    <row r="656">
      <c r="J656" s="87" t="n"/>
      <c r="L656" s="87" t="n"/>
      <c r="M656" s="105" t="n"/>
      <c r="N656" s="106" t="n"/>
    </row>
    <row r="657">
      <c r="J657" s="87" t="n"/>
      <c r="L657" s="87" t="n"/>
      <c r="M657" s="105" t="n"/>
      <c r="N657" s="106" t="n"/>
    </row>
    <row r="658">
      <c r="J658" s="87" t="n"/>
      <c r="L658" s="87" t="n"/>
      <c r="M658" s="105" t="n"/>
      <c r="N658" s="106" t="n"/>
    </row>
    <row r="659">
      <c r="J659" s="87" t="n"/>
      <c r="L659" s="87" t="n"/>
      <c r="M659" s="105" t="n"/>
      <c r="N659" s="106" t="n"/>
    </row>
    <row r="660">
      <c r="J660" s="87" t="n"/>
      <c r="L660" s="87" t="n"/>
      <c r="M660" s="105" t="n"/>
      <c r="N660" s="106" t="n"/>
    </row>
    <row r="661">
      <c r="J661" s="87" t="n"/>
      <c r="L661" s="87" t="n"/>
      <c r="M661" s="105" t="n"/>
      <c r="N661" s="106" t="n"/>
    </row>
    <row r="662">
      <c r="J662" s="87" t="n"/>
      <c r="L662" s="87" t="n"/>
      <c r="M662" s="105" t="n"/>
      <c r="N662" s="106" t="n"/>
    </row>
    <row r="663">
      <c r="J663" s="87" t="n"/>
      <c r="L663" s="87" t="n"/>
      <c r="M663" s="105" t="n"/>
      <c r="N663" s="106" t="n"/>
    </row>
    <row r="664">
      <c r="J664" s="87" t="n"/>
      <c r="L664" s="87" t="n"/>
      <c r="M664" s="105" t="n"/>
      <c r="N664" s="106" t="n"/>
    </row>
    <row r="665">
      <c r="J665" s="87" t="n"/>
      <c r="L665" s="87" t="n"/>
      <c r="M665" s="105" t="n"/>
      <c r="N665" s="106" t="n"/>
    </row>
    <row r="666">
      <c r="J666" s="87" t="n"/>
      <c r="L666" s="87" t="n"/>
      <c r="M666" s="105" t="n"/>
      <c r="N666" s="106" t="n"/>
    </row>
    <row r="667">
      <c r="J667" s="87" t="n"/>
      <c r="L667" s="87" t="n"/>
      <c r="M667" s="105" t="n"/>
      <c r="N667" s="106" t="n"/>
    </row>
    <row r="668">
      <c r="J668" s="87" t="n"/>
      <c r="L668" s="87" t="n"/>
      <c r="M668" s="105" t="n"/>
      <c r="N668" s="106" t="n"/>
    </row>
    <row r="669">
      <c r="J669" s="87" t="n"/>
      <c r="L669" s="87" t="n"/>
      <c r="M669" s="105" t="n"/>
      <c r="N669" s="106" t="n"/>
    </row>
    <row r="670">
      <c r="J670" s="87" t="n"/>
      <c r="L670" s="87" t="n"/>
      <c r="M670" s="105" t="n"/>
      <c r="N670" s="106" t="n"/>
    </row>
    <row r="671">
      <c r="J671" s="87" t="n"/>
      <c r="L671" s="87" t="n"/>
      <c r="M671" s="105" t="n"/>
      <c r="N671" s="106" t="n"/>
    </row>
    <row r="672">
      <c r="J672" s="87" t="n"/>
      <c r="L672" s="87" t="n"/>
      <c r="M672" s="105" t="n"/>
      <c r="N672" s="106" t="n"/>
    </row>
    <row r="673">
      <c r="J673" s="87" t="n"/>
      <c r="L673" s="87" t="n"/>
      <c r="M673" s="105" t="n"/>
      <c r="N673" s="106" t="n"/>
    </row>
    <row r="674">
      <c r="J674" s="87" t="n"/>
      <c r="L674" s="87" t="n"/>
      <c r="M674" s="105" t="n"/>
      <c r="N674" s="106" t="n"/>
    </row>
    <row r="675">
      <c r="J675" s="87" t="n"/>
      <c r="L675" s="87" t="n"/>
      <c r="M675" s="105" t="n"/>
      <c r="N675" s="106" t="n"/>
    </row>
    <row r="676">
      <c r="J676" s="87" t="n"/>
      <c r="L676" s="87" t="n"/>
      <c r="M676" s="105" t="n"/>
      <c r="N676" s="106" t="n"/>
    </row>
    <row r="677">
      <c r="J677" s="87" t="n"/>
      <c r="L677" s="87" t="n"/>
      <c r="M677" s="105" t="n"/>
      <c r="N677" s="106" t="n"/>
    </row>
    <row r="678">
      <c r="J678" s="87" t="n"/>
      <c r="L678" s="87" t="n"/>
      <c r="M678" s="105" t="n"/>
      <c r="N678" s="106" t="n"/>
    </row>
    <row r="679">
      <c r="J679" s="87" t="n"/>
      <c r="L679" s="87" t="n"/>
      <c r="M679" s="105" t="n"/>
      <c r="N679" s="106" t="n"/>
    </row>
    <row r="680">
      <c r="J680" s="87" t="n"/>
      <c r="L680" s="87" t="n"/>
      <c r="M680" s="105" t="n"/>
      <c r="N680" s="106" t="n"/>
    </row>
    <row r="681">
      <c r="J681" s="87" t="n"/>
      <c r="L681" s="87" t="n"/>
      <c r="M681" s="105" t="n"/>
      <c r="N681" s="106" t="n"/>
    </row>
    <row r="682">
      <c r="J682" s="87" t="n"/>
      <c r="L682" s="87" t="n"/>
      <c r="M682" s="105" t="n"/>
      <c r="N682" s="106" t="n"/>
    </row>
    <row r="683">
      <c r="J683" s="87" t="n"/>
      <c r="L683" s="87" t="n"/>
      <c r="M683" s="105" t="n"/>
      <c r="N683" s="106" t="n"/>
    </row>
    <row r="684">
      <c r="J684" s="87" t="n"/>
      <c r="L684" s="87" t="n"/>
      <c r="M684" s="105" t="n"/>
      <c r="N684" s="106" t="n"/>
    </row>
    <row r="685">
      <c r="J685" s="87" t="n"/>
      <c r="L685" s="87" t="n"/>
      <c r="M685" s="105" t="n"/>
      <c r="N685" s="106" t="n"/>
    </row>
    <row r="686">
      <c r="J686" s="87" t="n"/>
      <c r="L686" s="87" t="n"/>
      <c r="M686" s="105" t="n"/>
      <c r="N686" s="106" t="n"/>
    </row>
    <row r="687">
      <c r="J687" s="87" t="n"/>
      <c r="L687" s="87" t="n"/>
      <c r="M687" s="105" t="n"/>
      <c r="N687" s="106" t="n"/>
    </row>
    <row r="688">
      <c r="J688" s="87" t="n"/>
      <c r="L688" s="87" t="n"/>
      <c r="M688" s="105" t="n"/>
      <c r="N688" s="106" t="n"/>
    </row>
    <row r="689">
      <c r="J689" s="87" t="n"/>
      <c r="L689" s="87" t="n"/>
      <c r="M689" s="105" t="n"/>
      <c r="N689" s="106" t="n"/>
    </row>
    <row r="690">
      <c r="J690" s="87" t="n"/>
      <c r="L690" s="87" t="n"/>
      <c r="M690" s="105" t="n"/>
      <c r="N690" s="106" t="n"/>
    </row>
    <row r="691">
      <c r="J691" s="87" t="n"/>
      <c r="L691" s="87" t="n"/>
      <c r="M691" s="105" t="n"/>
      <c r="N691" s="106" t="n"/>
    </row>
    <row r="692">
      <c r="J692" s="87" t="n"/>
      <c r="L692" s="87" t="n"/>
      <c r="M692" s="105" t="n"/>
      <c r="N692" s="106" t="n"/>
    </row>
    <row r="693">
      <c r="J693" s="87" t="n"/>
      <c r="L693" s="87" t="n"/>
      <c r="M693" s="105" t="n"/>
      <c r="N693" s="106" t="n"/>
    </row>
    <row r="694">
      <c r="J694" s="87" t="n"/>
      <c r="L694" s="87" t="n"/>
      <c r="M694" s="105" t="n"/>
      <c r="N694" s="106" t="n"/>
    </row>
    <row r="695">
      <c r="J695" s="87" t="n"/>
      <c r="L695" s="87" t="n"/>
      <c r="M695" s="105" t="n"/>
      <c r="N695" s="106" t="n"/>
    </row>
    <row r="696">
      <c r="J696" s="87" t="n"/>
      <c r="L696" s="87" t="n"/>
      <c r="M696" s="105" t="n"/>
      <c r="N696" s="106" t="n"/>
    </row>
    <row r="697">
      <c r="J697" s="87" t="n"/>
      <c r="L697" s="87" t="n"/>
      <c r="M697" s="105" t="n"/>
      <c r="N697" s="106" t="n"/>
    </row>
    <row r="698">
      <c r="J698" s="87" t="n"/>
      <c r="L698" s="87" t="n"/>
      <c r="M698" s="105" t="n"/>
      <c r="N698" s="106" t="n"/>
    </row>
    <row r="699">
      <c r="J699" s="87" t="n"/>
      <c r="L699" s="87" t="n"/>
      <c r="M699" s="105" t="n"/>
      <c r="N699" s="106" t="n"/>
    </row>
    <row r="700">
      <c r="J700" s="87" t="n"/>
      <c r="L700" s="87" t="n"/>
      <c r="M700" s="105" t="n"/>
      <c r="N700" s="106" t="n"/>
    </row>
    <row r="701">
      <c r="J701" s="87" t="n"/>
      <c r="L701" s="87" t="n"/>
      <c r="M701" s="105" t="n"/>
      <c r="N701" s="106" t="n"/>
    </row>
    <row r="702">
      <c r="J702" s="87" t="n"/>
      <c r="L702" s="87" t="n"/>
      <c r="M702" s="105" t="n"/>
      <c r="N702" s="106" t="n"/>
    </row>
    <row r="703">
      <c r="J703" s="87" t="n"/>
      <c r="L703" s="87" t="n"/>
      <c r="M703" s="105" t="n"/>
      <c r="N703" s="106" t="n"/>
    </row>
    <row r="704">
      <c r="J704" s="87" t="n"/>
      <c r="L704" s="87" t="n"/>
      <c r="M704" s="105" t="n"/>
      <c r="N704" s="106" t="n"/>
    </row>
    <row r="705">
      <c r="J705" s="87" t="n"/>
      <c r="L705" s="87" t="n"/>
      <c r="M705" s="105" t="n"/>
      <c r="N705" s="106" t="n"/>
    </row>
    <row r="706">
      <c r="J706" s="87" t="n"/>
      <c r="L706" s="87" t="n"/>
      <c r="M706" s="105" t="n"/>
      <c r="N706" s="106" t="n"/>
    </row>
    <row r="707">
      <c r="J707" s="87" t="n"/>
      <c r="L707" s="87" t="n"/>
      <c r="M707" s="105" t="n"/>
      <c r="N707" s="106" t="n"/>
    </row>
    <row r="708">
      <c r="J708" s="87" t="n"/>
      <c r="L708" s="87" t="n"/>
      <c r="M708" s="105" t="n"/>
      <c r="N708" s="106" t="n"/>
    </row>
    <row r="709">
      <c r="J709" s="87" t="n"/>
      <c r="L709" s="87" t="n"/>
      <c r="M709" s="105" t="n"/>
      <c r="N709" s="106" t="n"/>
    </row>
    <row r="710">
      <c r="J710" s="87" t="n"/>
      <c r="L710" s="87" t="n"/>
      <c r="M710" s="105" t="n"/>
      <c r="N710" s="106" t="n"/>
    </row>
    <row r="711">
      <c r="J711" s="87" t="n"/>
      <c r="L711" s="87" t="n"/>
      <c r="M711" s="105" t="n"/>
      <c r="N711" s="106" t="n"/>
    </row>
    <row r="712">
      <c r="J712" s="87" t="n"/>
      <c r="L712" s="87" t="n"/>
      <c r="M712" s="105" t="n"/>
      <c r="N712" s="106" t="n"/>
    </row>
    <row r="713">
      <c r="J713" s="87" t="n"/>
      <c r="L713" s="87" t="n"/>
      <c r="M713" s="105" t="n"/>
      <c r="N713" s="106" t="n"/>
    </row>
    <row r="714">
      <c r="J714" s="87" t="n"/>
      <c r="L714" s="87" t="n"/>
      <c r="M714" s="105" t="n"/>
      <c r="N714" s="106" t="n"/>
    </row>
    <row r="715">
      <c r="J715" s="87" t="n"/>
      <c r="L715" s="87" t="n"/>
      <c r="M715" s="105" t="n"/>
      <c r="N715" s="106" t="n"/>
    </row>
    <row r="716">
      <c r="J716" s="87" t="n"/>
      <c r="L716" s="87" t="n"/>
      <c r="M716" s="105" t="n"/>
      <c r="N716" s="106" t="n"/>
    </row>
    <row r="717">
      <c r="J717" s="87" t="n"/>
      <c r="L717" s="87" t="n"/>
      <c r="M717" s="105" t="n"/>
      <c r="N717" s="106" t="n"/>
    </row>
    <row r="718">
      <c r="J718" s="87" t="n"/>
      <c r="L718" s="87" t="n"/>
      <c r="M718" s="105" t="n"/>
      <c r="N718" s="106" t="n"/>
    </row>
    <row r="719">
      <c r="J719" s="87" t="n"/>
      <c r="L719" s="87" t="n"/>
      <c r="M719" s="105" t="n"/>
      <c r="N719" s="106" t="n"/>
    </row>
    <row r="720">
      <c r="J720" s="87" t="n"/>
      <c r="L720" s="87" t="n"/>
      <c r="M720" s="105" t="n"/>
      <c r="N720" s="106" t="n"/>
    </row>
    <row r="721">
      <c r="J721" s="87" t="n"/>
      <c r="L721" s="87" t="n"/>
      <c r="M721" s="105" t="n"/>
      <c r="N721" s="106" t="n"/>
    </row>
    <row r="722">
      <c r="J722" s="87" t="n"/>
      <c r="L722" s="87" t="n"/>
      <c r="M722" s="105" t="n"/>
      <c r="N722" s="106" t="n"/>
    </row>
    <row r="723">
      <c r="J723" s="87" t="n"/>
      <c r="L723" s="87" t="n"/>
      <c r="M723" s="105" t="n"/>
      <c r="N723" s="106" t="n"/>
    </row>
    <row r="724">
      <c r="J724" s="87" t="n"/>
      <c r="L724" s="87" t="n"/>
      <c r="M724" s="105" t="n"/>
      <c r="N724" s="106" t="n"/>
    </row>
    <row r="725">
      <c r="J725" s="87" t="n"/>
      <c r="L725" s="87" t="n"/>
      <c r="M725" s="105" t="n"/>
      <c r="N725" s="106" t="n"/>
    </row>
    <row r="726">
      <c r="J726" s="87" t="n"/>
      <c r="L726" s="87" t="n"/>
      <c r="M726" s="105" t="n"/>
      <c r="N726" s="106" t="n"/>
    </row>
    <row r="727">
      <c r="J727" s="87" t="n"/>
      <c r="L727" s="87" t="n"/>
      <c r="M727" s="105" t="n"/>
      <c r="N727" s="106" t="n"/>
    </row>
    <row r="728">
      <c r="J728" s="87" t="n"/>
      <c r="L728" s="87" t="n"/>
      <c r="M728" s="105" t="n"/>
      <c r="N728" s="106" t="n"/>
    </row>
    <row r="729">
      <c r="J729" s="87" t="n"/>
      <c r="L729" s="87" t="n"/>
      <c r="M729" s="105" t="n"/>
      <c r="N729" s="106" t="n"/>
    </row>
    <row r="730">
      <c r="J730" s="87" t="n"/>
      <c r="L730" s="87" t="n"/>
      <c r="M730" s="105" t="n"/>
      <c r="N730" s="106" t="n"/>
    </row>
    <row r="731">
      <c r="J731" s="87" t="n"/>
      <c r="L731" s="87" t="n"/>
      <c r="M731" s="105" t="n"/>
      <c r="N731" s="106" t="n"/>
    </row>
    <row r="732">
      <c r="J732" s="87" t="n"/>
      <c r="L732" s="87" t="n"/>
      <c r="M732" s="105" t="n"/>
      <c r="N732" s="106" t="n"/>
    </row>
    <row r="733">
      <c r="J733" s="87" t="n"/>
      <c r="L733" s="87" t="n"/>
      <c r="M733" s="105" t="n"/>
      <c r="N733" s="106" t="n"/>
    </row>
    <row r="734">
      <c r="J734" s="87" t="n"/>
      <c r="L734" s="87" t="n"/>
      <c r="M734" s="105" t="n"/>
      <c r="N734" s="106" t="n"/>
    </row>
    <row r="735">
      <c r="J735" s="87" t="n"/>
      <c r="L735" s="87" t="n"/>
      <c r="M735" s="105" t="n"/>
      <c r="N735" s="106" t="n"/>
    </row>
    <row r="736">
      <c r="J736" s="87" t="n"/>
      <c r="L736" s="87" t="n"/>
      <c r="M736" s="105" t="n"/>
      <c r="N736" s="106" t="n"/>
    </row>
    <row r="737">
      <c r="J737" s="87" t="n"/>
      <c r="L737" s="87" t="n"/>
      <c r="M737" s="105" t="n"/>
      <c r="N737" s="106" t="n"/>
    </row>
    <row r="738">
      <c r="J738" s="87" t="n"/>
      <c r="L738" s="87" t="n"/>
      <c r="M738" s="105" t="n"/>
      <c r="N738" s="106" t="n"/>
    </row>
    <row r="739">
      <c r="J739" s="87" t="n"/>
      <c r="L739" s="87" t="n"/>
      <c r="M739" s="105" t="n"/>
      <c r="N739" s="106" t="n"/>
    </row>
    <row r="740">
      <c r="J740" s="87" t="n"/>
      <c r="L740" s="87" t="n"/>
      <c r="M740" s="105" t="n"/>
      <c r="N740" s="106" t="n"/>
    </row>
    <row r="741">
      <c r="J741" s="87" t="n"/>
      <c r="L741" s="87" t="n"/>
      <c r="M741" s="105" t="n"/>
      <c r="N741" s="106" t="n"/>
    </row>
    <row r="742">
      <c r="J742" s="87" t="n"/>
      <c r="L742" s="87" t="n"/>
      <c r="M742" s="105" t="n"/>
      <c r="N742" s="106" t="n"/>
    </row>
    <row r="743">
      <c r="J743" s="87" t="n"/>
      <c r="L743" s="87" t="n"/>
      <c r="M743" s="105" t="n"/>
      <c r="N743" s="106" t="n"/>
    </row>
    <row r="744">
      <c r="J744" s="87" t="n"/>
      <c r="L744" s="87" t="n"/>
      <c r="M744" s="105" t="n"/>
      <c r="N744" s="106" t="n"/>
    </row>
    <row r="745">
      <c r="J745" s="87" t="n"/>
      <c r="L745" s="87" t="n"/>
      <c r="M745" s="105" t="n"/>
      <c r="N745" s="106" t="n"/>
    </row>
    <row r="746">
      <c r="J746" s="87" t="n"/>
      <c r="L746" s="87" t="n"/>
      <c r="M746" s="105" t="n"/>
      <c r="N746" s="106" t="n"/>
    </row>
    <row r="747">
      <c r="J747" s="87" t="n"/>
      <c r="L747" s="87" t="n"/>
      <c r="M747" s="105" t="n"/>
      <c r="N747" s="106" t="n"/>
    </row>
    <row r="748">
      <c r="J748" s="87" t="n"/>
      <c r="L748" s="87" t="n"/>
      <c r="M748" s="105" t="n"/>
      <c r="N748" s="106" t="n"/>
    </row>
    <row r="749">
      <c r="J749" s="87" t="n"/>
      <c r="L749" s="87" t="n"/>
      <c r="M749" s="105" t="n"/>
      <c r="N749" s="106" t="n"/>
    </row>
    <row r="750">
      <c r="J750" s="87" t="n"/>
      <c r="L750" s="87" t="n"/>
      <c r="M750" s="105" t="n"/>
      <c r="N750" s="106" t="n"/>
    </row>
    <row r="751">
      <c r="J751" s="87" t="n"/>
      <c r="L751" s="87" t="n"/>
      <c r="M751" s="105" t="n"/>
      <c r="N751" s="106" t="n"/>
    </row>
    <row r="752">
      <c r="J752" s="87" t="n"/>
      <c r="L752" s="87" t="n"/>
      <c r="M752" s="105" t="n"/>
      <c r="N752" s="106" t="n"/>
    </row>
    <row r="753">
      <c r="J753" s="87" t="n"/>
      <c r="L753" s="87" t="n"/>
      <c r="M753" s="105" t="n"/>
      <c r="N753" s="106" t="n"/>
    </row>
    <row r="754">
      <c r="J754" s="87" t="n"/>
      <c r="L754" s="87" t="n"/>
      <c r="M754" s="105" t="n"/>
      <c r="N754" s="106" t="n"/>
    </row>
    <row r="755">
      <c r="J755" s="87" t="n"/>
      <c r="L755" s="87" t="n"/>
      <c r="M755" s="105" t="n"/>
      <c r="N755" s="106" t="n"/>
    </row>
    <row r="756">
      <c r="J756" s="87" t="n"/>
      <c r="L756" s="87" t="n"/>
      <c r="M756" s="105" t="n"/>
      <c r="N756" s="106" t="n"/>
    </row>
    <row r="757">
      <c r="J757" s="87" t="n"/>
      <c r="L757" s="87" t="n"/>
      <c r="M757" s="105" t="n"/>
      <c r="N757" s="106" t="n"/>
    </row>
    <row r="758">
      <c r="J758" s="87" t="n"/>
      <c r="L758" s="87" t="n"/>
      <c r="M758" s="105" t="n"/>
      <c r="N758" s="106" t="n"/>
    </row>
    <row r="759">
      <c r="J759" s="87" t="n"/>
      <c r="L759" s="87" t="n"/>
      <c r="M759" s="105" t="n"/>
      <c r="N759" s="106" t="n"/>
    </row>
    <row r="760">
      <c r="J760" s="87" t="n"/>
      <c r="L760" s="87" t="n"/>
      <c r="M760" s="105" t="n"/>
      <c r="N760" s="106" t="n"/>
    </row>
    <row r="761">
      <c r="J761" s="87" t="n"/>
      <c r="L761" s="87" t="n"/>
      <c r="M761" s="105" t="n"/>
      <c r="N761" s="106" t="n"/>
    </row>
    <row r="762">
      <c r="J762" s="87" t="n"/>
      <c r="L762" s="87" t="n"/>
      <c r="M762" s="105" t="n"/>
      <c r="N762" s="106" t="n"/>
    </row>
    <row r="763">
      <c r="J763" s="87" t="n"/>
      <c r="L763" s="87" t="n"/>
      <c r="M763" s="105" t="n"/>
      <c r="N763" s="106" t="n"/>
    </row>
    <row r="764">
      <c r="J764" s="87" t="n"/>
      <c r="L764" s="87" t="n"/>
      <c r="M764" s="105" t="n"/>
      <c r="N764" s="106" t="n"/>
    </row>
    <row r="765">
      <c r="J765" s="87" t="n"/>
      <c r="L765" s="87" t="n"/>
      <c r="M765" s="105" t="n"/>
      <c r="N765" s="106" t="n"/>
    </row>
    <row r="766">
      <c r="J766" s="87" t="n"/>
      <c r="L766" s="87" t="n"/>
      <c r="M766" s="105" t="n"/>
      <c r="N766" s="106" t="n"/>
    </row>
    <row r="767">
      <c r="J767" s="87" t="n"/>
      <c r="L767" s="87" t="n"/>
      <c r="M767" s="105" t="n"/>
      <c r="N767" s="106" t="n"/>
    </row>
    <row r="768">
      <c r="J768" s="87" t="n"/>
      <c r="L768" s="87" t="n"/>
      <c r="M768" s="105" t="n"/>
      <c r="N768" s="106" t="n"/>
    </row>
    <row r="769">
      <c r="J769" s="87" t="n"/>
      <c r="L769" s="87" t="n"/>
      <c r="M769" s="105" t="n"/>
      <c r="N769" s="106" t="n"/>
    </row>
    <row r="770">
      <c r="J770" s="87" t="n"/>
      <c r="L770" s="87" t="n"/>
      <c r="M770" s="105" t="n"/>
      <c r="N770" s="106" t="n"/>
    </row>
    <row r="771">
      <c r="J771" s="87" t="n"/>
      <c r="L771" s="87" t="n"/>
      <c r="M771" s="105" t="n"/>
      <c r="N771" s="106" t="n"/>
    </row>
    <row r="772">
      <c r="J772" s="87" t="n"/>
      <c r="L772" s="87" t="n"/>
      <c r="M772" s="105" t="n"/>
      <c r="N772" s="106" t="n"/>
    </row>
    <row r="773">
      <c r="J773" s="87" t="n"/>
      <c r="L773" s="87" t="n"/>
      <c r="M773" s="105" t="n"/>
      <c r="N773" s="106" t="n"/>
    </row>
    <row r="774">
      <c r="J774" s="87" t="n"/>
      <c r="L774" s="87" t="n"/>
      <c r="M774" s="105" t="n"/>
      <c r="N774" s="106" t="n"/>
    </row>
    <row r="775">
      <c r="J775" s="87" t="n"/>
      <c r="L775" s="87" t="n"/>
      <c r="M775" s="105" t="n"/>
      <c r="N775" s="106" t="n"/>
    </row>
    <row r="776">
      <c r="J776" s="87" t="n"/>
      <c r="L776" s="87" t="n"/>
      <c r="M776" s="105" t="n"/>
      <c r="N776" s="106" t="n"/>
    </row>
    <row r="777">
      <c r="J777" s="87" t="n"/>
      <c r="L777" s="87" t="n"/>
      <c r="M777" s="105" t="n"/>
      <c r="N777" s="106" t="n"/>
    </row>
    <row r="778">
      <c r="J778" s="87" t="n"/>
      <c r="L778" s="87" t="n"/>
      <c r="M778" s="105" t="n"/>
      <c r="N778" s="106" t="n"/>
    </row>
    <row r="779">
      <c r="J779" s="87" t="n"/>
      <c r="L779" s="87" t="n"/>
      <c r="M779" s="105" t="n"/>
      <c r="N779" s="106" t="n"/>
    </row>
    <row r="780">
      <c r="J780" s="87" t="n"/>
      <c r="L780" s="87" t="n"/>
      <c r="M780" s="105" t="n"/>
      <c r="N780" s="106" t="n"/>
    </row>
    <row r="781">
      <c r="J781" s="87" t="n"/>
      <c r="L781" s="87" t="n"/>
      <c r="M781" s="105" t="n"/>
      <c r="N781" s="106" t="n"/>
    </row>
    <row r="782">
      <c r="J782" s="87" t="n"/>
      <c r="L782" s="87" t="n"/>
      <c r="M782" s="105" t="n"/>
      <c r="N782" s="106" t="n"/>
    </row>
    <row r="783">
      <c r="J783" s="87" t="n"/>
      <c r="L783" s="87" t="n"/>
      <c r="M783" s="105" t="n"/>
      <c r="N783" s="106" t="n"/>
    </row>
    <row r="784">
      <c r="J784" s="87" t="n"/>
      <c r="L784" s="87" t="n"/>
      <c r="M784" s="105" t="n"/>
      <c r="N784" s="106" t="n"/>
    </row>
    <row r="785">
      <c r="J785" s="87" t="n"/>
      <c r="L785" s="87" t="n"/>
      <c r="M785" s="105" t="n"/>
      <c r="N785" s="106" t="n"/>
    </row>
    <row r="786">
      <c r="J786" s="87" t="n"/>
      <c r="L786" s="87" t="n"/>
      <c r="M786" s="105" t="n"/>
      <c r="N786" s="106" t="n"/>
    </row>
    <row r="787">
      <c r="J787" s="87" t="n"/>
      <c r="L787" s="87" t="n"/>
      <c r="M787" s="105" t="n"/>
      <c r="N787" s="106" t="n"/>
    </row>
    <row r="788">
      <c r="J788" s="87" t="n"/>
      <c r="L788" s="87" t="n"/>
      <c r="M788" s="105" t="n"/>
      <c r="N788" s="106" t="n"/>
    </row>
    <row r="789">
      <c r="J789" s="87" t="n"/>
      <c r="L789" s="87" t="n"/>
      <c r="M789" s="105" t="n"/>
      <c r="N789" s="106" t="n"/>
    </row>
    <row r="790">
      <c r="J790" s="87" t="n"/>
      <c r="L790" s="87" t="n"/>
      <c r="M790" s="105" t="n"/>
      <c r="N790" s="106" t="n"/>
    </row>
    <row r="791">
      <c r="J791" s="87" t="n"/>
      <c r="L791" s="87" t="n"/>
      <c r="M791" s="105" t="n"/>
      <c r="N791" s="106" t="n"/>
    </row>
    <row r="792">
      <c r="J792" s="87" t="n"/>
      <c r="L792" s="87" t="n"/>
      <c r="M792" s="105" t="n"/>
      <c r="N792" s="106" t="n"/>
    </row>
    <row r="793">
      <c r="J793" s="87" t="n"/>
      <c r="L793" s="87" t="n"/>
      <c r="M793" s="105" t="n"/>
      <c r="N793" s="106" t="n"/>
    </row>
    <row r="794">
      <c r="J794" s="87" t="n"/>
      <c r="L794" s="87" t="n"/>
      <c r="M794" s="105" t="n"/>
      <c r="N794" s="106" t="n"/>
    </row>
    <row r="795">
      <c r="J795" s="87" t="n"/>
      <c r="L795" s="87" t="n"/>
      <c r="M795" s="105" t="n"/>
      <c r="N795" s="106" t="n"/>
    </row>
    <row r="796">
      <c r="J796" s="87" t="n"/>
      <c r="L796" s="87" t="n"/>
      <c r="M796" s="105" t="n"/>
      <c r="N796" s="106" t="n"/>
    </row>
    <row r="797">
      <c r="J797" s="87" t="n"/>
      <c r="L797" s="87" t="n"/>
      <c r="M797" s="105" t="n"/>
      <c r="N797" s="106" t="n"/>
    </row>
    <row r="798">
      <c r="J798" s="87" t="n"/>
      <c r="L798" s="87" t="n"/>
      <c r="M798" s="105" t="n"/>
      <c r="N798" s="106" t="n"/>
    </row>
    <row r="799">
      <c r="J799" s="87" t="n"/>
      <c r="L799" s="87" t="n"/>
      <c r="M799" s="105" t="n"/>
      <c r="N799" s="106" t="n"/>
    </row>
    <row r="800">
      <c r="J800" s="87" t="n"/>
      <c r="L800" s="87" t="n"/>
      <c r="M800" s="105" t="n"/>
      <c r="N800" s="106" t="n"/>
    </row>
    <row r="801">
      <c r="J801" s="87" t="n"/>
      <c r="L801" s="87" t="n"/>
      <c r="M801" s="105" t="n"/>
      <c r="N801" s="106" t="n"/>
    </row>
    <row r="802">
      <c r="J802" s="87" t="n"/>
      <c r="L802" s="87" t="n"/>
      <c r="M802" s="105" t="n"/>
      <c r="N802" s="106" t="n"/>
    </row>
    <row r="803">
      <c r="J803" s="87" t="n"/>
      <c r="L803" s="87" t="n"/>
      <c r="M803" s="105" t="n"/>
      <c r="N803" s="106" t="n"/>
    </row>
    <row r="804">
      <c r="J804" s="87" t="n"/>
      <c r="L804" s="87" t="n"/>
      <c r="M804" s="105" t="n"/>
      <c r="N804" s="106" t="n"/>
    </row>
    <row r="805">
      <c r="J805" s="87" t="n"/>
      <c r="L805" s="87" t="n"/>
      <c r="M805" s="105" t="n"/>
      <c r="N805" s="106" t="n"/>
    </row>
    <row r="806">
      <c r="J806" s="87" t="n"/>
      <c r="L806" s="87" t="n"/>
      <c r="M806" s="105" t="n"/>
      <c r="N806" s="106" t="n"/>
    </row>
    <row r="807">
      <c r="J807" s="87" t="n"/>
      <c r="L807" s="87" t="n"/>
      <c r="M807" s="105" t="n"/>
      <c r="N807" s="106" t="n"/>
    </row>
    <row r="808">
      <c r="J808" s="87" t="n"/>
      <c r="L808" s="87" t="n"/>
      <c r="M808" s="105" t="n"/>
      <c r="N808" s="106" t="n"/>
    </row>
    <row r="809">
      <c r="J809" s="87" t="n"/>
      <c r="L809" s="87" t="n"/>
      <c r="M809" s="105" t="n"/>
      <c r="N809" s="106" t="n"/>
    </row>
    <row r="810">
      <c r="J810" s="87" t="n"/>
      <c r="L810" s="87" t="n"/>
      <c r="M810" s="105" t="n"/>
      <c r="N810" s="106" t="n"/>
    </row>
    <row r="811">
      <c r="J811" s="87" t="n"/>
      <c r="L811" s="87" t="n"/>
      <c r="M811" s="105" t="n"/>
      <c r="N811" s="106" t="n"/>
    </row>
    <row r="812">
      <c r="J812" s="87" t="n"/>
      <c r="L812" s="87" t="n"/>
      <c r="M812" s="105" t="n"/>
      <c r="N812" s="106" t="n"/>
    </row>
    <row r="813">
      <c r="J813" s="87" t="n"/>
      <c r="L813" s="87" t="n"/>
      <c r="M813" s="105" t="n"/>
      <c r="N813" s="106" t="n"/>
    </row>
    <row r="814">
      <c r="J814" s="87" t="n"/>
      <c r="L814" s="87" t="n"/>
      <c r="M814" s="105" t="n"/>
      <c r="N814" s="106" t="n"/>
    </row>
    <row r="815">
      <c r="J815" s="87" t="n"/>
      <c r="L815" s="87" t="n"/>
      <c r="M815" s="105" t="n"/>
      <c r="N815" s="106" t="n"/>
    </row>
    <row r="816">
      <c r="J816" s="87" t="n"/>
      <c r="L816" s="87" t="n"/>
      <c r="M816" s="105" t="n"/>
      <c r="N816" s="106" t="n"/>
    </row>
    <row r="817">
      <c r="J817" s="87" t="n"/>
      <c r="L817" s="87" t="n"/>
      <c r="M817" s="105" t="n"/>
      <c r="N817" s="106" t="n"/>
    </row>
    <row r="818">
      <c r="J818" s="87" t="n"/>
      <c r="L818" s="87" t="n"/>
      <c r="M818" s="105" t="n"/>
      <c r="N818" s="106" t="n"/>
    </row>
    <row r="819">
      <c r="J819" s="87" t="n"/>
      <c r="L819" s="87" t="n"/>
      <c r="M819" s="105" t="n"/>
      <c r="N819" s="106" t="n"/>
    </row>
    <row r="820">
      <c r="J820" s="87" t="n"/>
      <c r="L820" s="87" t="n"/>
      <c r="M820" s="105" t="n"/>
      <c r="N820" s="106" t="n"/>
    </row>
    <row r="821">
      <c r="J821" s="87" t="n"/>
      <c r="L821" s="87" t="n"/>
      <c r="M821" s="105" t="n"/>
      <c r="N821" s="106" t="n"/>
    </row>
    <row r="822">
      <c r="J822" s="87" t="n"/>
      <c r="L822" s="87" t="n"/>
      <c r="M822" s="105" t="n"/>
      <c r="N822" s="106" t="n"/>
    </row>
    <row r="823">
      <c r="J823" s="87" t="n"/>
      <c r="L823" s="87" t="n"/>
      <c r="M823" s="105" t="n"/>
      <c r="N823" s="106" t="n"/>
    </row>
    <row r="824">
      <c r="J824" s="87" t="n"/>
      <c r="L824" s="87" t="n"/>
      <c r="M824" s="105" t="n"/>
      <c r="N824" s="106" t="n"/>
    </row>
    <row r="825">
      <c r="J825" s="87" t="n"/>
      <c r="L825" s="87" t="n"/>
      <c r="M825" s="105" t="n"/>
      <c r="N825" s="106" t="n"/>
    </row>
    <row r="826">
      <c r="J826" s="87" t="n"/>
      <c r="L826" s="87" t="n"/>
      <c r="M826" s="105" t="n"/>
      <c r="N826" s="106" t="n"/>
    </row>
    <row r="827">
      <c r="J827" s="87" t="n"/>
      <c r="L827" s="87" t="n"/>
      <c r="M827" s="105" t="n"/>
      <c r="N827" s="106" t="n"/>
    </row>
    <row r="828">
      <c r="J828" s="87" t="n"/>
      <c r="L828" s="87" t="n"/>
      <c r="M828" s="105" t="n"/>
      <c r="N828" s="106" t="n"/>
    </row>
    <row r="829">
      <c r="J829" s="87" t="n"/>
      <c r="L829" s="87" t="n"/>
      <c r="M829" s="105" t="n"/>
      <c r="N829" s="106" t="n"/>
    </row>
    <row r="830">
      <c r="J830" s="87" t="n"/>
      <c r="L830" s="87" t="n"/>
      <c r="M830" s="105" t="n"/>
      <c r="N830" s="106" t="n"/>
    </row>
    <row r="831">
      <c r="J831" s="87" t="n"/>
      <c r="L831" s="87" t="n"/>
      <c r="M831" s="105" t="n"/>
      <c r="N831" s="106" t="n"/>
    </row>
    <row r="832">
      <c r="J832" s="87" t="n"/>
      <c r="L832" s="87" t="n"/>
      <c r="M832" s="105" t="n"/>
      <c r="N832" s="106" t="n"/>
    </row>
    <row r="833">
      <c r="J833" s="87" t="n"/>
      <c r="L833" s="87" t="n"/>
      <c r="M833" s="105" t="n"/>
      <c r="N833" s="106" t="n"/>
    </row>
    <row r="834">
      <c r="J834" s="87" t="n"/>
      <c r="L834" s="87" t="n"/>
      <c r="M834" s="105" t="n"/>
      <c r="N834" s="106" t="n"/>
    </row>
    <row r="835">
      <c r="J835" s="87" t="n"/>
      <c r="L835" s="87" t="n"/>
      <c r="M835" s="105" t="n"/>
      <c r="N835" s="106" t="n"/>
    </row>
    <row r="836">
      <c r="J836" s="87" t="n"/>
      <c r="L836" s="87" t="n"/>
      <c r="M836" s="105" t="n"/>
      <c r="N836" s="106" t="n"/>
    </row>
    <row r="837">
      <c r="J837" s="87" t="n"/>
      <c r="L837" s="87" t="n"/>
      <c r="M837" s="105" t="n"/>
      <c r="N837" s="106" t="n"/>
    </row>
    <row r="838">
      <c r="J838" s="87" t="n"/>
      <c r="L838" s="87" t="n"/>
      <c r="M838" s="105" t="n"/>
      <c r="N838" s="106" t="n"/>
    </row>
    <row r="839">
      <c r="J839" s="87" t="n"/>
      <c r="L839" s="87" t="n"/>
      <c r="M839" s="105" t="n"/>
      <c r="N839" s="106" t="n"/>
    </row>
    <row r="840">
      <c r="J840" s="87" t="n"/>
      <c r="L840" s="87" t="n"/>
      <c r="M840" s="105" t="n"/>
      <c r="N840" s="106" t="n"/>
    </row>
    <row r="841">
      <c r="J841" s="87" t="n"/>
      <c r="L841" s="87" t="n"/>
      <c r="M841" s="105" t="n"/>
      <c r="N841" s="106" t="n"/>
    </row>
    <row r="842">
      <c r="J842" s="87" t="n"/>
      <c r="L842" s="87" t="n"/>
      <c r="M842" s="105" t="n"/>
      <c r="N842" s="106" t="n"/>
    </row>
    <row r="843">
      <c r="J843" s="87" t="n"/>
      <c r="L843" s="87" t="n"/>
      <c r="M843" s="105" t="n"/>
      <c r="N843" s="106" t="n"/>
    </row>
    <row r="844">
      <c r="J844" s="87" t="n"/>
      <c r="L844" s="87" t="n"/>
      <c r="M844" s="105" t="n"/>
      <c r="N844" s="106" t="n"/>
    </row>
    <row r="845">
      <c r="J845" s="87" t="n"/>
      <c r="L845" s="87" t="n"/>
      <c r="M845" s="105" t="n"/>
      <c r="N845" s="106" t="n"/>
    </row>
    <row r="846">
      <c r="J846" s="87" t="n"/>
      <c r="L846" s="87" t="n"/>
      <c r="M846" s="105" t="n"/>
      <c r="N846" s="106" t="n"/>
    </row>
    <row r="847">
      <c r="J847" s="87" t="n"/>
      <c r="L847" s="87" t="n"/>
      <c r="M847" s="105" t="n"/>
      <c r="N847" s="106" t="n"/>
    </row>
    <row r="848">
      <c r="J848" s="87" t="n"/>
      <c r="L848" s="87" t="n"/>
      <c r="M848" s="105" t="n"/>
      <c r="N848" s="106" t="n"/>
    </row>
    <row r="849">
      <c r="J849" s="87" t="n"/>
      <c r="L849" s="87" t="n"/>
      <c r="M849" s="105" t="n"/>
      <c r="N849" s="106" t="n"/>
    </row>
    <row r="850">
      <c r="J850" s="87" t="n"/>
      <c r="L850" s="87" t="n"/>
      <c r="M850" s="105" t="n"/>
      <c r="N850" s="106" t="n"/>
    </row>
    <row r="851">
      <c r="J851" s="87" t="n"/>
      <c r="L851" s="87" t="n"/>
      <c r="M851" s="105" t="n"/>
      <c r="N851" s="106" t="n"/>
    </row>
    <row r="852">
      <c r="J852" s="87" t="n"/>
      <c r="L852" s="87" t="n"/>
      <c r="M852" s="105" t="n"/>
      <c r="N852" s="106" t="n"/>
    </row>
    <row r="853">
      <c r="J853" s="87" t="n"/>
      <c r="L853" s="87" t="n"/>
      <c r="M853" s="105" t="n"/>
      <c r="N853" s="106" t="n"/>
    </row>
    <row r="854">
      <c r="J854" s="87" t="n"/>
      <c r="L854" s="87" t="n"/>
      <c r="M854" s="105" t="n"/>
      <c r="N854" s="106" t="n"/>
    </row>
    <row r="855">
      <c r="J855" s="87" t="n"/>
      <c r="L855" s="87" t="n"/>
      <c r="M855" s="105" t="n"/>
      <c r="N855" s="106" t="n"/>
    </row>
    <row r="856">
      <c r="J856" s="87" t="n"/>
      <c r="L856" s="87" t="n"/>
      <c r="M856" s="105" t="n"/>
      <c r="N856" s="106" t="n"/>
    </row>
    <row r="857">
      <c r="J857" s="87" t="n"/>
      <c r="L857" s="87" t="n"/>
      <c r="M857" s="105" t="n"/>
      <c r="N857" s="106" t="n"/>
    </row>
    <row r="858">
      <c r="J858" s="87" t="n"/>
      <c r="L858" s="87" t="n"/>
      <c r="M858" s="105" t="n"/>
      <c r="N858" s="106" t="n"/>
    </row>
    <row r="859">
      <c r="J859" s="87" t="n"/>
      <c r="L859" s="87" t="n"/>
      <c r="M859" s="105" t="n"/>
      <c r="N859" s="106" t="n"/>
    </row>
    <row r="860">
      <c r="J860" s="87" t="n"/>
      <c r="L860" s="87" t="n"/>
      <c r="M860" s="105" t="n"/>
      <c r="N860" s="106" t="n"/>
    </row>
    <row r="861">
      <c r="J861" s="87" t="n"/>
      <c r="L861" s="87" t="n"/>
      <c r="M861" s="105" t="n"/>
      <c r="N861" s="106" t="n"/>
    </row>
    <row r="862">
      <c r="J862" s="87" t="n"/>
      <c r="L862" s="87" t="n"/>
      <c r="M862" s="105" t="n"/>
      <c r="N862" s="106" t="n"/>
    </row>
    <row r="863">
      <c r="J863" s="87" t="n"/>
      <c r="L863" s="87" t="n"/>
      <c r="M863" s="105" t="n"/>
      <c r="N863" s="106" t="n"/>
    </row>
    <row r="864">
      <c r="J864" s="87" t="n"/>
      <c r="L864" s="87" t="n"/>
      <c r="M864" s="105" t="n"/>
      <c r="N864" s="106" t="n"/>
    </row>
    <row r="865">
      <c r="J865" s="87" t="n"/>
      <c r="L865" s="87" t="n"/>
      <c r="M865" s="105" t="n"/>
      <c r="N865" s="106" t="n"/>
    </row>
    <row r="866">
      <c r="J866" s="87" t="n"/>
      <c r="L866" s="87" t="n"/>
      <c r="M866" s="105" t="n"/>
      <c r="N866" s="106" t="n"/>
    </row>
    <row r="867">
      <c r="J867" s="87" t="n"/>
      <c r="L867" s="87" t="n"/>
      <c r="M867" s="105" t="n"/>
      <c r="N867" s="106" t="n"/>
    </row>
    <row r="868">
      <c r="J868" s="87" t="n"/>
      <c r="L868" s="87" t="n"/>
      <c r="M868" s="105" t="n"/>
      <c r="N868" s="106" t="n"/>
    </row>
    <row r="869">
      <c r="J869" s="87" t="n"/>
      <c r="L869" s="87" t="n"/>
      <c r="M869" s="105" t="n"/>
      <c r="N869" s="106" t="n"/>
    </row>
    <row r="870">
      <c r="J870" s="87" t="n"/>
      <c r="L870" s="87" t="n"/>
      <c r="M870" s="105" t="n"/>
      <c r="N870" s="106" t="n"/>
    </row>
    <row r="871">
      <c r="J871" s="87" t="n"/>
      <c r="L871" s="87" t="n"/>
      <c r="M871" s="105" t="n"/>
      <c r="N871" s="106" t="n"/>
    </row>
    <row r="872">
      <c r="J872" s="87" t="n"/>
      <c r="L872" s="87" t="n"/>
      <c r="M872" s="105" t="n"/>
      <c r="N872" s="106" t="n"/>
    </row>
    <row r="873">
      <c r="J873" s="87" t="n"/>
      <c r="L873" s="87" t="n"/>
      <c r="M873" s="105" t="n"/>
      <c r="N873" s="106" t="n"/>
    </row>
    <row r="874">
      <c r="J874" s="87" t="n"/>
      <c r="L874" s="87" t="n"/>
      <c r="M874" s="105" t="n"/>
      <c r="N874" s="106" t="n"/>
    </row>
    <row r="875">
      <c r="J875" s="87" t="n"/>
      <c r="L875" s="87" t="n"/>
      <c r="M875" s="105" t="n"/>
      <c r="N875" s="106" t="n"/>
    </row>
    <row r="876">
      <c r="J876" s="87" t="n"/>
      <c r="L876" s="87" t="n"/>
      <c r="M876" s="105" t="n"/>
      <c r="N876" s="106" t="n"/>
    </row>
    <row r="877">
      <c r="J877" s="87" t="n"/>
      <c r="L877" s="87" t="n"/>
      <c r="M877" s="105" t="n"/>
      <c r="N877" s="106" t="n"/>
    </row>
    <row r="878">
      <c r="J878" s="87" t="n"/>
      <c r="L878" s="87" t="n"/>
      <c r="M878" s="105" t="n"/>
      <c r="N878" s="106" t="n"/>
    </row>
    <row r="879">
      <c r="J879" s="87" t="n"/>
      <c r="L879" s="87" t="n"/>
      <c r="M879" s="105" t="n"/>
      <c r="N879" s="106" t="n"/>
    </row>
    <row r="880">
      <c r="J880" s="87" t="n"/>
      <c r="L880" s="87" t="n"/>
      <c r="M880" s="105" t="n"/>
      <c r="N880" s="106" t="n"/>
    </row>
    <row r="881">
      <c r="J881" s="87" t="n"/>
      <c r="L881" s="87" t="n"/>
      <c r="M881" s="105" t="n"/>
      <c r="N881" s="106" t="n"/>
    </row>
    <row r="882">
      <c r="J882" s="87" t="n"/>
      <c r="L882" s="87" t="n"/>
      <c r="M882" s="105" t="n"/>
      <c r="N882" s="106" t="n"/>
    </row>
    <row r="883">
      <c r="J883" s="87" t="n"/>
      <c r="L883" s="87" t="n"/>
      <c r="M883" s="105" t="n"/>
      <c r="N883" s="106" t="n"/>
    </row>
    <row r="884">
      <c r="J884" s="87" t="n"/>
      <c r="L884" s="87" t="n"/>
      <c r="M884" s="105" t="n"/>
      <c r="N884" s="106" t="n"/>
    </row>
    <row r="885">
      <c r="J885" s="87" t="n"/>
      <c r="L885" s="87" t="n"/>
      <c r="M885" s="105" t="n"/>
      <c r="N885" s="106" t="n"/>
    </row>
    <row r="886">
      <c r="J886" s="87" t="n"/>
      <c r="L886" s="87" t="n"/>
      <c r="M886" s="105" t="n"/>
      <c r="N886" s="106" t="n"/>
    </row>
    <row r="887">
      <c r="J887" s="87" t="n"/>
      <c r="L887" s="87" t="n"/>
      <c r="M887" s="105" t="n"/>
      <c r="N887" s="106" t="n"/>
    </row>
    <row r="888">
      <c r="J888" s="87" t="n"/>
      <c r="L888" s="87" t="n"/>
      <c r="M888" s="105" t="n"/>
      <c r="N888" s="106" t="n"/>
    </row>
    <row r="889">
      <c r="J889" s="87" t="n"/>
      <c r="L889" s="87" t="n"/>
      <c r="M889" s="105" t="n"/>
      <c r="N889" s="106" t="n"/>
    </row>
    <row r="890">
      <c r="J890" s="87" t="n"/>
      <c r="L890" s="87" t="n"/>
      <c r="M890" s="105" t="n"/>
      <c r="N890" s="106" t="n"/>
    </row>
    <row r="891">
      <c r="J891" s="87" t="n"/>
      <c r="L891" s="87" t="n"/>
      <c r="M891" s="105" t="n"/>
      <c r="N891" s="106" t="n"/>
    </row>
    <row r="892">
      <c r="J892" s="87" t="n"/>
      <c r="L892" s="87" t="n"/>
      <c r="M892" s="105" t="n"/>
      <c r="N892" s="106" t="n"/>
    </row>
    <row r="893">
      <c r="J893" s="87" t="n"/>
      <c r="L893" s="87" t="n"/>
      <c r="M893" s="105" t="n"/>
      <c r="N893" s="106" t="n"/>
    </row>
    <row r="894">
      <c r="J894" s="87" t="n"/>
      <c r="L894" s="87" t="n"/>
      <c r="M894" s="105" t="n"/>
      <c r="N894" s="106" t="n"/>
    </row>
    <row r="895">
      <c r="J895" s="87" t="n"/>
      <c r="L895" s="87" t="n"/>
      <c r="M895" s="105" t="n"/>
      <c r="N895" s="106" t="n"/>
    </row>
    <row r="896">
      <c r="J896" s="87" t="n"/>
      <c r="L896" s="87" t="n"/>
      <c r="M896" s="105" t="n"/>
      <c r="N896" s="106" t="n"/>
    </row>
    <row r="897">
      <c r="J897" s="87" t="n"/>
      <c r="L897" s="87" t="n"/>
      <c r="M897" s="105" t="n"/>
      <c r="N897" s="106" t="n"/>
    </row>
    <row r="898">
      <c r="J898" s="87" t="n"/>
      <c r="L898" s="87" t="n"/>
      <c r="M898" s="105" t="n"/>
      <c r="N898" s="106" t="n"/>
    </row>
    <row r="899">
      <c r="J899" s="87" t="n"/>
      <c r="L899" s="87" t="n"/>
      <c r="M899" s="105" t="n"/>
      <c r="N899" s="106" t="n"/>
    </row>
    <row r="900">
      <c r="J900" s="87" t="n"/>
      <c r="L900" s="87" t="n"/>
      <c r="M900" s="105" t="n"/>
      <c r="N900" s="106" t="n"/>
    </row>
    <row r="901">
      <c r="J901" s="87" t="n"/>
      <c r="L901" s="87" t="n"/>
      <c r="M901" s="105" t="n"/>
      <c r="N901" s="106" t="n"/>
    </row>
    <row r="902">
      <c r="J902" s="87" t="n"/>
      <c r="L902" s="87" t="n"/>
      <c r="M902" s="105" t="n"/>
      <c r="N902" s="106" t="n"/>
    </row>
    <row r="903">
      <c r="J903" s="87" t="n"/>
      <c r="L903" s="87" t="n"/>
      <c r="M903" s="105" t="n"/>
      <c r="N903" s="106" t="n"/>
    </row>
    <row r="904">
      <c r="J904" s="87" t="n"/>
      <c r="L904" s="87" t="n"/>
      <c r="M904" s="105" t="n"/>
      <c r="N904" s="106" t="n"/>
    </row>
    <row r="905">
      <c r="J905" s="87" t="n"/>
      <c r="L905" s="87" t="n"/>
      <c r="M905" s="105" t="n"/>
      <c r="N905" s="106" t="n"/>
    </row>
    <row r="906">
      <c r="J906" s="87" t="n"/>
      <c r="L906" s="87" t="n"/>
      <c r="M906" s="105" t="n"/>
      <c r="N906" s="106" t="n"/>
    </row>
    <row r="907">
      <c r="J907" s="87" t="n"/>
      <c r="L907" s="87" t="n"/>
      <c r="M907" s="105" t="n"/>
      <c r="N907" s="106" t="n"/>
    </row>
    <row r="908">
      <c r="J908" s="87" t="n"/>
      <c r="L908" s="87" t="n"/>
      <c r="M908" s="105" t="n"/>
      <c r="N908" s="106" t="n"/>
    </row>
    <row r="909">
      <c r="J909" s="87" t="n"/>
      <c r="L909" s="87" t="n"/>
      <c r="M909" s="105" t="n"/>
      <c r="N909" s="106" t="n"/>
    </row>
    <row r="910">
      <c r="J910" s="87" t="n"/>
      <c r="L910" s="87" t="n"/>
      <c r="M910" s="105" t="n"/>
      <c r="N910" s="106" t="n"/>
    </row>
    <row r="911">
      <c r="J911" s="87" t="n"/>
      <c r="L911" s="87" t="n"/>
      <c r="M911" s="105" t="n"/>
      <c r="N911" s="106" t="n"/>
    </row>
    <row r="912">
      <c r="J912" s="87" t="n"/>
      <c r="L912" s="87" t="n"/>
      <c r="M912" s="105" t="n"/>
      <c r="N912" s="106" t="n"/>
    </row>
    <row r="913">
      <c r="J913" s="87" t="n"/>
      <c r="L913" s="87" t="n"/>
      <c r="M913" s="105" t="n"/>
      <c r="N913" s="106" t="n"/>
    </row>
    <row r="914">
      <c r="J914" s="87" t="n"/>
      <c r="L914" s="87" t="n"/>
      <c r="M914" s="105" t="n"/>
      <c r="N914" s="106" t="n"/>
    </row>
    <row r="915">
      <c r="J915" s="87" t="n"/>
      <c r="L915" s="87" t="n"/>
      <c r="M915" s="105" t="n"/>
      <c r="N915" s="106" t="n"/>
    </row>
    <row r="916">
      <c r="J916" s="87" t="n"/>
      <c r="L916" s="87" t="n"/>
      <c r="M916" s="105" t="n"/>
      <c r="N916" s="106" t="n"/>
    </row>
    <row r="917">
      <c r="J917" s="87" t="n"/>
      <c r="L917" s="87" t="n"/>
      <c r="M917" s="105" t="n"/>
      <c r="N917" s="106" t="n"/>
    </row>
    <row r="918">
      <c r="J918" s="87" t="n"/>
      <c r="L918" s="87" t="n"/>
      <c r="M918" s="105" t="n"/>
      <c r="N918" s="106" t="n"/>
    </row>
    <row r="919">
      <c r="J919" s="87" t="n"/>
      <c r="L919" s="87" t="n"/>
      <c r="M919" s="105" t="n"/>
      <c r="N919" s="106" t="n"/>
    </row>
    <row r="920">
      <c r="J920" s="87" t="n"/>
      <c r="L920" s="87" t="n"/>
      <c r="M920" s="105" t="n"/>
      <c r="N920" s="106" t="n"/>
    </row>
    <row r="921">
      <c r="J921" s="87" t="n"/>
      <c r="L921" s="87" t="n"/>
      <c r="M921" s="105" t="n"/>
      <c r="N921" s="106" t="n"/>
    </row>
    <row r="922">
      <c r="J922" s="87" t="n"/>
      <c r="L922" s="87" t="n"/>
      <c r="M922" s="105" t="n"/>
      <c r="N922" s="106" t="n"/>
    </row>
    <row r="923">
      <c r="J923" s="87" t="n"/>
      <c r="L923" s="87" t="n"/>
      <c r="M923" s="105" t="n"/>
      <c r="N923" s="106" t="n"/>
    </row>
    <row r="924">
      <c r="J924" s="87" t="n"/>
      <c r="L924" s="87" t="n"/>
      <c r="M924" s="105" t="n"/>
      <c r="N924" s="106" t="n"/>
    </row>
    <row r="925">
      <c r="J925" s="87" t="n"/>
      <c r="L925" s="87" t="n"/>
      <c r="M925" s="105" t="n"/>
      <c r="N925" s="106" t="n"/>
    </row>
    <row r="926">
      <c r="J926" s="87" t="n"/>
      <c r="L926" s="87" t="n"/>
      <c r="M926" s="105" t="n"/>
      <c r="N926" s="106" t="n"/>
    </row>
    <row r="927">
      <c r="J927" s="87" t="n"/>
      <c r="L927" s="87" t="n"/>
      <c r="M927" s="105" t="n"/>
      <c r="N927" s="106" t="n"/>
    </row>
    <row r="928">
      <c r="J928" s="87" t="n"/>
      <c r="L928" s="87" t="n"/>
      <c r="M928" s="105" t="n"/>
      <c r="N928" s="106" t="n"/>
    </row>
    <row r="929">
      <c r="J929" s="87" t="n"/>
      <c r="L929" s="87" t="n"/>
      <c r="M929" s="105" t="n"/>
      <c r="N929" s="106" t="n"/>
    </row>
    <row r="930">
      <c r="J930" s="87" t="n"/>
      <c r="L930" s="87" t="n"/>
      <c r="M930" s="105" t="n"/>
      <c r="N930" s="106" t="n"/>
    </row>
    <row r="931">
      <c r="J931" s="87" t="n"/>
      <c r="L931" s="87" t="n"/>
      <c r="M931" s="105" t="n"/>
      <c r="N931" s="106" t="n"/>
    </row>
    <row r="932">
      <c r="J932" s="87" t="n"/>
      <c r="L932" s="87" t="n"/>
      <c r="M932" s="105" t="n"/>
      <c r="N932" s="106" t="n"/>
    </row>
    <row r="933">
      <c r="J933" s="87" t="n"/>
      <c r="L933" s="87" t="n"/>
      <c r="M933" s="105" t="n"/>
      <c r="N933" s="106" t="n"/>
    </row>
    <row r="934">
      <c r="J934" s="87" t="n"/>
      <c r="L934" s="87" t="n"/>
      <c r="M934" s="105" t="n"/>
      <c r="N934" s="106" t="n"/>
    </row>
    <row r="935">
      <c r="J935" s="87" t="n"/>
      <c r="L935" s="87" t="n"/>
      <c r="M935" s="105" t="n"/>
      <c r="N935" s="106" t="n"/>
    </row>
    <row r="936">
      <c r="J936" s="87" t="n"/>
      <c r="L936" s="87" t="n"/>
      <c r="M936" s="105" t="n"/>
      <c r="N936" s="106" t="n"/>
    </row>
    <row r="937">
      <c r="J937" s="87" t="n"/>
      <c r="L937" s="87" t="n"/>
      <c r="M937" s="105" t="n"/>
      <c r="N937" s="106" t="n"/>
    </row>
    <row r="938">
      <c r="J938" s="87" t="n"/>
      <c r="L938" s="87" t="n"/>
      <c r="M938" s="105" t="n"/>
      <c r="N938" s="106" t="n"/>
    </row>
    <row r="939">
      <c r="J939" s="87" t="n"/>
      <c r="L939" s="87" t="n"/>
      <c r="M939" s="105" t="n"/>
      <c r="N939" s="106" t="n"/>
    </row>
    <row r="940">
      <c r="J940" s="87" t="n"/>
      <c r="L940" s="87" t="n"/>
      <c r="M940" s="105" t="n"/>
      <c r="N940" s="106" t="n"/>
    </row>
    <row r="941">
      <c r="J941" s="87" t="n"/>
      <c r="L941" s="87" t="n"/>
      <c r="M941" s="105" t="n"/>
      <c r="N941" s="106" t="n"/>
    </row>
    <row r="942">
      <c r="J942" s="87" t="n"/>
      <c r="L942" s="87" t="n"/>
      <c r="M942" s="105" t="n"/>
      <c r="N942" s="106" t="n"/>
    </row>
    <row r="943">
      <c r="J943" s="87" t="n"/>
      <c r="L943" s="87" t="n"/>
      <c r="M943" s="105" t="n"/>
      <c r="N943" s="106" t="n"/>
    </row>
    <row r="944">
      <c r="J944" s="87" t="n"/>
      <c r="L944" s="87" t="n"/>
      <c r="M944" s="105" t="n"/>
      <c r="N944" s="106" t="n"/>
    </row>
    <row r="945">
      <c r="J945" s="87" t="n"/>
      <c r="L945" s="87" t="n"/>
      <c r="M945" s="105" t="n"/>
      <c r="N945" s="106" t="n"/>
    </row>
    <row r="946">
      <c r="J946" s="87" t="n"/>
      <c r="L946" s="87" t="n"/>
      <c r="M946" s="105" t="n"/>
      <c r="N946" s="106" t="n"/>
    </row>
    <row r="947">
      <c r="J947" s="87" t="n"/>
      <c r="L947" s="87" t="n"/>
      <c r="M947" s="105" t="n"/>
      <c r="N947" s="106" t="n"/>
    </row>
    <row r="948">
      <c r="J948" s="87" t="n"/>
      <c r="L948" s="87" t="n"/>
      <c r="M948" s="105" t="n"/>
      <c r="N948" s="106" t="n"/>
    </row>
    <row r="949">
      <c r="J949" s="87" t="n"/>
      <c r="L949" s="87" t="n"/>
      <c r="M949" s="105" t="n"/>
      <c r="N949" s="106" t="n"/>
    </row>
    <row r="950">
      <c r="J950" s="87" t="n"/>
      <c r="L950" s="87" t="n"/>
      <c r="M950" s="105" t="n"/>
      <c r="N950" s="106" t="n"/>
    </row>
    <row r="951">
      <c r="J951" s="87" t="n"/>
      <c r="L951" s="87" t="n"/>
      <c r="M951" s="105" t="n"/>
      <c r="N951" s="106" t="n"/>
    </row>
    <row r="952">
      <c r="J952" s="87" t="n"/>
      <c r="L952" s="87" t="n"/>
      <c r="M952" s="105" t="n"/>
      <c r="N952" s="106" t="n"/>
    </row>
    <row r="953">
      <c r="J953" s="87" t="n"/>
      <c r="L953" s="87" t="n"/>
      <c r="M953" s="105" t="n"/>
      <c r="N953" s="106" t="n"/>
    </row>
    <row r="954">
      <c r="J954" s="87" t="n"/>
      <c r="L954" s="87" t="n"/>
      <c r="M954" s="105" t="n"/>
      <c r="N954" s="106" t="n"/>
    </row>
    <row r="955">
      <c r="J955" s="87" t="n"/>
      <c r="L955" s="87" t="n"/>
      <c r="M955" s="105" t="n"/>
      <c r="N955" s="106" t="n"/>
    </row>
    <row r="956">
      <c r="J956" s="87" t="n"/>
      <c r="L956" s="87" t="n"/>
      <c r="M956" s="105" t="n"/>
      <c r="N956" s="106" t="n"/>
    </row>
    <row r="957">
      <c r="J957" s="87" t="n"/>
      <c r="L957" s="87" t="n"/>
      <c r="M957" s="105" t="n"/>
      <c r="N957" s="106" t="n"/>
    </row>
    <row r="958">
      <c r="J958" s="87" t="n"/>
      <c r="L958" s="87" t="n"/>
      <c r="M958" s="105" t="n"/>
      <c r="N958" s="106" t="n"/>
    </row>
    <row r="959">
      <c r="J959" s="87" t="n"/>
      <c r="L959" s="87" t="n"/>
      <c r="M959" s="105" t="n"/>
      <c r="N959" s="106" t="n"/>
    </row>
    <row r="960">
      <c r="J960" s="87" t="n"/>
      <c r="L960" s="87" t="n"/>
      <c r="M960" s="105" t="n"/>
      <c r="N960" s="106" t="n"/>
    </row>
    <row r="961">
      <c r="J961" s="87" t="n"/>
      <c r="L961" s="87" t="n"/>
      <c r="M961" s="105" t="n"/>
      <c r="N961" s="106" t="n"/>
    </row>
    <row r="962">
      <c r="J962" s="87" t="n"/>
      <c r="L962" s="87" t="n"/>
      <c r="M962" s="105" t="n"/>
      <c r="N962" s="106" t="n"/>
    </row>
    <row r="963">
      <c r="J963" s="87" t="n"/>
      <c r="L963" s="87" t="n"/>
      <c r="M963" s="105" t="n"/>
      <c r="N963" s="106" t="n"/>
    </row>
    <row r="964">
      <c r="J964" s="87" t="n"/>
      <c r="L964" s="87" t="n"/>
      <c r="M964" s="105" t="n"/>
      <c r="N964" s="106" t="n"/>
    </row>
    <row r="965">
      <c r="J965" s="87" t="n"/>
      <c r="L965" s="87" t="n"/>
      <c r="M965" s="105" t="n"/>
      <c r="N965" s="106" t="n"/>
    </row>
    <row r="966">
      <c r="J966" s="87" t="n"/>
      <c r="L966" s="87" t="n"/>
      <c r="M966" s="105" t="n"/>
      <c r="N966" s="106" t="n"/>
    </row>
    <row r="967">
      <c r="J967" s="87" t="n"/>
      <c r="L967" s="87" t="n"/>
      <c r="M967" s="105" t="n"/>
      <c r="N967" s="106" t="n"/>
    </row>
    <row r="968">
      <c r="J968" s="87" t="n"/>
      <c r="L968" s="87" t="n"/>
      <c r="M968" s="105" t="n"/>
      <c r="N968" s="106" t="n"/>
    </row>
    <row r="969">
      <c r="J969" s="87" t="n"/>
      <c r="L969" s="87" t="n"/>
      <c r="M969" s="105" t="n"/>
      <c r="N969" s="106" t="n"/>
    </row>
    <row r="970">
      <c r="J970" s="87" t="n"/>
      <c r="L970" s="87" t="n"/>
      <c r="M970" s="105" t="n"/>
      <c r="N970" s="106" t="n"/>
    </row>
    <row r="971">
      <c r="J971" s="87" t="n"/>
      <c r="L971" s="87" t="n"/>
      <c r="M971" s="105" t="n"/>
      <c r="N971" s="106" t="n"/>
    </row>
    <row r="972">
      <c r="J972" s="87" t="n"/>
      <c r="L972" s="87" t="n"/>
      <c r="M972" s="105" t="n"/>
      <c r="N972" s="106" t="n"/>
    </row>
    <row r="973">
      <c r="J973" s="87" t="n"/>
      <c r="L973" s="87" t="n"/>
      <c r="M973" s="105" t="n"/>
      <c r="N973" s="106" t="n"/>
    </row>
    <row r="974">
      <c r="J974" s="87" t="n"/>
      <c r="L974" s="87" t="n"/>
      <c r="M974" s="105" t="n"/>
      <c r="N974" s="106" t="n"/>
    </row>
    <row r="975">
      <c r="J975" s="87" t="n"/>
      <c r="L975" s="87" t="n"/>
      <c r="M975" s="105" t="n"/>
      <c r="N975" s="106" t="n"/>
    </row>
    <row r="976">
      <c r="J976" s="87" t="n"/>
      <c r="L976" s="87" t="n"/>
      <c r="M976" s="105" t="n"/>
      <c r="N976" s="106" t="n"/>
    </row>
    <row r="977">
      <c r="J977" s="87" t="n"/>
      <c r="L977" s="87" t="n"/>
      <c r="M977" s="105" t="n"/>
      <c r="N977" s="106" t="n"/>
    </row>
    <row r="978">
      <c r="J978" s="87" t="n"/>
      <c r="L978" s="87" t="n"/>
      <c r="M978" s="105" t="n"/>
      <c r="N978" s="106" t="n"/>
    </row>
    <row r="979">
      <c r="J979" s="87" t="n"/>
      <c r="L979" s="87" t="n"/>
      <c r="M979" s="105" t="n"/>
      <c r="N979" s="106" t="n"/>
    </row>
    <row r="980">
      <c r="J980" s="87" t="n"/>
      <c r="L980" s="87" t="n"/>
      <c r="M980" s="105" t="n"/>
      <c r="N980" s="106" t="n"/>
    </row>
    <row r="981">
      <c r="J981" s="87" t="n"/>
      <c r="L981" s="87" t="n"/>
      <c r="M981" s="105" t="n"/>
      <c r="N981" s="106" t="n"/>
    </row>
    <row r="982">
      <c r="J982" s="87" t="n"/>
      <c r="L982" s="87" t="n"/>
      <c r="M982" s="105" t="n"/>
      <c r="N982" s="106" t="n"/>
    </row>
    <row r="983">
      <c r="J983" s="87" t="n"/>
      <c r="L983" s="87" t="n"/>
      <c r="M983" s="105" t="n"/>
      <c r="N983" s="106" t="n"/>
    </row>
    <row r="984">
      <c r="J984" s="87" t="n"/>
      <c r="L984" s="87" t="n"/>
      <c r="M984" s="105" t="n"/>
      <c r="N984" s="106" t="n"/>
    </row>
    <row r="985">
      <c r="J985" s="87" t="n"/>
      <c r="L985" s="87" t="n"/>
      <c r="M985" s="105" t="n"/>
      <c r="N985" s="106" t="n"/>
    </row>
    <row r="986">
      <c r="J986" s="87" t="n"/>
      <c r="L986" s="87" t="n"/>
      <c r="M986" s="105" t="n"/>
      <c r="N986" s="106" t="n"/>
    </row>
    <row r="987">
      <c r="J987" s="87" t="n"/>
      <c r="L987" s="87" t="n"/>
      <c r="M987" s="105" t="n"/>
      <c r="N987" s="106" t="n"/>
    </row>
    <row r="988">
      <c r="J988" s="87" t="n"/>
      <c r="L988" s="87" t="n"/>
      <c r="M988" s="105" t="n"/>
      <c r="N988" s="106" t="n"/>
    </row>
    <row r="989">
      <c r="J989" s="87" t="n"/>
      <c r="L989" s="87" t="n"/>
      <c r="M989" s="105" t="n"/>
      <c r="N989" s="106" t="n"/>
    </row>
    <row r="990">
      <c r="J990" s="87" t="n"/>
      <c r="L990" s="87" t="n"/>
      <c r="M990" s="105" t="n"/>
      <c r="N990" s="106" t="n"/>
    </row>
    <row r="991">
      <c r="J991" s="87" t="n"/>
      <c r="L991" s="87" t="n"/>
      <c r="M991" s="105" t="n"/>
      <c r="N991" s="106" t="n"/>
    </row>
    <row r="992">
      <c r="J992" s="87" t="n"/>
      <c r="L992" s="87" t="n"/>
      <c r="M992" s="105" t="n"/>
      <c r="N992" s="106" t="n"/>
    </row>
    <row r="993">
      <c r="J993" s="87" t="n"/>
      <c r="L993" s="87" t="n"/>
      <c r="M993" s="105" t="n"/>
      <c r="N993" s="106" t="n"/>
    </row>
    <row r="994">
      <c r="J994" s="87" t="n"/>
      <c r="L994" s="87" t="n"/>
      <c r="M994" s="105" t="n"/>
      <c r="N994" s="106" t="n"/>
    </row>
    <row r="995">
      <c r="J995" s="87" t="n"/>
      <c r="L995" s="87" t="n"/>
      <c r="M995" s="105" t="n"/>
      <c r="N995" s="106" t="n"/>
    </row>
    <row r="996">
      <c r="J996" s="87" t="n"/>
      <c r="L996" s="87" t="n"/>
      <c r="M996" s="105" t="n"/>
      <c r="N996" s="106" t="n"/>
    </row>
    <row r="997">
      <c r="J997" s="87" t="n"/>
      <c r="L997" s="87" t="n"/>
      <c r="M997" s="105" t="n"/>
      <c r="N997" s="106" t="n"/>
    </row>
    <row r="998">
      <c r="J998" s="87" t="n"/>
      <c r="L998" s="87" t="n"/>
      <c r="M998" s="105" t="n"/>
      <c r="N998" s="106" t="n"/>
    </row>
  </sheetData>
  <mergeCells count="72">
    <mergeCell ref="B91:C91"/>
    <mergeCell ref="A24:B24"/>
    <mergeCell ref="B16:C16"/>
    <mergeCell ref="B100:C100"/>
    <mergeCell ref="B54:C54"/>
    <mergeCell ref="B7:C7"/>
    <mergeCell ref="B72:C72"/>
    <mergeCell ref="B90:C90"/>
    <mergeCell ref="B81:C81"/>
    <mergeCell ref="B22:C22"/>
    <mergeCell ref="B93:C93"/>
    <mergeCell ref="B27:C27"/>
    <mergeCell ref="B102:C102"/>
    <mergeCell ref="B18:C18"/>
    <mergeCell ref="B43:C43"/>
    <mergeCell ref="B39:C39"/>
    <mergeCell ref="B79:C79"/>
    <mergeCell ref="B52:C52"/>
    <mergeCell ref="B21:C21"/>
    <mergeCell ref="B48:C48"/>
    <mergeCell ref="A108:B108"/>
    <mergeCell ref="B98:C98"/>
    <mergeCell ref="M109:N109"/>
    <mergeCell ref="B42:C42"/>
    <mergeCell ref="B61:C61"/>
    <mergeCell ref="A46:B46"/>
    <mergeCell ref="B101:C101"/>
    <mergeCell ref="M108:N108"/>
    <mergeCell ref="A109:C109"/>
    <mergeCell ref="B17:C17"/>
    <mergeCell ref="B88:C88"/>
    <mergeCell ref="B8:C8"/>
    <mergeCell ref="B53:C53"/>
    <mergeCell ref="B69:C69"/>
    <mergeCell ref="B87:C87"/>
    <mergeCell ref="B44:C44"/>
    <mergeCell ref="B38:C38"/>
    <mergeCell ref="B78:C78"/>
    <mergeCell ref="A86:B86"/>
    <mergeCell ref="B29:C29"/>
    <mergeCell ref="A76:B76"/>
    <mergeCell ref="B103:C103"/>
    <mergeCell ref="B19:C19"/>
    <mergeCell ref="B34:C34"/>
    <mergeCell ref="M86:N86"/>
    <mergeCell ref="B28:C28"/>
    <mergeCell ref="M46:N46"/>
    <mergeCell ref="B99:C99"/>
    <mergeCell ref="B37:C37"/>
    <mergeCell ref="B40:C40"/>
    <mergeCell ref="B49:C49"/>
    <mergeCell ref="A97:B97"/>
    <mergeCell ref="M97:N97"/>
    <mergeCell ref="B55:C55"/>
    <mergeCell ref="B92:C92"/>
    <mergeCell ref="B68:C68"/>
    <mergeCell ref="M24:N24"/>
    <mergeCell ref="M76:N76"/>
    <mergeCell ref="B15:C15"/>
    <mergeCell ref="B30:C30"/>
    <mergeCell ref="A1:C1"/>
    <mergeCell ref="B104:C104"/>
    <mergeCell ref="B80:C80"/>
    <mergeCell ref="B51:C51"/>
    <mergeCell ref="B95:C95"/>
    <mergeCell ref="B89:C89"/>
    <mergeCell ref="B36:C36"/>
    <mergeCell ref="B94:C94"/>
    <mergeCell ref="B50:C50"/>
    <mergeCell ref="B26:C26"/>
    <mergeCell ref="B41:C41"/>
    <mergeCell ref="B35:C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O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42.63" customWidth="1" style="270" min="2" max="2"/>
    <col width="15.63" customWidth="1" style="270" min="3" max="3"/>
    <col width="15.88" customWidth="1" style="270" min="4" max="4"/>
    <col width="15" customWidth="1" style="270" min="7" max="7"/>
    <col width="21" customWidth="1" style="270" min="10" max="10"/>
    <col width="20.63" customWidth="1" style="270" min="12" max="12"/>
  </cols>
  <sheetData>
    <row r="1">
      <c r="A1" s="111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215" t="n"/>
      <c r="J1" s="87" t="n"/>
      <c r="L1" s="87" t="n"/>
      <c r="M1" s="105" t="n"/>
      <c r="N1" s="106" t="n"/>
    </row>
    <row r="2">
      <c r="A2" s="186" t="inlineStr">
        <is>
          <t>VIGENCIA:</t>
        </is>
      </c>
      <c r="B2" s="108" t="n">
        <v>45114</v>
      </c>
      <c r="C2" s="223" t="n"/>
      <c r="D2" s="110" t="n"/>
      <c r="E2" s="111" t="n"/>
      <c r="F2" s="111" t="n"/>
      <c r="G2" s="111" t="n"/>
      <c r="H2" s="111" t="n"/>
      <c r="I2" s="215" t="n"/>
      <c r="J2" s="87" t="n"/>
      <c r="L2" s="87" t="n"/>
      <c r="M2" s="105" t="n"/>
      <c r="N2" s="106" t="n"/>
    </row>
    <row r="3">
      <c r="J3" s="87" t="n"/>
      <c r="L3" s="87" t="n"/>
      <c r="M3" s="105" t="n"/>
      <c r="N3" s="106" t="n"/>
    </row>
    <row r="4">
      <c r="B4" s="223" t="n"/>
      <c r="C4" s="223" t="n"/>
      <c r="D4" s="118" t="inlineStr">
        <is>
          <t>Lista 20 con -7 y -2</t>
        </is>
      </c>
      <c r="E4" s="188" t="inlineStr">
        <is>
          <t xml:space="preserve">Mayorista </t>
        </is>
      </c>
      <c r="F4" s="188" t="inlineStr">
        <is>
          <t xml:space="preserve">Minorista </t>
        </is>
      </c>
      <c r="G4" s="188" t="inlineStr">
        <is>
          <t>Minorista con IVA</t>
        </is>
      </c>
      <c r="H4" s="188" t="inlineStr">
        <is>
          <t>Redondeado</t>
        </is>
      </c>
      <c r="J4" s="87" t="inlineStr">
        <is>
          <t>Antes del 7 + 2% ANTERIOR</t>
        </is>
      </c>
      <c r="L4" s="87" t="inlineStr">
        <is>
          <t>Antes del 7 + 2% ACTUAL</t>
        </is>
      </c>
      <c r="M4" s="119" t="n"/>
      <c r="N4" s="120" t="inlineStr">
        <is>
          <t>% Aumento</t>
        </is>
      </c>
      <c r="O4" s="118" t="n"/>
    </row>
    <row r="5">
      <c r="A5" s="117" t="inlineStr">
        <is>
          <t>JABONES</t>
        </is>
      </c>
      <c r="B5" s="223" t="n"/>
      <c r="C5" s="223" t="n"/>
      <c r="D5" s="118" t="n"/>
      <c r="J5" s="87" t="n"/>
      <c r="L5" s="87" t="n"/>
      <c r="M5" s="119" t="n"/>
      <c r="N5" s="120" t="n"/>
      <c r="O5" s="118" t="n"/>
    </row>
    <row r="6">
      <c r="A6" s="124" t="n"/>
      <c r="B6" s="223" t="n"/>
      <c r="C6" s="223" t="n"/>
      <c r="D6" s="237" t="n"/>
      <c r="J6" s="87" t="n"/>
      <c r="L6" s="87" t="n"/>
      <c r="M6" s="128" t="n"/>
      <c r="N6" s="120" t="n"/>
      <c r="O6" s="237" t="n"/>
    </row>
    <row r="7">
      <c r="A7" s="124" t="n">
        <v>701</v>
      </c>
      <c r="B7" s="223" t="inlineStr">
        <is>
          <t>Botella 1 lt. Servicio Dilución DMQ</t>
        </is>
      </c>
      <c r="D7" s="237">
        <f>L7*0.93*0.98</f>
        <v/>
      </c>
      <c r="E7" s="87">
        <f>D7*1.3*1.105</f>
        <v/>
      </c>
      <c r="F7" s="87">
        <f>D7*1.3*1.105/0.9</f>
        <v/>
      </c>
      <c r="G7" s="87">
        <f>F7*1.21</f>
        <v/>
      </c>
      <c r="H7" s="87">
        <f>ROUND(G7/100,0)*100</f>
        <v/>
      </c>
      <c r="J7" s="87" t="n">
        <v>1289.22087</v>
      </c>
      <c r="L7" s="127" t="n">
        <v>1556</v>
      </c>
      <c r="M7" s="128" t="n"/>
      <c r="N7" s="120">
        <f>(L7/J7)-1</f>
        <v/>
      </c>
      <c r="O7" s="237" t="n"/>
    </row>
    <row r="8">
      <c r="A8" s="124" t="n">
        <v>720</v>
      </c>
      <c r="B8" s="223" t="inlineStr">
        <is>
          <t>Bidon x 5 lts. Jabón Líquido Tocador</t>
        </is>
      </c>
      <c r="D8" s="237">
        <f>L8*0.93*0.98</f>
        <v/>
      </c>
      <c r="E8" s="87">
        <f>D8*1.3*1.105</f>
        <v/>
      </c>
      <c r="F8" s="87">
        <f>D8*1.3*1.105/0.9</f>
        <v/>
      </c>
      <c r="G8" s="87">
        <f>F8*1.21</f>
        <v/>
      </c>
      <c r="H8" s="87">
        <f>ROUND(G8/100,0)*100</f>
        <v/>
      </c>
      <c r="J8" s="87" t="n">
        <v>4043.161794</v>
      </c>
      <c r="L8" s="230" t="n">
        <v>4879.83</v>
      </c>
      <c r="M8" s="128" t="n"/>
      <c r="N8" s="120">
        <f>(L8/J8)-1</f>
        <v/>
      </c>
      <c r="O8" s="237" t="n"/>
    </row>
    <row r="9">
      <c r="A9" s="124" t="n"/>
      <c r="B9" s="223" t="n"/>
      <c r="C9" s="223" t="n"/>
      <c r="D9" s="237" t="n"/>
      <c r="J9" s="87" t="n"/>
      <c r="L9" s="215" t="n"/>
      <c r="M9" s="128" t="n"/>
      <c r="N9" s="120" t="n"/>
      <c r="O9" s="237" t="n"/>
    </row>
    <row r="10">
      <c r="A10" s="117" t="inlineStr">
        <is>
          <t>TOALLAS</t>
        </is>
      </c>
      <c r="B10" s="223" t="n"/>
      <c r="C10" s="223" t="n"/>
      <c r="D10" s="237" t="n"/>
      <c r="J10" s="87" t="n"/>
      <c r="L10" s="215" t="n"/>
      <c r="M10" s="119" t="n"/>
      <c r="N10" s="120" t="n"/>
      <c r="O10" s="237" t="n"/>
    </row>
    <row r="11">
      <c r="A11" s="131" t="n"/>
      <c r="B11" s="223" t="n"/>
      <c r="C11" s="223" t="n"/>
      <c r="D11" s="237" t="n"/>
      <c r="J11" s="87" t="n"/>
      <c r="L11" s="215" t="n"/>
      <c r="M11" s="119" t="n"/>
      <c r="N11" s="120" t="n"/>
      <c r="O11" s="237" t="n"/>
    </row>
    <row r="12">
      <c r="A12" s="124" t="n">
        <v>901</v>
      </c>
      <c r="B12" s="223" t="inlineStr">
        <is>
          <t>Toallas Blancas Super 21x25</t>
        </is>
      </c>
      <c r="C12" s="223" t="n"/>
      <c r="D12" s="237">
        <f>L12*0.93*0.98</f>
        <v/>
      </c>
      <c r="E12" s="87">
        <f>D12*1.3*1.105</f>
        <v/>
      </c>
      <c r="F12" s="87">
        <f>D12*1.3*1.105/0.9</f>
        <v/>
      </c>
      <c r="G12" s="87">
        <f>F12*1.21</f>
        <v/>
      </c>
      <c r="H12" s="87">
        <f>ROUND(G12/100,0)*100</f>
        <v/>
      </c>
      <c r="J12" s="87" t="n">
        <v>4798.119984000001</v>
      </c>
      <c r="L12" s="127" t="n">
        <v>5791.02</v>
      </c>
      <c r="M12" s="128" t="n"/>
      <c r="N12" s="120">
        <f>(L12/J12)-1</f>
        <v/>
      </c>
      <c r="O12" s="237" t="n"/>
    </row>
    <row r="13">
      <c r="A13" s="124" t="n">
        <v>902</v>
      </c>
      <c r="B13" s="223" t="inlineStr">
        <is>
          <t>Toallas Blancas Pura Simple</t>
        </is>
      </c>
      <c r="C13" s="223" t="n"/>
      <c r="D13" s="237">
        <f>L13*0.93*0.98</f>
        <v/>
      </c>
      <c r="E13" s="87">
        <f>D13*1.3*1.105</f>
        <v/>
      </c>
      <c r="F13" s="87">
        <f>D13*1.3*1.105/0.9</f>
        <v/>
      </c>
      <c r="G13" s="87">
        <f>F13*1.21</f>
        <v/>
      </c>
      <c r="H13" s="87">
        <f>ROUND(G13/100,0)*100</f>
        <v/>
      </c>
      <c r="J13" s="87" t="n">
        <v>5323.30512</v>
      </c>
      <c r="L13" s="230" t="n">
        <v>6424.88</v>
      </c>
      <c r="M13" s="128" t="n"/>
      <c r="N13" s="120">
        <f>(L13/J13)-1</f>
        <v/>
      </c>
      <c r="O13" s="237" t="n"/>
    </row>
    <row r="14">
      <c r="A14" s="124" t="n">
        <v>903</v>
      </c>
      <c r="B14" s="223" t="inlineStr">
        <is>
          <t>Toallas Blancas Pura Doble</t>
        </is>
      </c>
      <c r="C14" s="223" t="n"/>
      <c r="D14" s="237">
        <f>L14*0.93*0.98</f>
        <v/>
      </c>
      <c r="E14" s="87">
        <f>D14*1.3*1.105</f>
        <v/>
      </c>
      <c r="F14" s="87">
        <f>D14*1.3*1.105/0.9</f>
        <v/>
      </c>
      <c r="G14" s="87">
        <f>F14*1.21</f>
        <v/>
      </c>
      <c r="H14" s="87">
        <f>ROUND(G14/100,0)*100</f>
        <v/>
      </c>
      <c r="J14" s="87" t="n">
        <v>6630.088668</v>
      </c>
      <c r="L14" s="230" t="n">
        <v>7940.48</v>
      </c>
      <c r="M14" s="128" t="n"/>
      <c r="N14" s="120">
        <f>(L14/J14)-1</f>
        <v/>
      </c>
      <c r="O14" s="237" t="n"/>
    </row>
    <row r="15">
      <c r="A15" s="124" t="n">
        <v>914</v>
      </c>
      <c r="B15" s="223" t="inlineStr">
        <is>
          <t>Toalla Blanca Unitas (17,5x25 cm)</t>
        </is>
      </c>
      <c r="D15" s="237">
        <f>L15*0.93*0.98</f>
        <v/>
      </c>
      <c r="E15" s="87">
        <f>D15*1.3*1.105</f>
        <v/>
      </c>
      <c r="F15" s="87">
        <f>D15*1.3*1.105/0.9</f>
        <v/>
      </c>
      <c r="G15" s="87">
        <f>F15*1.21</f>
        <v/>
      </c>
      <c r="H15" s="87">
        <f>ROUND(G15/100,0)*100</f>
        <v/>
      </c>
      <c r="J15" s="87" t="n">
        <v>3656.017302</v>
      </c>
      <c r="L15" s="230" t="n">
        <v>4412.58</v>
      </c>
      <c r="M15" s="128" t="n"/>
      <c r="N15" s="120">
        <f>(L15/J15)-1</f>
        <v/>
      </c>
      <c r="O15" s="237" t="n"/>
    </row>
    <row r="16">
      <c r="A16" s="124" t="n">
        <v>916</v>
      </c>
      <c r="B16" s="223" t="inlineStr">
        <is>
          <t>Toalla Blanca Especial 21 x 25 ( tiza )</t>
        </is>
      </c>
      <c r="D16" s="237">
        <f>L16*0.93*0.98</f>
        <v/>
      </c>
      <c r="E16" s="87">
        <f>D16*1.3*1.105</f>
        <v/>
      </c>
      <c r="F16" s="87">
        <f>D16*1.3*1.105/0.9</f>
        <v/>
      </c>
      <c r="G16" s="87">
        <f>F16*1.21</f>
        <v/>
      </c>
      <c r="H16" s="87">
        <f>ROUND(G16/100,0)*100</f>
        <v/>
      </c>
      <c r="J16" s="87" t="n">
        <v>4474.782606</v>
      </c>
      <c r="L16" s="230" t="n">
        <v>5400.77</v>
      </c>
      <c r="M16" s="128" t="n"/>
      <c r="N16" s="120">
        <f>(L16/J16)-1</f>
        <v/>
      </c>
      <c r="O16" s="237" t="n"/>
    </row>
    <row r="17">
      <c r="A17" s="124" t="n">
        <v>920</v>
      </c>
      <c r="B17" s="223" t="inlineStr">
        <is>
          <t>Toalla Blanca Especial 21 x 37 ( tiza )</t>
        </is>
      </c>
      <c r="D17" s="237">
        <f>L17*0.93*0.98</f>
        <v/>
      </c>
      <c r="E17" s="87">
        <f>D17*1.3*1.105</f>
        <v/>
      </c>
      <c r="F17" s="87">
        <f>D17*1.3*1.105/0.9</f>
        <v/>
      </c>
      <c r="G17" s="87">
        <f>F17*1.21</f>
        <v/>
      </c>
      <c r="H17" s="87">
        <f>ROUND(G17/100,0)*100</f>
        <v/>
      </c>
      <c r="J17" s="87" t="n">
        <v>6104.274666</v>
      </c>
      <c r="L17" s="230" t="n">
        <v>7367.46</v>
      </c>
      <c r="M17" s="128" t="n"/>
      <c r="N17" s="120">
        <f>(L17/J17)-1</f>
        <v/>
      </c>
      <c r="O17" s="237" t="n"/>
    </row>
    <row r="18">
      <c r="A18" s="124" t="n">
        <v>927</v>
      </c>
      <c r="B18" s="223" t="inlineStr">
        <is>
          <t>Toalla Blanca Especial 17,5 x 25 ( tiza ) Unita</t>
        </is>
      </c>
      <c r="D18" s="237">
        <f>L18*0.93*0.98</f>
        <v/>
      </c>
      <c r="E18" s="87">
        <f>D18*1.3*1.105</f>
        <v/>
      </c>
      <c r="F18" s="87">
        <f>D18*1.3*1.105/0.9</f>
        <v/>
      </c>
      <c r="G18" s="87">
        <f>F18*1.21</f>
        <v/>
      </c>
      <c r="H18" s="87">
        <f>ROUND(G18/100,0)*100</f>
        <v/>
      </c>
      <c r="J18" s="87" t="n">
        <v>3507.641382</v>
      </c>
      <c r="L18" s="230" t="n">
        <v>4233.49</v>
      </c>
      <c r="M18" s="128" t="n"/>
      <c r="N18" s="120">
        <f>(L18/J18)-1</f>
        <v/>
      </c>
      <c r="O18" s="237" t="n"/>
    </row>
    <row r="19">
      <c r="A19" s="124" t="n">
        <v>928</v>
      </c>
      <c r="B19" s="223" t="inlineStr">
        <is>
          <t>Cajas x 2500 Toallas Beige 21x37</t>
        </is>
      </c>
      <c r="D19" s="237">
        <f>L19*0.93*0.98</f>
        <v/>
      </c>
      <c r="E19" s="87">
        <f>D19*1.3*1.105</f>
        <v/>
      </c>
      <c r="F19" s="87">
        <f>D19*1.3*1.105/0.9</f>
        <v/>
      </c>
      <c r="G19" s="87">
        <f>F19*1.21</f>
        <v/>
      </c>
      <c r="H19" s="87">
        <f>ROUND(G19/100,0)*100</f>
        <v/>
      </c>
      <c r="J19" s="87" t="n">
        <v>5169.816246</v>
      </c>
      <c r="L19" s="230" t="n">
        <v>6247.55</v>
      </c>
      <c r="M19" s="128" t="n"/>
      <c r="N19" s="120">
        <f>(L19/J19)-1</f>
        <v/>
      </c>
      <c r="O19" s="237" t="n"/>
    </row>
    <row r="20">
      <c r="A20" s="124" t="n">
        <v>930</v>
      </c>
      <c r="B20" s="223" t="inlineStr">
        <is>
          <t>Toalla Blanca Super 21x37 cm</t>
        </is>
      </c>
      <c r="C20" s="223" t="n"/>
      <c r="D20" s="237">
        <f>L20*0.93*0.98</f>
        <v/>
      </c>
      <c r="E20" s="87">
        <f>D20*1.3*1.105</f>
        <v/>
      </c>
      <c r="F20" s="87">
        <f>D20*1.3*1.105/0.9</f>
        <v/>
      </c>
      <c r="G20" s="87">
        <f>F20*1.21</f>
        <v/>
      </c>
      <c r="H20" s="87">
        <f>ROUND(G20/100,0)*100</f>
        <v/>
      </c>
      <c r="J20" s="87" t="n">
        <v>6598.244352000001</v>
      </c>
      <c r="L20" s="230" t="n">
        <v>7963.65</v>
      </c>
      <c r="M20" s="128" t="n"/>
      <c r="N20" s="120">
        <f>(L20/J20)-1</f>
        <v/>
      </c>
      <c r="O20" s="237" t="n"/>
    </row>
    <row r="21">
      <c r="A21" s="124" t="n">
        <v>931</v>
      </c>
      <c r="B21" s="223" t="inlineStr">
        <is>
          <t>Caja x 2500 Toallas Beige Unitas 17,5 cm x 25 cm</t>
        </is>
      </c>
      <c r="D21" s="237">
        <f>L21*0.93*0.98</f>
        <v/>
      </c>
      <c r="E21" s="87">
        <f>D21*1.3*1.105</f>
        <v/>
      </c>
      <c r="F21" s="87">
        <f>D21*1.3*1.105/0.9</f>
        <v/>
      </c>
      <c r="G21" s="87">
        <f>F21*1.21</f>
        <v/>
      </c>
      <c r="H21" s="87">
        <f>ROUND(G21/100,0)*100</f>
        <v/>
      </c>
      <c r="I21" s="87">
        <f>F21*1.1</f>
        <v/>
      </c>
      <c r="J21" s="87" t="n">
        <v>3227.066892</v>
      </c>
      <c r="L21" s="230" t="n">
        <v>3894.85</v>
      </c>
      <c r="M21" s="128" t="n"/>
      <c r="N21" s="120">
        <f>(L21/J21)-1</f>
        <v/>
      </c>
      <c r="O21" s="237" t="n"/>
    </row>
    <row r="22">
      <c r="A22" s="124" t="n">
        <v>932</v>
      </c>
      <c r="B22" s="223" t="inlineStr">
        <is>
          <t>Caja x 2500 Toallas Beige 21 cm x 25 cm simple hoja</t>
        </is>
      </c>
      <c r="D22" s="237">
        <f>L22*0.93*0.98</f>
        <v/>
      </c>
      <c r="E22" s="87">
        <f>D22*1.3*1.105</f>
        <v/>
      </c>
      <c r="F22" s="87">
        <f>D22*1.3*1.105/0.9</f>
        <v/>
      </c>
      <c r="G22" s="87">
        <f>F22*1.21</f>
        <v/>
      </c>
      <c r="H22" s="87">
        <f>ROUND(G22/100,0)*100</f>
        <v/>
      </c>
      <c r="J22" s="87" t="n">
        <v>3679.403826</v>
      </c>
      <c r="L22" s="230" t="n">
        <v>4440.8</v>
      </c>
      <c r="M22" s="128" t="n"/>
      <c r="N22" s="120">
        <f>(L22/J22)-1</f>
        <v/>
      </c>
      <c r="O22" s="237" t="n"/>
    </row>
    <row r="23">
      <c r="A23" s="124" t="n"/>
      <c r="B23" s="223" t="n"/>
      <c r="C23" s="223" t="n"/>
      <c r="D23" s="237" t="n"/>
      <c r="J23" s="87" t="n"/>
      <c r="L23" s="87" t="n"/>
      <c r="M23" s="128" t="n"/>
      <c r="N23" s="120" t="n"/>
      <c r="O23" s="237" t="n"/>
    </row>
    <row r="24">
      <c r="A24" s="117" t="inlineStr">
        <is>
          <t>TOALLAS EN ROLLO</t>
        </is>
      </c>
      <c r="B24" s="271" t="n"/>
      <c r="C24" s="223" t="n"/>
      <c r="D24" s="237" t="n"/>
      <c r="J24" s="87" t="n"/>
      <c r="L24" s="87" t="n"/>
      <c r="M24" s="119" t="n"/>
      <c r="O24" s="237" t="n"/>
    </row>
    <row r="25">
      <c r="A25" s="131" t="n"/>
      <c r="B25" s="111" t="n"/>
      <c r="C25" s="223" t="n"/>
      <c r="D25" s="237" t="n"/>
      <c r="J25" s="87" t="n"/>
      <c r="L25" s="87" t="n"/>
      <c r="M25" s="119" t="n"/>
      <c r="N25" s="132" t="n"/>
      <c r="O25" s="237" t="n"/>
    </row>
    <row r="26">
      <c r="A26" s="124" t="n">
        <v>204</v>
      </c>
      <c r="B26" s="223" t="inlineStr">
        <is>
          <t>Pack X 2 Rollos de toalla x 300 mts Blanca</t>
        </is>
      </c>
      <c r="D26" s="237">
        <f>L26*0.93*0.98</f>
        <v/>
      </c>
      <c r="E26" s="87">
        <f>D26*1.3*1.105</f>
        <v/>
      </c>
      <c r="F26" s="87">
        <f>D26*1.3*1.105/0.9</f>
        <v/>
      </c>
      <c r="G26" s="87">
        <f>F26*1.21</f>
        <v/>
      </c>
      <c r="H26" s="87">
        <f>ROUND(G26/100,0)*100</f>
        <v/>
      </c>
      <c r="J26" s="87" t="n">
        <v>7241.474016</v>
      </c>
      <c r="L26" s="127" t="n">
        <v>8739.98</v>
      </c>
      <c r="M26" s="128" t="n"/>
      <c r="N26" s="120">
        <f>(L26/J26)-1</f>
        <v/>
      </c>
      <c r="O26" s="237" t="n"/>
    </row>
    <row r="27">
      <c r="A27" s="124" t="n">
        <v>205</v>
      </c>
      <c r="B27" s="223" t="inlineStr">
        <is>
          <t>Pack X 2 Rollos de toalla x 240 mts Blanca</t>
        </is>
      </c>
      <c r="D27" s="237">
        <f>L27*0.93*0.98</f>
        <v/>
      </c>
      <c r="E27" s="87">
        <f>D27*1.3*1.105</f>
        <v/>
      </c>
      <c r="F27" s="87">
        <f>D27*1.3*1.105/0.9</f>
        <v/>
      </c>
      <c r="G27" s="87">
        <f>F27*1.21</f>
        <v/>
      </c>
      <c r="H27" s="87">
        <f>ROUND(G27/100,0)*100</f>
        <v/>
      </c>
      <c r="J27" s="87" t="n">
        <v>9228.180192000002</v>
      </c>
      <c r="L27" s="230" t="n">
        <v>11137.81</v>
      </c>
      <c r="M27" s="128" t="n"/>
      <c r="N27" s="120">
        <f>(L27/J27)-1</f>
        <v/>
      </c>
      <c r="O27" s="237" t="n"/>
    </row>
    <row r="28">
      <c r="A28" s="133" t="n">
        <v>116</v>
      </c>
      <c r="B28" s="134" t="inlineStr">
        <is>
          <t>Pack x 6 Rollos de Toallas x 200 mts. Blanca</t>
        </is>
      </c>
      <c r="D28" s="135">
        <f>L28*0.93*0.98</f>
        <v/>
      </c>
      <c r="E28" s="87">
        <f>D28*1.3*1.105</f>
        <v/>
      </c>
      <c r="F28" s="87">
        <f>D28*1.3*1.105/0.9</f>
        <v/>
      </c>
      <c r="G28" s="87">
        <f>F28*1.21</f>
        <v/>
      </c>
      <c r="H28" s="87">
        <f>ROUND(G28/100,0)*100</f>
        <v/>
      </c>
      <c r="J28" s="87" t="n">
        <v>7300.705902000001</v>
      </c>
      <c r="L28" s="230" t="n">
        <v>8811.469999999999</v>
      </c>
      <c r="M28" s="128" t="n"/>
      <c r="N28" s="120">
        <f>(L28/J28)-1</f>
        <v/>
      </c>
      <c r="O28" s="135" t="n"/>
    </row>
    <row r="29">
      <c r="A29" s="124" t="n">
        <v>135</v>
      </c>
      <c r="B29" s="223" t="inlineStr">
        <is>
          <t>Recarga Original P/Dispenser Celmatic 2500 U. Dobles</t>
        </is>
      </c>
      <c r="D29" s="237">
        <f>L29*0.93*0.98</f>
        <v/>
      </c>
      <c r="E29" s="87">
        <f>D29*1.3*1.105</f>
        <v/>
      </c>
      <c r="F29" s="87">
        <f>D29*1.3*1.105/0.9</f>
        <v/>
      </c>
      <c r="G29" s="87">
        <f>F29*1.21</f>
        <v/>
      </c>
      <c r="H29" s="87">
        <f>ROUND(G29/100,0)*100</f>
        <v/>
      </c>
      <c r="J29" s="87" t="n">
        <v>3538.246194</v>
      </c>
      <c r="L29" s="230" t="n">
        <v>4270.42</v>
      </c>
      <c r="M29" s="128" t="n"/>
      <c r="N29" s="120">
        <f>(L29/J29)-1</f>
        <v/>
      </c>
      <c r="O29" s="237" t="n"/>
    </row>
    <row r="30">
      <c r="A30" s="124" t="n">
        <v>136</v>
      </c>
      <c r="B30" s="223" t="inlineStr">
        <is>
          <t>Pack x 4 Recarga Celmatic Due 2400 U. Dobles</t>
        </is>
      </c>
      <c r="D30" s="237">
        <f>L30*0.93*0.98</f>
        <v/>
      </c>
      <c r="E30" s="87">
        <f>D30*1.3*1.105</f>
        <v/>
      </c>
      <c r="F30" s="87">
        <f>D30*1.3*1.105/0.9</f>
        <v/>
      </c>
      <c r="G30" s="87">
        <f>F30*1.21</f>
        <v/>
      </c>
      <c r="H30" s="87">
        <f>ROUND(G30/100,0)*100</f>
        <v/>
      </c>
      <c r="J30" s="87" t="n">
        <v>2819.835144</v>
      </c>
      <c r="L30" s="230" t="n">
        <v>3403.35</v>
      </c>
      <c r="M30" s="128" t="n"/>
      <c r="N30" s="120">
        <f>(L30/J30)-1</f>
        <v/>
      </c>
      <c r="O30" s="237" t="n"/>
    </row>
    <row r="31">
      <c r="A31" s="124" t="n"/>
      <c r="B31" s="223" t="n"/>
      <c r="C31" s="223" t="n"/>
      <c r="D31" s="237">
        <f>D28/6</f>
        <v/>
      </c>
      <c r="J31" s="87" t="n"/>
      <c r="L31" s="87" t="n"/>
      <c r="M31" s="128" t="n"/>
      <c r="N31" s="120" t="n"/>
      <c r="O31" s="237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 t="n"/>
      <c r="J32" s="87" t="n"/>
      <c r="L32" s="87" t="n"/>
      <c r="M32" s="119" t="n"/>
      <c r="N32" s="120" t="n"/>
      <c r="O32" s="137" t="n"/>
    </row>
    <row r="33">
      <c r="A33" s="131" t="n"/>
      <c r="B33" s="158" t="n"/>
      <c r="C33" s="223" t="n"/>
      <c r="D33" s="169" t="n"/>
      <c r="J33" s="87" t="n"/>
      <c r="L33" s="87" t="n"/>
      <c r="M33" s="119" t="n"/>
      <c r="N33" s="120" t="n"/>
      <c r="O33" s="169" t="n"/>
    </row>
    <row r="34">
      <c r="A34" s="124" t="n">
        <v>501</v>
      </c>
      <c r="B34" s="140" t="inlineStr">
        <is>
          <t>Pack x 2 rollos Cel-Soft de 22,5 x 150 mts</t>
        </is>
      </c>
      <c r="D34" s="237">
        <f>L34*0.93*0.98</f>
        <v/>
      </c>
      <c r="E34" s="87">
        <f>D34*1.3*1.105</f>
        <v/>
      </c>
      <c r="F34" s="87">
        <f>D34*1.3*1.105/0.9</f>
        <v/>
      </c>
      <c r="G34" s="87">
        <f>F34*1.21</f>
        <v/>
      </c>
      <c r="H34" s="87">
        <f>ROUND(G34/100,0)*100</f>
        <v/>
      </c>
      <c r="J34" s="87" t="n">
        <v>51.9498</v>
      </c>
      <c r="L34" s="127" t="n">
        <v>57</v>
      </c>
      <c r="M34" s="128" t="n"/>
      <c r="N34" s="141">
        <f>(L34/J34)-1</f>
        <v/>
      </c>
      <c r="O34" s="237" t="n"/>
    </row>
    <row r="35">
      <c r="A35" s="124" t="n">
        <v>505</v>
      </c>
      <c r="B35" s="223" t="inlineStr">
        <is>
          <t>Caja x 2000 U. Servilletas Cel-Soft 30 x 40 cm</t>
        </is>
      </c>
      <c r="D35" s="237">
        <f>L35*0.93*0.98</f>
        <v/>
      </c>
      <c r="E35" s="87">
        <f>D35*1.3*1.105</f>
        <v/>
      </c>
      <c r="F35" s="87">
        <f>D35*1.3*1.105/0.9</f>
        <v/>
      </c>
      <c r="G35" s="87">
        <f>F35*1.21</f>
        <v/>
      </c>
      <c r="H35" s="87">
        <f>ROUND(G35/100,0)*100</f>
        <v/>
      </c>
      <c r="J35" s="87" t="n">
        <v>249.486636</v>
      </c>
      <c r="L35" s="230" t="n">
        <v>273.74</v>
      </c>
      <c r="M35" s="128" t="n"/>
      <c r="N35" s="120">
        <f>(L35/J35)-1</f>
        <v/>
      </c>
      <c r="O35" s="237" t="n"/>
    </row>
    <row r="36">
      <c r="A36" s="124" t="n">
        <v>506</v>
      </c>
      <c r="B36" s="223" t="inlineStr">
        <is>
          <t>Caja x 3500 Toallas Cel-Soft 21 x 25 cm Blancas</t>
        </is>
      </c>
      <c r="D36" s="237">
        <f>L36*0.93*0.98</f>
        <v/>
      </c>
      <c r="E36" s="87">
        <f>D36*1.3*1.105</f>
        <v/>
      </c>
      <c r="F36" s="87">
        <f>D36*1.3*1.105/0.9</f>
        <v/>
      </c>
      <c r="G36" s="87">
        <f>F36*1.21</f>
        <v/>
      </c>
      <c r="H36" s="87">
        <f>ROUND(G36/100,0)*100</f>
        <v/>
      </c>
      <c r="J36" s="87" t="n">
        <v>139.644708</v>
      </c>
      <c r="L36" s="230" t="n">
        <v>153.22</v>
      </c>
      <c r="M36" s="128" t="n"/>
      <c r="N36" s="120">
        <f>(L36/J36)-1</f>
        <v/>
      </c>
      <c r="O36" s="237" t="n"/>
    </row>
    <row r="37">
      <c r="A37" s="124" t="n">
        <v>512</v>
      </c>
      <c r="B37" s="223" t="inlineStr">
        <is>
          <t>Caja x 2000 U. Servilletas Cel-Soft 30 x 25 cm</t>
        </is>
      </c>
      <c r="D37" s="237">
        <f>L37*0.93*0.98</f>
        <v/>
      </c>
      <c r="E37" s="87">
        <f>D37*1.3*1.105</f>
        <v/>
      </c>
      <c r="F37" s="87">
        <f>D37*1.3*1.105/0.9</f>
        <v/>
      </c>
      <c r="G37" s="87">
        <f>F37*1.21</f>
        <v/>
      </c>
      <c r="H37" s="87">
        <f>ROUND(G37/100,0)*100</f>
        <v/>
      </c>
      <c r="I37" s="87">
        <f>D37*1.21*285/40</f>
        <v/>
      </c>
      <c r="J37" s="87" t="n">
        <v>158.273724</v>
      </c>
      <c r="L37" s="230" t="n">
        <v>173.66</v>
      </c>
      <c r="M37" s="128" t="n"/>
      <c r="N37" s="120">
        <f>(L37/J37)-1</f>
        <v/>
      </c>
      <c r="O37" s="237" t="n"/>
    </row>
    <row r="38">
      <c r="A38" s="124" t="n">
        <v>514</v>
      </c>
      <c r="B38" s="223" t="inlineStr">
        <is>
          <t>Caja por 600 servilletas Celsoft 40x40 Victoria Ambra</t>
        </is>
      </c>
      <c r="D38" s="237">
        <f>L38*0.93*0.98</f>
        <v/>
      </c>
      <c r="E38" s="87">
        <f>D38*1.3*1.105</f>
        <v/>
      </c>
      <c r="F38" s="87">
        <f>D38*1.3*1.105/0.9</f>
        <v/>
      </c>
      <c r="G38" s="87">
        <f>F38*1.21</f>
        <v/>
      </c>
      <c r="H38" s="87">
        <f>ROUND(G38/100,0)*100</f>
        <v/>
      </c>
      <c r="J38" s="87" t="n">
        <v>170.61408</v>
      </c>
      <c r="L38" s="230" t="n">
        <v>187.2</v>
      </c>
      <c r="M38" s="128" t="n"/>
      <c r="N38" s="120">
        <f>(L38/J38)-1</f>
        <v/>
      </c>
      <c r="O38" s="237" t="n"/>
    </row>
    <row r="39">
      <c r="A39" s="124" t="n">
        <v>515</v>
      </c>
      <c r="B39" s="223" t="inlineStr">
        <is>
          <t>Caja por 600 servilletas Celsoft 40x40 Victoria Nero</t>
        </is>
      </c>
      <c r="D39" s="237">
        <f>L39*0.93*0.98</f>
        <v/>
      </c>
      <c r="E39" s="87">
        <f>D39*1.3*1.105</f>
        <v/>
      </c>
      <c r="F39" s="87">
        <f>D39*1.3*1.105/0.9</f>
        <v/>
      </c>
      <c r="G39" s="87">
        <f>F39*1.21</f>
        <v/>
      </c>
      <c r="H39" s="87">
        <f>ROUND(G39/100,0)*100</f>
        <v/>
      </c>
      <c r="J39" s="87" t="n">
        <v>170.61408</v>
      </c>
      <c r="L39" s="230" t="n">
        <v>187.2</v>
      </c>
      <c r="M39" s="128" t="n"/>
      <c r="N39" s="120">
        <f>(L39/J39)-1</f>
        <v/>
      </c>
      <c r="O39" s="237" t="n"/>
    </row>
    <row r="40">
      <c r="A40" s="124" t="n">
        <v>516</v>
      </c>
      <c r="B40" s="223" t="inlineStr">
        <is>
          <t>Caja por 600 servilletas Celsoft 40x40 Tasca Bordeaux</t>
        </is>
      </c>
      <c r="D40" s="237">
        <f>L40*0.93*0.98</f>
        <v/>
      </c>
      <c r="E40" s="87">
        <f>D40*1.3*1.105</f>
        <v/>
      </c>
      <c r="F40" s="87">
        <f>D40*1.3*1.105/0.9</f>
        <v/>
      </c>
      <c r="G40" s="87">
        <f>F40*1.21</f>
        <v/>
      </c>
      <c r="H40" s="87">
        <f>ROUND(G40/100,0)*100</f>
        <v/>
      </c>
      <c r="J40" s="87" t="n">
        <v>201.182436</v>
      </c>
      <c r="L40" s="230" t="n">
        <v>220.74</v>
      </c>
      <c r="M40" s="128" t="n"/>
      <c r="N40" s="120">
        <f>(L40/J40)-1</f>
        <v/>
      </c>
      <c r="O40" s="237" t="n"/>
    </row>
    <row r="41">
      <c r="A41" s="124" t="n">
        <v>517</v>
      </c>
      <c r="B41" s="223" t="inlineStr">
        <is>
          <t>Caja por 600 servilletas Celsoft 40x40 Tasca Nero</t>
        </is>
      </c>
      <c r="D41" s="237">
        <f>L41*0.93*0.98</f>
        <v/>
      </c>
      <c r="E41" s="87">
        <f>D41*1.3*1.105</f>
        <v/>
      </c>
      <c r="F41" s="87">
        <f>D41*1.3*1.105/0.9</f>
        <v/>
      </c>
      <c r="G41" s="87">
        <f>F41*1.21</f>
        <v/>
      </c>
      <c r="H41" s="87">
        <f>ROUND(G41/100,0)*100</f>
        <v/>
      </c>
      <c r="J41" s="87" t="n">
        <v>201.182436</v>
      </c>
      <c r="L41" s="230" t="n">
        <v>220.74</v>
      </c>
      <c r="M41" s="128" t="n"/>
      <c r="N41" s="120">
        <f>(L41/J41)-1</f>
        <v/>
      </c>
      <c r="O41" s="237" t="n"/>
    </row>
    <row r="42">
      <c r="A42" s="124" t="n">
        <v>518</v>
      </c>
      <c r="B42" s="223" t="inlineStr">
        <is>
          <t>Caja por 600 servilletas Celsoft 40x40 Tasca Lino Avorio</t>
        </is>
      </c>
      <c r="D42" s="237">
        <f>L42*0.93*0.98</f>
        <v/>
      </c>
      <c r="E42" s="87">
        <f>D42*1.3*1.105</f>
        <v/>
      </c>
      <c r="F42" s="87">
        <f>D42*1.3*1.105/0.9</f>
        <v/>
      </c>
      <c r="G42" s="87">
        <f>F42*1.21</f>
        <v/>
      </c>
      <c r="H42" s="87">
        <f>ROUND(G42/100,0)*100</f>
        <v/>
      </c>
      <c r="J42" s="87" t="n">
        <v>170.61408</v>
      </c>
      <c r="L42" s="230" t="n">
        <v>187.2</v>
      </c>
      <c r="M42" s="128" t="n"/>
      <c r="N42" s="120">
        <f>(L42/J42)-1</f>
        <v/>
      </c>
      <c r="O42" s="237" t="n"/>
    </row>
    <row r="43">
      <c r="A43" s="124" t="n">
        <v>519</v>
      </c>
      <c r="B43" s="223" t="inlineStr">
        <is>
          <t>Caja por 600 servilletas Celsoft 40x40 Taca Iuta Grigio</t>
        </is>
      </c>
      <c r="D43" s="237">
        <f>L43*0.93*0.98</f>
        <v/>
      </c>
      <c r="E43" s="87">
        <f>D43*1.3*1.105</f>
        <v/>
      </c>
      <c r="F43" s="87">
        <f>D43*1.3*1.105/0.9</f>
        <v/>
      </c>
      <c r="G43" s="87">
        <f>F43*1.21</f>
        <v/>
      </c>
      <c r="H43" s="87">
        <f>ROUND(G43/100,0)*100</f>
        <v/>
      </c>
      <c r="J43" s="87" t="n">
        <v>170.61408</v>
      </c>
      <c r="L43" s="230" t="n">
        <v>187.2</v>
      </c>
      <c r="M43" s="128" t="n"/>
      <c r="N43" s="120">
        <f>(L43/J43)-1</f>
        <v/>
      </c>
      <c r="O43" s="237" t="n"/>
    </row>
    <row r="44">
      <c r="A44" s="124" t="n">
        <v>520</v>
      </c>
      <c r="B44" s="223" t="inlineStr">
        <is>
          <t>Caja de servilletas Celsoft 40 x 40 SAMPLER 300 Unid</t>
        </is>
      </c>
      <c r="D44" s="237">
        <f>L44*0.93*0.98</f>
        <v/>
      </c>
      <c r="E44" s="87">
        <f>D44*1.3*1.105</f>
        <v/>
      </c>
      <c r="F44" s="87">
        <f>D44*1.3*1.105/0.9</f>
        <v/>
      </c>
      <c r="G44" s="87">
        <f>F44*1.21</f>
        <v/>
      </c>
      <c r="H44" s="87">
        <f>ROUND(G44/100,0)*100</f>
        <v/>
      </c>
      <c r="J44" s="87" t="n">
        <v>90.31062600000001</v>
      </c>
      <c r="L44" s="230" t="n">
        <v>99.09</v>
      </c>
      <c r="M44" s="128" t="n"/>
      <c r="N44" s="120">
        <f>(L44/J44)-1</f>
        <v/>
      </c>
      <c r="O44" s="237" t="n"/>
    </row>
    <row r="45">
      <c r="A45" s="124" t="n"/>
      <c r="B45" s="223" t="n"/>
      <c r="C45" s="223" t="n"/>
      <c r="D45" s="237" t="n"/>
      <c r="J45" s="87" t="n"/>
      <c r="L45" s="87" t="n"/>
      <c r="M45" s="128" t="n"/>
      <c r="N45" s="120" t="n"/>
      <c r="O45" s="237" t="n"/>
    </row>
    <row r="46">
      <c r="A46" s="142" t="inlineStr">
        <is>
          <t>PAPEL HIGIENICO</t>
        </is>
      </c>
      <c r="B46" s="271" t="n"/>
      <c r="C46" s="223" t="n"/>
      <c r="D46" s="237" t="n"/>
      <c r="J46" s="87" t="n"/>
      <c r="L46" s="87" t="n"/>
      <c r="M46" s="144" t="n"/>
      <c r="O46" s="237" t="n"/>
    </row>
    <row r="47">
      <c r="A47" s="111" t="n"/>
      <c r="B47" s="223" t="n"/>
      <c r="C47" s="223" t="n"/>
      <c r="D47" s="237" t="n"/>
      <c r="J47" s="87" t="n"/>
      <c r="L47" s="87" t="n"/>
      <c r="M47" s="144" t="n"/>
      <c r="N47" s="120" t="n"/>
      <c r="O47" s="237" t="n"/>
    </row>
    <row r="48">
      <c r="A48" s="124" t="n">
        <v>211</v>
      </c>
      <c r="B48" s="223" t="inlineStr">
        <is>
          <t>Pack x18 Rollos Higienico Racional D/H x 60 mts</t>
        </is>
      </c>
      <c r="D48" s="237">
        <f>L48*0.93*0.98</f>
        <v/>
      </c>
      <c r="E48" s="87">
        <f>D48*1.3*1.105</f>
        <v/>
      </c>
      <c r="F48" s="87">
        <f>D48*1.3*1.105/0.9</f>
        <v/>
      </c>
      <c r="G48" s="87">
        <f>F48*1.21</f>
        <v/>
      </c>
      <c r="H48" s="87">
        <f>ROUND(G48/100,0)*100</f>
        <v/>
      </c>
      <c r="J48" s="87" t="n">
        <v>5186.303472</v>
      </c>
      <c r="L48" s="127" t="n">
        <v>6259.53</v>
      </c>
      <c r="M48" s="128" t="n"/>
      <c r="N48" s="120">
        <f>(L48/J48)-1</f>
        <v/>
      </c>
      <c r="O48" s="237" t="n"/>
    </row>
    <row r="49">
      <c r="A49" s="124" t="n">
        <v>213</v>
      </c>
      <c r="B49" s="223" t="inlineStr">
        <is>
          <t>Pack x 4 Rollos Higienico Racional x 500 mts Buje 7,5</t>
        </is>
      </c>
      <c r="D49" s="237">
        <f>L49*0.93*0.98</f>
        <v/>
      </c>
      <c r="E49" s="87">
        <f>D49*1.3*1.105</f>
        <v/>
      </c>
      <c r="F49" s="87">
        <f>D49*1.3*1.105/0.9</f>
        <v/>
      </c>
      <c r="G49" s="87">
        <f>F49*1.21</f>
        <v/>
      </c>
      <c r="H49" s="87">
        <f>ROUND(G49/100,0)*100</f>
        <v/>
      </c>
      <c r="J49" s="87" t="n">
        <v>4019.474508</v>
      </c>
      <c r="L49" s="230" t="n">
        <v>4851.24</v>
      </c>
      <c r="M49" s="128" t="n"/>
      <c r="N49" s="120">
        <f>(L49/J49)-1</f>
        <v/>
      </c>
      <c r="O49" s="237" t="n"/>
    </row>
    <row r="50">
      <c r="A50" s="182" t="n">
        <v>214</v>
      </c>
      <c r="B50" s="224" t="inlineStr">
        <is>
          <t>Pack x 18 rollos Papel Higienico Racional x 122 mts</t>
        </is>
      </c>
      <c r="D50" s="184">
        <f>L50*0.93*0.98</f>
        <v/>
      </c>
      <c r="E50" s="87">
        <f>D50*1.3*1.105</f>
        <v/>
      </c>
      <c r="F50" s="87">
        <f>D50*1.3*1.105/0.9</f>
        <v/>
      </c>
      <c r="G50" s="87">
        <f>F50*1.21</f>
        <v/>
      </c>
      <c r="H50" s="87">
        <f>ROUND(G50/100,0)*100</f>
        <v/>
      </c>
      <c r="J50" s="87" t="n">
        <v>4938.165708</v>
      </c>
      <c r="L50" s="230" t="n">
        <v>5960.05</v>
      </c>
      <c r="M50" s="128" t="n"/>
      <c r="N50" s="120">
        <f>(L50/J50)-1</f>
        <v/>
      </c>
      <c r="O50" s="184" t="n"/>
    </row>
    <row r="51">
      <c r="A51" s="124" t="n">
        <v>218</v>
      </c>
      <c r="B51" s="223" t="inlineStr">
        <is>
          <t>Pack x 8 rollos Higienico Racional x 265 mts buje 7,5</t>
        </is>
      </c>
      <c r="D51" s="237">
        <f>L51*0.93*0.98</f>
        <v/>
      </c>
      <c r="E51" s="87">
        <f>D51*1.3*1.105</f>
        <v/>
      </c>
      <c r="F51" s="87">
        <f>D51*1.3*1.105/0.9</f>
        <v/>
      </c>
      <c r="G51" s="87">
        <f>F51*1.21</f>
        <v/>
      </c>
      <c r="H51" s="87">
        <f>ROUND(G51/100,0)*100</f>
        <v/>
      </c>
      <c r="J51" s="87" t="n">
        <v>4545.005976</v>
      </c>
      <c r="L51" s="230" t="n">
        <v>5485.52</v>
      </c>
      <c r="M51" s="128" t="n"/>
      <c r="N51" s="120">
        <f>(L51/J51)-1</f>
        <v/>
      </c>
      <c r="O51" s="237" t="n"/>
    </row>
    <row r="52">
      <c r="A52" s="133" t="n">
        <v>220</v>
      </c>
      <c r="B52" s="134" t="inlineStr">
        <is>
          <t>Pack x 8 Rollos Papel Higienico Racional x 300 mts</t>
        </is>
      </c>
      <c r="D52" s="135">
        <f>L52*0.93*0.98</f>
        <v/>
      </c>
      <c r="E52" s="87">
        <f>D52*1.3*1.105</f>
        <v/>
      </c>
      <c r="F52" s="87">
        <f>D52*1.3*1.105/0.9</f>
        <v/>
      </c>
      <c r="G52" s="87">
        <f>F52*1.21</f>
        <v/>
      </c>
      <c r="H52" s="87">
        <f>ROUND(G52/100,0)*100</f>
        <v/>
      </c>
      <c r="J52" s="87" t="n">
        <v>5179.176324</v>
      </c>
      <c r="L52" s="230" t="n">
        <v>6250.92</v>
      </c>
      <c r="M52" s="128" t="n"/>
      <c r="N52" s="120">
        <f>(L52/J52)-1</f>
        <v/>
      </c>
      <c r="O52" s="135" t="n"/>
    </row>
    <row r="53">
      <c r="A53" s="124" t="n">
        <v>222</v>
      </c>
      <c r="B53" s="223" t="inlineStr">
        <is>
          <t>Pack x 8 Rollos Papel Higienico x 260 mts Buje4,5</t>
        </is>
      </c>
      <c r="D53" s="237">
        <f>L53*0.93*0.98</f>
        <v/>
      </c>
      <c r="E53" s="87">
        <f>D53*1.3*1.105</f>
        <v/>
      </c>
      <c r="F53" s="87">
        <f>D53*1.3*1.105/0.9</f>
        <v/>
      </c>
      <c r="G53" s="87">
        <f>F53*1.21</f>
        <v/>
      </c>
      <c r="H53" s="87">
        <f>ROUND(G53/100,0)*100</f>
        <v/>
      </c>
      <c r="J53" s="87" t="n">
        <v>4396.739423999999</v>
      </c>
      <c r="L53" s="230" t="n">
        <v>5306.58</v>
      </c>
      <c r="M53" s="128" t="n"/>
      <c r="N53" s="120">
        <f>(L53/J53)-1</f>
        <v/>
      </c>
      <c r="O53" s="237" t="n"/>
    </row>
    <row r="54">
      <c r="A54" s="124" t="n">
        <v>909</v>
      </c>
      <c r="B54" s="223" t="inlineStr">
        <is>
          <t>Papel Higiénico 20 x 14,5 8000 h. 4000 usos</t>
        </is>
      </c>
      <c r="D54" s="237">
        <f>L54*0.93*0.98</f>
        <v/>
      </c>
      <c r="E54" s="87">
        <f>D54*1.3*1.105</f>
        <v/>
      </c>
      <c r="F54" s="87">
        <f>D54*1.3*1.105/0.9</f>
        <v/>
      </c>
      <c r="G54" s="87">
        <f>F54*1.21</f>
        <v/>
      </c>
      <c r="H54" s="87">
        <f>ROUND(G54/100,0)*100</f>
        <v/>
      </c>
      <c r="J54" s="87" t="n">
        <v>6790.394814</v>
      </c>
      <c r="L54" s="230" t="n">
        <v>8195.559999999999</v>
      </c>
      <c r="M54" s="128" t="n"/>
      <c r="N54" s="120">
        <f>(L54/J54)-1</f>
        <v/>
      </c>
      <c r="O54" s="237" t="n"/>
    </row>
    <row r="55">
      <c r="A55" s="124" t="n">
        <v>912</v>
      </c>
      <c r="B55" s="223" t="inlineStr">
        <is>
          <t>Papel Higienico UNITAS(18x14,5cm) 8000 h/4000 usos</t>
        </is>
      </c>
      <c r="D55" s="237">
        <f>L55*0.93*0.98</f>
        <v/>
      </c>
      <c r="E55" s="87">
        <f>D55*1.3*1.105</f>
        <v/>
      </c>
      <c r="F55" s="87">
        <f>D55*1.3*1.105/0.9</f>
        <v/>
      </c>
      <c r="G55" s="87">
        <f>F55*1.21</f>
        <v/>
      </c>
      <c r="H55" s="87">
        <f>ROUND(G55/100,0)*100</f>
        <v/>
      </c>
      <c r="I55" s="87">
        <f>F55*1.1</f>
        <v/>
      </c>
      <c r="J55" s="87" t="n">
        <v>5456.241924000001</v>
      </c>
      <c r="L55" s="230" t="n">
        <v>6584.93</v>
      </c>
      <c r="M55" s="128" t="n"/>
      <c r="N55" s="120">
        <f>(L55/J55)-1</f>
        <v/>
      </c>
      <c r="O55" s="237" t="n"/>
    </row>
    <row r="56">
      <c r="A56" s="124" t="n"/>
      <c r="B56" s="223" t="n"/>
      <c r="C56" s="223" t="n"/>
      <c r="D56" s="237" t="n"/>
      <c r="J56" s="87" t="n"/>
      <c r="L56" s="87" t="n"/>
      <c r="M56" s="128" t="n"/>
      <c r="N56" s="120" t="n"/>
      <c r="O56" s="237" t="n"/>
    </row>
    <row r="57">
      <c r="A57" s="124" t="n"/>
      <c r="B57" s="108" t="n">
        <v>44896</v>
      </c>
      <c r="C57" s="223" t="n"/>
      <c r="D57" s="237" t="n"/>
      <c r="J57" s="87" t="n"/>
      <c r="L57" s="87" t="n"/>
      <c r="M57" s="128" t="n"/>
      <c r="N57" s="156" t="n"/>
      <c r="O57" s="237" t="n"/>
    </row>
    <row r="58">
      <c r="A58" s="124" t="n"/>
      <c r="B58" s="223" t="n"/>
      <c r="C58" s="223" t="n"/>
      <c r="D58" s="237" t="n"/>
      <c r="J58" s="87" t="n"/>
      <c r="L58" s="87" t="n"/>
      <c r="M58" s="128" t="n"/>
      <c r="N58" s="120" t="n"/>
      <c r="O58" s="237" t="n"/>
    </row>
    <row r="59">
      <c r="A59" s="117" t="inlineStr">
        <is>
          <t>CAMILLEROS</t>
        </is>
      </c>
      <c r="B59" s="223" t="n"/>
      <c r="C59" s="223" t="n"/>
      <c r="D59" s="237" t="n"/>
      <c r="J59" s="87" t="n"/>
      <c r="L59" s="87" t="n"/>
      <c r="M59" s="119" t="n"/>
      <c r="N59" s="120" t="n"/>
      <c r="O59" s="237" t="n"/>
    </row>
    <row r="60">
      <c r="A60" s="131" t="n"/>
      <c r="B60" s="223" t="n"/>
      <c r="C60" s="223" t="n"/>
      <c r="D60" s="237" t="n"/>
      <c r="J60" s="87" t="n"/>
      <c r="L60" s="87" t="n"/>
      <c r="M60" s="119" t="n"/>
      <c r="N60" s="120" t="n"/>
      <c r="O60" s="237" t="n"/>
    </row>
    <row r="61">
      <c r="A61" s="124" t="n">
        <v>301</v>
      </c>
      <c r="B61" s="223" t="inlineStr">
        <is>
          <t>Pack x 2 Rollos Camilleros bco s/h 54x100mts Prec</t>
        </is>
      </c>
      <c r="D61" s="87" t="n">
        <v>5304.21</v>
      </c>
      <c r="E61" s="87">
        <f>D61*1.3*1.105</f>
        <v/>
      </c>
      <c r="F61" s="87">
        <f>D61*1.3*1.105/0.9</f>
        <v/>
      </c>
      <c r="G61" s="87">
        <f>F61*1.21</f>
        <v/>
      </c>
      <c r="H61" s="87">
        <f>ROUND(G61/100,0)*100</f>
        <v/>
      </c>
      <c r="J61" s="87" t="n">
        <v>5470.961034000002</v>
      </c>
      <c r="L61" s="87" t="n"/>
      <c r="M61" s="128" t="n"/>
      <c r="N61" s="120" t="n">
        <v>0.1</v>
      </c>
      <c r="O61" s="154" t="n"/>
    </row>
    <row r="62">
      <c r="A62" s="124" t="n"/>
      <c r="B62" s="155" t="n"/>
      <c r="C62" s="223" t="n"/>
      <c r="D62" s="237" t="n"/>
      <c r="J62" s="87" t="n"/>
      <c r="L62" s="87" t="n"/>
      <c r="M62" s="128" t="n"/>
      <c r="N62" s="156" t="n"/>
      <c r="O62" s="237" t="n"/>
    </row>
    <row r="63">
      <c r="A63" s="142" t="inlineStr">
        <is>
          <t>DISPENSERS</t>
        </is>
      </c>
      <c r="B63" s="223" t="n"/>
      <c r="C63" s="223" t="n"/>
      <c r="D63" s="237" t="n"/>
      <c r="J63" s="87" t="n"/>
      <c r="L63" s="87" t="n"/>
      <c r="M63" s="144" t="n"/>
      <c r="N63" s="120" t="n"/>
      <c r="O63" s="237" t="n"/>
    </row>
    <row r="64">
      <c r="A64" s="111" t="n"/>
      <c r="B64" s="223" t="n"/>
      <c r="C64" s="223" t="n"/>
      <c r="D64" s="237" t="n"/>
      <c r="J64" s="87" t="n"/>
      <c r="L64" s="87" t="n"/>
      <c r="M64" s="144" t="n"/>
      <c r="N64" s="120" t="n"/>
      <c r="O64" s="237" t="n"/>
    </row>
    <row r="65">
      <c r="A65" s="124" t="n">
        <v>403</v>
      </c>
      <c r="B65" s="223" t="inlineStr">
        <is>
          <t>Portabobina de Pared</t>
        </is>
      </c>
      <c r="C65" s="223" t="n"/>
      <c r="D65" s="237">
        <f>L65*0.93*0.98</f>
        <v/>
      </c>
      <c r="E65" s="87">
        <f>D65*1.3*1.105</f>
        <v/>
      </c>
      <c r="F65" s="87">
        <f>D65*1.3*1.105/0.9</f>
        <v/>
      </c>
      <c r="G65" s="87">
        <f>F65*1.21</f>
        <v/>
      </c>
      <c r="H65" s="87">
        <f>ROUND(G65/100,0)*100</f>
        <v/>
      </c>
      <c r="J65" s="87" t="n">
        <v>8895.938436</v>
      </c>
      <c r="L65" s="127" t="n">
        <v>10736.8</v>
      </c>
      <c r="M65" s="128" t="n"/>
      <c r="N65" s="120">
        <f>(L65/J65)-1</f>
        <v/>
      </c>
      <c r="O65" s="237" t="n"/>
    </row>
    <row r="66">
      <c r="A66" s="124" t="n">
        <v>404</v>
      </c>
      <c r="B66" s="223" t="inlineStr">
        <is>
          <t>Portarollo para Camilla</t>
        </is>
      </c>
      <c r="C66" s="223" t="n"/>
      <c r="D66" s="237">
        <f>L66*0.93*0.98</f>
        <v/>
      </c>
      <c r="E66" s="87">
        <f>D66*1.3*1.105</f>
        <v/>
      </c>
      <c r="F66" s="87">
        <f>D66*1.3*1.105/0.9</f>
        <v/>
      </c>
      <c r="G66" s="87">
        <f>F66*1.21</f>
        <v/>
      </c>
      <c r="H66" s="87">
        <f>ROUND(G66/100,0)*100</f>
        <v/>
      </c>
      <c r="J66" s="87" t="n">
        <v>0</v>
      </c>
      <c r="L66" s="230" t="n">
        <v>0</v>
      </c>
      <c r="M66" s="128" t="n"/>
      <c r="N66" s="120" t="n"/>
      <c r="O66" s="237" t="n"/>
    </row>
    <row r="67">
      <c r="A67" s="124" t="n">
        <v>418</v>
      </c>
      <c r="B67" s="223" t="inlineStr">
        <is>
          <t>Portabobina de Piso</t>
        </is>
      </c>
      <c r="C67" s="223" t="n"/>
      <c r="D67" s="237">
        <f>L67*0.93*0.98</f>
        <v/>
      </c>
      <c r="E67" s="87">
        <f>D67*1.3*1.105</f>
        <v/>
      </c>
      <c r="F67" s="87">
        <f>D67*1.3*1.105/0.9</f>
        <v/>
      </c>
      <c r="G67" s="87">
        <f>F67*1.21</f>
        <v/>
      </c>
      <c r="H67" s="87">
        <f>ROUND(G67/100,0)*100</f>
        <v/>
      </c>
      <c r="J67" s="87" t="n">
        <v>9785.309898</v>
      </c>
      <c r="L67" s="230" t="n">
        <v>11810.22</v>
      </c>
      <c r="M67" s="128" t="n"/>
      <c r="N67" s="120">
        <f>(L67/J67)-1</f>
        <v/>
      </c>
      <c r="O67" s="237" t="n"/>
    </row>
    <row r="68">
      <c r="A68" s="124" t="n">
        <v>422</v>
      </c>
      <c r="B68" s="223" t="inlineStr">
        <is>
          <t>Dispenser Celmatic Due</t>
        </is>
      </c>
      <c r="C68" s="223" t="n"/>
      <c r="D68" s="237">
        <f>L68*0.93*0.98</f>
        <v/>
      </c>
      <c r="E68" s="87">
        <f>D68*1.3*1.105</f>
        <v/>
      </c>
      <c r="F68" s="87">
        <f>D68*1.3*1.105/0.9</f>
        <v/>
      </c>
      <c r="G68" s="87">
        <f>F68*1.21</f>
        <v/>
      </c>
      <c r="H68" s="87">
        <f>ROUND(G68/100,0)*100</f>
        <v/>
      </c>
      <c r="J68" s="87" t="n">
        <v>12538.239168</v>
      </c>
      <c r="L68" s="230" t="n">
        <v>15132.83</v>
      </c>
      <c r="M68" s="128" t="n"/>
      <c r="N68" s="120">
        <f>(L68/J68)-1</f>
        <v/>
      </c>
      <c r="O68" s="237" t="n"/>
    </row>
    <row r="69">
      <c r="A69" s="124" t="n">
        <v>425</v>
      </c>
      <c r="B69" s="223" t="inlineStr">
        <is>
          <t>Dosificador para Jabón Líquido Recargable</t>
        </is>
      </c>
      <c r="D69" s="237">
        <f>L69*0.93*0.98</f>
        <v/>
      </c>
      <c r="E69" s="87">
        <f>D69*1.3*1.105</f>
        <v/>
      </c>
      <c r="F69" s="87">
        <f>D69*1.3*1.105/0.9</f>
        <v/>
      </c>
      <c r="G69" s="87">
        <f>F69*1.21</f>
        <v/>
      </c>
      <c r="H69" s="87">
        <f>ROUND(G69/100,0)*100</f>
        <v/>
      </c>
      <c r="J69" s="87" t="n">
        <v>4703.41641</v>
      </c>
      <c r="L69" s="230" t="n">
        <v>5676.72</v>
      </c>
      <c r="M69" s="128" t="n"/>
      <c r="N69" s="120">
        <f>(L69/J69)-1</f>
        <v/>
      </c>
      <c r="O69" s="237" t="n"/>
    </row>
    <row r="70">
      <c r="A70" s="124" t="n">
        <v>427</v>
      </c>
      <c r="B70" s="223" t="inlineStr">
        <is>
          <t>Dispenser Para Papel Higienico Racional 350</t>
        </is>
      </c>
      <c r="D70" s="237">
        <f>L70*0.93*0.98</f>
        <v/>
      </c>
      <c r="E70" s="87">
        <f>D70*1.3*1.105</f>
        <v/>
      </c>
      <c r="F70" s="87">
        <f>D70*1.3*1.105/0.9</f>
        <v/>
      </c>
      <c r="G70" s="87">
        <f>F70*1.21</f>
        <v/>
      </c>
      <c r="H70" s="87">
        <f>ROUND(G70/100,0)*100</f>
        <v/>
      </c>
      <c r="J70" s="87" t="n">
        <v>5745.301547999999</v>
      </c>
      <c r="L70" s="230" t="n">
        <v>6934.21</v>
      </c>
      <c r="M70" s="128" t="n"/>
      <c r="N70" s="120">
        <f>(L70/J70)-1</f>
        <v/>
      </c>
      <c r="O70" s="237" t="n"/>
    </row>
    <row r="71">
      <c r="A71" s="124" t="n">
        <v>428</v>
      </c>
      <c r="B71" s="223" t="inlineStr">
        <is>
          <t>Dispenser para Papel Higiénico</t>
        </is>
      </c>
      <c r="C71" s="223" t="n"/>
      <c r="D71" s="237">
        <f>L71*0.93*0.98</f>
        <v/>
      </c>
      <c r="E71" s="87">
        <f>D71*1.3*1.105</f>
        <v/>
      </c>
      <c r="F71" s="87">
        <f>D71*1.3*1.105/0.9</f>
        <v/>
      </c>
      <c r="G71" s="87">
        <f>F71*1.21</f>
        <v/>
      </c>
      <c r="H71" s="87">
        <f>ROUND(G71/100,0)*100</f>
        <v/>
      </c>
      <c r="J71" s="87" t="n">
        <v>6569.954496</v>
      </c>
      <c r="L71" s="230" t="n">
        <v>7929.5</v>
      </c>
      <c r="M71" s="128" t="n"/>
      <c r="N71" s="120">
        <f>(L71/J71)-1</f>
        <v/>
      </c>
      <c r="O71" s="237" t="n"/>
    </row>
    <row r="72">
      <c r="A72" s="124" t="n">
        <v>429</v>
      </c>
      <c r="B72" s="223" t="inlineStr">
        <is>
          <t>Dispenser para Toallas de Papel</t>
        </is>
      </c>
      <c r="C72" s="223" t="n"/>
      <c r="D72" s="237">
        <f>L72*0.93*0.98</f>
        <v/>
      </c>
      <c r="E72" s="87">
        <f>D72*1.3*1.105</f>
        <v/>
      </c>
      <c r="F72" s="87">
        <f>D72*1.3*1.105/0.9</f>
        <v/>
      </c>
      <c r="G72" s="87">
        <f>F72*1.21</f>
        <v/>
      </c>
      <c r="H72" s="87">
        <f>ROUND(G72/100,0)*100</f>
        <v/>
      </c>
      <c r="J72" s="87" t="n">
        <v>4713.469152</v>
      </c>
      <c r="L72" s="230" t="n">
        <v>5688.85</v>
      </c>
      <c r="M72" s="128" t="n"/>
      <c r="N72" s="120">
        <f>(L72/J72)-1</f>
        <v/>
      </c>
      <c r="O72" s="237" t="n"/>
    </row>
    <row r="73">
      <c r="A73" s="124" t="n">
        <v>430</v>
      </c>
      <c r="B73" s="223" t="inlineStr">
        <is>
          <t>Dispenser Para Papel Higienico Racional 600</t>
        </is>
      </c>
      <c r="D73" s="237">
        <f>L73*0.93*0.98</f>
        <v/>
      </c>
      <c r="E73" s="87">
        <f>D73*1.3*1.105</f>
        <v/>
      </c>
      <c r="F73" s="87">
        <f>D73*1.3*1.105/0.9</f>
        <v/>
      </c>
      <c r="G73" s="87">
        <f>F73*1.21</f>
        <v/>
      </c>
      <c r="H73" s="87">
        <f>ROUND(G73/100,0)*100</f>
        <v/>
      </c>
      <c r="J73" s="87" t="n">
        <v>9248.212764</v>
      </c>
      <c r="L73" s="230" t="n">
        <v>11161.98</v>
      </c>
      <c r="M73" s="128" t="n"/>
      <c r="N73" s="120">
        <f>(L73/J73)-1</f>
        <v/>
      </c>
      <c r="O73" s="237" t="n"/>
    </row>
    <row r="74">
      <c r="A74" s="124" t="n"/>
      <c r="B74" s="223" t="n"/>
      <c r="C74" s="223" t="n"/>
      <c r="D74" s="237" t="n"/>
      <c r="J74" s="87" t="n"/>
      <c r="L74" s="87" t="n"/>
      <c r="M74" s="128" t="n"/>
      <c r="N74" s="120" t="n"/>
      <c r="O74" s="237" t="n"/>
    </row>
    <row r="75">
      <c r="A75" s="124" t="n"/>
      <c r="B75" s="223" t="n"/>
      <c r="C75" s="223" t="n"/>
      <c r="D75" s="237" t="n"/>
      <c r="J75" s="87" t="n"/>
      <c r="L75" s="87" t="n"/>
      <c r="M75" s="128" t="n"/>
      <c r="N75" s="120" t="n"/>
      <c r="O75" s="237" t="n"/>
    </row>
    <row r="76">
      <c r="A76" s="124" t="n"/>
      <c r="B76" s="223" t="n"/>
      <c r="C76" s="223" t="n"/>
      <c r="D76" s="237" t="n"/>
      <c r="J76" s="87" t="n"/>
      <c r="L76" s="87" t="n"/>
      <c r="M76" s="128" t="n"/>
      <c r="N76" s="120" t="n"/>
      <c r="O76" s="237" t="n"/>
    </row>
    <row r="77">
      <c r="A77" s="117" t="inlineStr">
        <is>
          <t>LIMPIEZA INDUSTRIAL</t>
        </is>
      </c>
      <c r="B77" s="271" t="n"/>
      <c r="C77" s="223" t="n"/>
      <c r="D77" s="237" t="n"/>
      <c r="J77" s="87" t="n"/>
      <c r="L77" s="87" t="n"/>
      <c r="M77" s="119" t="n"/>
      <c r="O77" s="237" t="n"/>
    </row>
    <row r="78">
      <c r="A78" s="131" t="n"/>
      <c r="B78" s="223" t="n"/>
      <c r="C78" s="223" t="n"/>
      <c r="D78" s="237" t="n"/>
      <c r="J78" s="87" t="n"/>
      <c r="L78" s="87" t="n"/>
      <c r="M78" s="119" t="n"/>
      <c r="N78" s="120" t="n"/>
      <c r="O78" s="237" t="n"/>
    </row>
    <row r="79">
      <c r="A79" s="182" t="n">
        <v>101</v>
      </c>
      <c r="B79" s="224" t="inlineStr">
        <is>
          <t>Pack x 6 bobinas 22,5 cm x 300 porciones</t>
        </is>
      </c>
      <c r="D79" s="184">
        <f>L79*0.93*0.98</f>
        <v/>
      </c>
      <c r="E79" s="87">
        <f>D79*1.3*1.105</f>
        <v/>
      </c>
      <c r="F79" s="87">
        <f>D79*1.3*1.105/0.9</f>
        <v/>
      </c>
      <c r="G79" s="87">
        <f>F79*1.21</f>
        <v/>
      </c>
      <c r="H79" s="87">
        <f>ROUND(G79/100,0)*100</f>
        <v/>
      </c>
      <c r="J79" s="87" t="n">
        <v>7070.887278000001</v>
      </c>
      <c r="L79" s="127" t="n">
        <v>8534.1</v>
      </c>
      <c r="M79" s="128" t="n"/>
      <c r="N79" s="120">
        <f>(L79/J79)-1</f>
        <v/>
      </c>
      <c r="O79" s="184" t="n"/>
    </row>
    <row r="80">
      <c r="A80" s="124" t="n">
        <v>109</v>
      </c>
      <c r="B80" s="223" t="inlineStr">
        <is>
          <t>Pack x 2 bobinas papel original 22,5 cm x 270 mts</t>
        </is>
      </c>
      <c r="D80" s="237">
        <f>L80*0.93*0.98</f>
        <v/>
      </c>
      <c r="E80" s="87">
        <f>D80*1.3*1.105</f>
        <v/>
      </c>
      <c r="F80" s="87">
        <f>D80*1.3*1.105/0.9</f>
        <v/>
      </c>
      <c r="G80" s="87">
        <f>F80*1.21</f>
        <v/>
      </c>
      <c r="H80" s="87">
        <f>ROUND(G80/100,0)*100</f>
        <v/>
      </c>
      <c r="J80" s="87" t="n">
        <v>5518.472315999999</v>
      </c>
      <c r="L80" s="230" t="n">
        <v>6660.42</v>
      </c>
      <c r="M80" s="128" t="n"/>
      <c r="N80" s="120">
        <f>(L80/J80)-1</f>
        <v/>
      </c>
      <c r="O80" s="237" t="n"/>
    </row>
    <row r="81">
      <c r="A81" s="182" t="n">
        <v>123</v>
      </c>
      <c r="B81" s="224" t="inlineStr">
        <is>
          <t>Pack x 2 bobinas Papel Original 900 hjs/360 mts.</t>
        </is>
      </c>
      <c r="D81" s="184">
        <f>L81*0.93*0.98</f>
        <v/>
      </c>
      <c r="E81" s="87">
        <f>D81*1.3*1.105</f>
        <v/>
      </c>
      <c r="F81" s="87">
        <f>D81*1.3*1.105/0.9</f>
        <v/>
      </c>
      <c r="G81" s="87">
        <f>F81*1.21</f>
        <v/>
      </c>
      <c r="H81" s="87">
        <f>ROUND(G81/100,0)*100</f>
        <v/>
      </c>
      <c r="J81" s="87" t="n">
        <v>8079.943788000001</v>
      </c>
      <c r="L81" s="230" t="n">
        <v>9751.969999999999</v>
      </c>
      <c r="M81" s="128" t="n"/>
      <c r="N81" s="120">
        <f>(L81/J81)-1</f>
        <v/>
      </c>
      <c r="O81" s="184" t="n"/>
    </row>
    <row r="82">
      <c r="A82" s="124" t="n">
        <v>809</v>
      </c>
      <c r="B82" s="223" t="inlineStr">
        <is>
          <t>Pack x 4 Rollos 600 porc 25x25 Rep Tambo</t>
        </is>
      </c>
      <c r="D82" s="237">
        <f>L82*0.93*0.98</f>
        <v/>
      </c>
      <c r="E82" s="87">
        <f>D82*1.3*1.105</f>
        <v/>
      </c>
      <c r="F82" s="87">
        <f>D82*1.3*1.105/0.9</f>
        <v/>
      </c>
      <c r="G82" s="87">
        <f>F82*1.21</f>
        <v/>
      </c>
      <c r="H82" s="87">
        <f>ROUND(G82/100,0)*100</f>
        <v/>
      </c>
      <c r="J82" s="87" t="n">
        <v>8420.798273999999</v>
      </c>
      <c r="L82" s="230" t="n">
        <v>10163.34</v>
      </c>
      <c r="M82" s="128" t="n"/>
      <c r="N82" s="120">
        <f>(L82/J82)-1</f>
        <v/>
      </c>
      <c r="O82" s="237" t="n"/>
    </row>
    <row r="83">
      <c r="A83" s="124" t="n"/>
      <c r="B83" s="223" t="n"/>
      <c r="C83" s="223" t="n"/>
      <c r="D83" s="237" t="n"/>
      <c r="J83" s="87" t="n"/>
      <c r="L83" s="87" t="n"/>
      <c r="M83" s="128" t="n"/>
      <c r="N83" s="120" t="n"/>
      <c r="O83" s="237" t="n"/>
    </row>
    <row r="84">
      <c r="A84" s="124" t="n"/>
      <c r="B84" s="223" t="n"/>
      <c r="C84" s="223" t="n"/>
      <c r="D84" s="237" t="n"/>
      <c r="J84" s="87" t="n"/>
      <c r="L84" s="87" t="n"/>
      <c r="M84" s="128" t="n"/>
      <c r="N84" s="120" t="n"/>
      <c r="O84" s="237" t="n"/>
    </row>
    <row r="85">
      <c r="A85" s="117" t="inlineStr">
        <is>
          <t>PAÑOS DE LIMPIEZA DE ALTA PERFORMANCE</t>
        </is>
      </c>
      <c r="B85" s="223" t="n"/>
      <c r="C85" s="223" t="n"/>
      <c r="D85" s="237" t="n"/>
      <c r="J85" s="87" t="n"/>
      <c r="L85" s="87" t="n"/>
      <c r="M85" s="119" t="n"/>
      <c r="N85" s="120" t="n"/>
      <c r="O85" s="237" t="n"/>
    </row>
    <row r="86">
      <c r="A86" s="131" t="n"/>
      <c r="B86" s="223" t="n"/>
      <c r="C86" s="223" t="n"/>
      <c r="D86" s="237" t="n"/>
      <c r="J86" s="87" t="n"/>
      <c r="L86" s="87" t="n"/>
      <c r="M86" s="119" t="n"/>
      <c r="N86" s="120" t="n"/>
      <c r="O86" s="237" t="n"/>
    </row>
    <row r="87">
      <c r="A87" s="157" t="inlineStr">
        <is>
          <t>Linea Softclean</t>
        </is>
      </c>
      <c r="C87" s="158" t="n"/>
      <c r="D87" s="169" t="n"/>
      <c r="J87" s="87" t="n"/>
      <c r="L87" s="87" t="n"/>
      <c r="M87" s="119" t="n"/>
      <c r="O87" s="169" t="n"/>
    </row>
    <row r="88">
      <c r="A88" s="186" t="n">
        <v>601</v>
      </c>
      <c r="B88" s="223" t="inlineStr">
        <is>
          <t>Rollo precortado Maxi blanco 30 x 38 x 500 softclean</t>
        </is>
      </c>
      <c r="D88" s="166">
        <f>L88*0.93*0.98</f>
        <v/>
      </c>
      <c r="E88" s="87">
        <f>D88*1.3*1.105</f>
        <v/>
      </c>
      <c r="F88" s="87">
        <f>D88*1.3*1.105/0.9</f>
        <v/>
      </c>
      <c r="G88" s="87">
        <f>F88*1.21</f>
        <v/>
      </c>
      <c r="H88" s="87">
        <f>ROUND(G88/100,0)*100</f>
        <v/>
      </c>
      <c r="J88" s="87" t="n">
        <v>49.607502</v>
      </c>
      <c r="L88" s="160" t="n">
        <v>54.43</v>
      </c>
      <c r="M88" s="167" t="n"/>
      <c r="N88" s="120">
        <f>(L88/J88)-1</f>
        <v/>
      </c>
      <c r="O88" s="166" t="n"/>
    </row>
    <row r="89">
      <c r="A89" s="186" t="n">
        <v>605</v>
      </c>
      <c r="B89" s="223" t="inlineStr">
        <is>
          <t>Caja x 250 Paños Ultratex de 34cm x 60cm</t>
        </is>
      </c>
      <c r="D89" s="166">
        <f>L89*0.93*0.98</f>
        <v/>
      </c>
      <c r="E89" s="87">
        <f>D89*1.3*1.105</f>
        <v/>
      </c>
      <c r="F89" s="87">
        <f>D89*1.3*1.105/0.9</f>
        <v/>
      </c>
      <c r="G89" s="87">
        <f>F89*1.21</f>
        <v/>
      </c>
      <c r="H89" s="87">
        <f>ROUND(G89/100,0)*100</f>
        <v/>
      </c>
      <c r="J89" s="87" t="n">
        <v>208.16376</v>
      </c>
      <c r="L89" s="240" t="n">
        <v>228.4</v>
      </c>
      <c r="M89" s="167" t="n"/>
      <c r="N89" s="120">
        <f>(L89/J89)-1</f>
        <v/>
      </c>
      <c r="O89" s="166" t="n"/>
    </row>
    <row r="90">
      <c r="A90" s="186" t="n">
        <v>606</v>
      </c>
      <c r="B90" s="223" t="inlineStr">
        <is>
          <t>Caja x 300 Paños Ultratex de 45,7cm x 53,3cm</t>
        </is>
      </c>
      <c r="D90" s="166">
        <f>L90*0.93*0.98</f>
        <v/>
      </c>
      <c r="E90" s="87">
        <f>D90*1.3*1.105</f>
        <v/>
      </c>
      <c r="F90" s="87">
        <f>D90*1.3*1.105/0.9</f>
        <v/>
      </c>
      <c r="G90" s="87">
        <f>F90*1.21</f>
        <v/>
      </c>
      <c r="H90" s="87">
        <f>ROUND(G90/100,0)*100</f>
        <v/>
      </c>
      <c r="J90" s="87" t="n">
        <v>294.509796</v>
      </c>
      <c r="L90" s="240" t="n">
        <v>323.14</v>
      </c>
      <c r="M90" s="167" t="n"/>
      <c r="N90" s="120">
        <f>(L90/J90)-1</f>
        <v/>
      </c>
      <c r="O90" s="166" t="n"/>
    </row>
    <row r="91">
      <c r="A91" s="186" t="n">
        <v>608</v>
      </c>
      <c r="B91" s="223" t="inlineStr">
        <is>
          <t>Repuesto x 2 rollos Softclean x 350 mts</t>
        </is>
      </c>
      <c r="D91" s="166">
        <f>L91*0.93*0.98</f>
        <v/>
      </c>
      <c r="E91" s="87">
        <f>D91*1.3*1.105</f>
        <v/>
      </c>
      <c r="F91" s="87">
        <f>D91*1.3*1.105/0.9</f>
        <v/>
      </c>
      <c r="G91" s="87">
        <f>F91*1.21</f>
        <v/>
      </c>
      <c r="H91" s="87">
        <f>ROUND(G91/100,0)*100</f>
        <v/>
      </c>
      <c r="J91" s="87" t="n">
        <v>45.050502</v>
      </c>
      <c r="L91" s="240" t="n">
        <v>49.43</v>
      </c>
      <c r="M91" s="167" t="n"/>
      <c r="N91" s="120">
        <f>(L91/J91)-1</f>
        <v/>
      </c>
      <c r="O91" s="166" t="n"/>
    </row>
    <row r="92">
      <c r="A92" s="186" t="n">
        <v>612</v>
      </c>
      <c r="B92" s="223" t="inlineStr">
        <is>
          <t>Contenedor Mini Softclean x 150 porc. 13 x 26.5cm</t>
        </is>
      </c>
      <c r="D92" s="166">
        <f>L92*0.93*0.98</f>
        <v/>
      </c>
      <c r="E92" s="87">
        <f>D92*1.3*1.105</f>
        <v/>
      </c>
      <c r="F92" s="87">
        <f>D92*1.3*1.105/0.9</f>
        <v/>
      </c>
      <c r="G92" s="87">
        <f>F92*1.21</f>
        <v/>
      </c>
      <c r="H92" s="87">
        <f>ROUND(G92/100,0)*100</f>
        <v/>
      </c>
      <c r="J92" s="87" t="n">
        <v>6.862842000000001</v>
      </c>
      <c r="L92" s="240" t="n">
        <v>7.53</v>
      </c>
      <c r="M92" s="167" t="n"/>
      <c r="N92" s="120">
        <f>(L92/J92)-1</f>
        <v/>
      </c>
      <c r="O92" s="166" t="n"/>
    </row>
    <row r="93">
      <c r="A93" s="186" t="n">
        <v>614</v>
      </c>
      <c r="B93" s="223" t="inlineStr">
        <is>
          <t>Rollo SoftClean S 70x 875 Porciones de 30x 25</t>
        </is>
      </c>
      <c r="D93" s="166">
        <f>L93*0.93*0.98</f>
        <v/>
      </c>
      <c r="E93" s="87">
        <f>D93*1.3*1.105</f>
        <v/>
      </c>
      <c r="F93" s="87">
        <f>D93*1.3*1.105/0.9</f>
        <v/>
      </c>
      <c r="G93" s="87">
        <f>F93*1.21</f>
        <v/>
      </c>
      <c r="H93" s="87">
        <f>ROUND(G93/100,0)*100</f>
        <v/>
      </c>
      <c r="J93" s="87" t="n">
        <v>54.27387</v>
      </c>
      <c r="L93" s="240" t="n">
        <v>59.55</v>
      </c>
      <c r="M93" s="167" t="n"/>
      <c r="N93" s="120">
        <f>(L93/J93)-1</f>
        <v/>
      </c>
      <c r="O93" s="166" t="n"/>
    </row>
    <row r="94">
      <c r="A94" s="186" t="n">
        <v>615</v>
      </c>
      <c r="B94" s="223" t="inlineStr">
        <is>
          <t>Contenedor Center Softclean x 350 22,5 x26,5</t>
        </is>
      </c>
      <c r="D94" s="166">
        <f>L94*0.93*0.98</f>
        <v/>
      </c>
      <c r="E94" s="87">
        <f>D94*1.3*1.105</f>
        <v/>
      </c>
      <c r="F94" s="87">
        <f>D94*1.3*1.105/0.9</f>
        <v/>
      </c>
      <c r="G94" s="87">
        <f>F94*1.21</f>
        <v/>
      </c>
      <c r="H94" s="87">
        <f>ROUND(G94/100,0)*100</f>
        <v/>
      </c>
      <c r="J94" s="87" t="n">
        <v>23.60526</v>
      </c>
      <c r="L94" s="240" t="n">
        <v>25.9</v>
      </c>
      <c r="M94" s="167" t="n"/>
      <c r="N94" s="120">
        <f>(L94/J94)-1</f>
        <v/>
      </c>
      <c r="O94" s="166" t="n"/>
    </row>
    <row r="95">
      <c r="A95" s="186" t="n">
        <v>616</v>
      </c>
      <c r="B95" s="223" t="inlineStr">
        <is>
          <t>Rollo Mini Sofclean x 190 porciones de 22,5 x 26,5</t>
        </is>
      </c>
      <c r="D95" s="166">
        <f>L95*0.93*0.98</f>
        <v/>
      </c>
      <c r="E95" s="87">
        <f>D95*1.3*1.105</f>
        <v/>
      </c>
      <c r="F95" s="87">
        <f>D95*1.3*1.105/0.9</f>
        <v/>
      </c>
      <c r="G95" s="87">
        <f>F95*1.21</f>
        <v/>
      </c>
      <c r="H95" s="87">
        <f>ROUND(G95/100,0)*100</f>
        <v/>
      </c>
      <c r="J95" s="87" t="n">
        <v>11.793516</v>
      </c>
      <c r="L95" s="240" t="n">
        <v>12.94</v>
      </c>
      <c r="M95" s="167" t="n"/>
      <c r="N95" s="120">
        <f>(L95/J95)-1</f>
        <v/>
      </c>
      <c r="O95" s="166" t="n"/>
    </row>
    <row r="96">
      <c r="A96" s="186" t="n">
        <v>617</v>
      </c>
      <c r="B96" s="223" t="inlineStr">
        <is>
          <t>Caja 1/4 Folded Softclean 500 30 x 30 cm Celeste</t>
        </is>
      </c>
      <c r="D96" s="166">
        <f>L96*0.93*0.98</f>
        <v/>
      </c>
      <c r="E96" s="87">
        <f>D96*1.3*1.105</f>
        <v/>
      </c>
      <c r="F96" s="87">
        <f>D96*1.3*1.105/0.9</f>
        <v/>
      </c>
      <c r="G96" s="87">
        <f>F96*1.21</f>
        <v/>
      </c>
      <c r="H96" s="87">
        <f>ROUND(G96/100,0)*100</f>
        <v/>
      </c>
      <c r="J96" s="87" t="n">
        <v>39.153744</v>
      </c>
      <c r="L96" s="240" t="n">
        <v>42.96</v>
      </c>
      <c r="M96" s="167" t="n"/>
      <c r="N96" s="120">
        <f>(L96/J96)-1</f>
        <v/>
      </c>
      <c r="O96" s="166" t="n"/>
    </row>
    <row r="97">
      <c r="A97" s="186" t="n">
        <v>618</v>
      </c>
      <c r="B97" s="223" t="inlineStr">
        <is>
          <t>Rollo Precortado Softclean 600 porciones de 30x 26,5</t>
        </is>
      </c>
      <c r="D97" s="166">
        <f>L97*0.93*0.98</f>
        <v/>
      </c>
      <c r="E97" s="87">
        <f>D97*1.3*1.105</f>
        <v/>
      </c>
      <c r="F97" s="87">
        <f>D97*1.3*1.105/0.9</f>
        <v/>
      </c>
      <c r="G97" s="87">
        <f>F97*1.21</f>
        <v/>
      </c>
      <c r="H97" s="87">
        <f>ROUND(G97/100,0)*100</f>
        <v/>
      </c>
      <c r="J97" s="87" t="n">
        <v>39.153744</v>
      </c>
      <c r="L97" s="240" t="n">
        <v>42.96</v>
      </c>
      <c r="M97" s="167" t="n"/>
      <c r="N97" s="120">
        <f>(L97/J97)-1</f>
        <v/>
      </c>
      <c r="O97" s="166" t="n"/>
    </row>
    <row r="98">
      <c r="A98" s="186" t="n"/>
      <c r="B98" s="223" t="n"/>
      <c r="C98" s="223" t="n"/>
      <c r="D98" s="166" t="n"/>
      <c r="J98" s="87" t="n"/>
      <c r="L98" s="87" t="n"/>
      <c r="M98" s="167" t="n"/>
      <c r="N98" s="120" t="n"/>
      <c r="O98" s="166" t="n"/>
    </row>
    <row r="99">
      <c r="A99" s="168" t="inlineStr">
        <is>
          <t>Linea Sontara</t>
        </is>
      </c>
      <c r="C99" s="158" t="n"/>
      <c r="D99" s="169" t="n"/>
      <c r="J99" s="87" t="n"/>
      <c r="L99" s="87" t="n"/>
      <c r="M99" s="170" t="n"/>
      <c r="O99" s="169" t="n"/>
    </row>
    <row r="100">
      <c r="A100" s="186" t="n">
        <v>604</v>
      </c>
      <c r="B100" s="223" t="inlineStr">
        <is>
          <t>Rollo precortado Maxi de 30 x38 blanco</t>
        </is>
      </c>
      <c r="D100" s="166">
        <f>L100*0.93*0.98</f>
        <v/>
      </c>
      <c r="E100" s="87">
        <f>D100*1.3*1.105</f>
        <v/>
      </c>
      <c r="F100" s="87">
        <f>D100*1.3*1.105/0.9</f>
        <v/>
      </c>
      <c r="G100" s="87">
        <f>F100*1.21</f>
        <v/>
      </c>
      <c r="H100" s="87">
        <f>ROUND(G100/100,0)*100</f>
        <v/>
      </c>
      <c r="J100" s="87" t="n">
        <v>103.389216</v>
      </c>
      <c r="L100" s="160" t="n">
        <v>113.44</v>
      </c>
      <c r="M100" s="167" t="n"/>
      <c r="N100" s="120">
        <f>(L100/J100)-1</f>
        <v/>
      </c>
      <c r="O100" s="166" t="n"/>
    </row>
    <row r="101">
      <c r="A101" s="186" t="n">
        <v>619</v>
      </c>
      <c r="B101" s="223" t="inlineStr">
        <is>
          <t>Centerfeed Sontara Celeste 350 porc22,5 x 26,5</t>
        </is>
      </c>
      <c r="D101" s="166">
        <f>L101*0.93*0.98</f>
        <v/>
      </c>
      <c r="E101" s="87">
        <f>D101*1.3*1.105</f>
        <v/>
      </c>
      <c r="F101" s="87">
        <f>D101*1.3*1.105/0.9</f>
        <v/>
      </c>
      <c r="G101" s="87">
        <f>F101*1.21</f>
        <v/>
      </c>
      <c r="H101" s="87">
        <f>ROUND(G101/100,0)*100</f>
        <v/>
      </c>
      <c r="J101" s="87" t="n">
        <v>52.441956</v>
      </c>
      <c r="L101" s="240" t="n">
        <v>57.54</v>
      </c>
      <c r="M101" s="167" t="n"/>
      <c r="N101" s="120">
        <f>(L101/J101)-1</f>
        <v/>
      </c>
      <c r="O101" s="166" t="n"/>
    </row>
    <row r="102">
      <c r="A102" s="186" t="n">
        <v>620</v>
      </c>
      <c r="B102" s="223" t="inlineStr">
        <is>
          <t>Rollo prec Sontara por 600 porc 30 x26,5 celeste</t>
        </is>
      </c>
      <c r="D102" s="166">
        <f>L102*0.93*0.98</f>
        <v/>
      </c>
      <c r="E102" s="87">
        <f>D102*1.3*1.105</f>
        <v/>
      </c>
      <c r="F102" s="87">
        <f>D102*1.3*1.105/0.9</f>
        <v/>
      </c>
      <c r="G102" s="87">
        <f>F102*1.21</f>
        <v/>
      </c>
      <c r="H102" s="87">
        <f>ROUND(G102/100,0)*100</f>
        <v/>
      </c>
      <c r="J102" s="87" t="n">
        <v>97.34663400000001</v>
      </c>
      <c r="L102" s="240" t="n">
        <v>106.81</v>
      </c>
      <c r="M102" s="167" t="n"/>
      <c r="N102" s="120">
        <f>(L102/J102)-1</f>
        <v/>
      </c>
      <c r="O102" s="166" t="n"/>
    </row>
    <row r="103">
      <c r="A103" s="186" t="n">
        <v>621</v>
      </c>
      <c r="B103" s="223" t="inlineStr">
        <is>
          <t>Rollo Sontara Mini x 190 porc 22,5 x26,5 celeste</t>
        </is>
      </c>
      <c r="D103" s="166">
        <f>L103*0.93*0.98</f>
        <v/>
      </c>
      <c r="E103" s="87">
        <f>D103*1.3*1.105</f>
        <v/>
      </c>
      <c r="F103" s="87">
        <f>D103*1.3*1.105/0.9</f>
        <v/>
      </c>
      <c r="G103" s="87">
        <f>F103*1.21</f>
        <v/>
      </c>
      <c r="H103" s="87">
        <f>ROUND(G103/100,0)*100</f>
        <v/>
      </c>
      <c r="J103" s="87" t="n">
        <v>23.823996</v>
      </c>
      <c r="L103" s="240" t="n">
        <v>26.14</v>
      </c>
      <c r="M103" s="167" t="n"/>
      <c r="N103" s="120">
        <f>(L103/J103)-1</f>
        <v/>
      </c>
      <c r="O103" s="166" t="n"/>
    </row>
    <row r="104">
      <c r="A104" s="186" t="n">
        <v>627</v>
      </c>
      <c r="B104" s="223" t="inlineStr">
        <is>
          <t>SMP 300 Paños de 22,5 cm x 22,5 cm</t>
        </is>
      </c>
      <c r="D104" s="166">
        <f>L104*0.93*0.98</f>
        <v/>
      </c>
      <c r="E104" s="87">
        <f>D104*1.3*1.105</f>
        <v/>
      </c>
      <c r="F104" s="87">
        <f>D104*1.3*1.105/0.9</f>
        <v/>
      </c>
      <c r="G104" s="87">
        <f>F104*1.21</f>
        <v/>
      </c>
      <c r="H104" s="87">
        <f>ROUND(G104/100,0)*100</f>
        <v/>
      </c>
      <c r="J104" s="87" t="n">
        <v>62.92305600000001</v>
      </c>
      <c r="L104" s="240" t="n">
        <v>69.04000000000001</v>
      </c>
      <c r="M104" s="167" t="n"/>
      <c r="N104" s="120">
        <f>(L104/J104)-1</f>
        <v/>
      </c>
      <c r="O104" s="166" t="n"/>
    </row>
    <row r="105">
      <c r="A105" s="171" t="n">
        <v>645</v>
      </c>
      <c r="B105" s="175" t="inlineStr">
        <is>
          <t>Caja por 500Paños Sontara de 30 x 30 cm celeste</t>
        </is>
      </c>
      <c r="D105" s="166">
        <f>L105*0.93*0.98</f>
        <v/>
      </c>
      <c r="E105" s="87">
        <f>D105*1.3*1.105</f>
        <v/>
      </c>
      <c r="F105" s="87">
        <f>D105*1.3*1.105/0.9</f>
        <v/>
      </c>
      <c r="G105" s="87">
        <f>F105*1.21</f>
        <v/>
      </c>
      <c r="H105" s="87">
        <f>ROUND(G105/100,0)*100</f>
        <v/>
      </c>
      <c r="J105" s="87" t="n">
        <v>69.211716</v>
      </c>
      <c r="L105" s="240" t="n">
        <v>75.94</v>
      </c>
      <c r="M105" s="173" t="n"/>
      <c r="N105" s="177">
        <f>(L105/J105)-1</f>
        <v/>
      </c>
      <c r="O105" s="166" t="n"/>
    </row>
    <row r="106">
      <c r="A106" s="186" t="n">
        <v>656</v>
      </c>
      <c r="B106" s="175" t="inlineStr">
        <is>
          <t>Caja por 400 Paños Sontara de 30 x 30 cm Blancos</t>
        </is>
      </c>
      <c r="D106" s="166">
        <f>L106*0.93*0.98</f>
        <v/>
      </c>
      <c r="E106" s="87">
        <f>D106*1.3*1.105</f>
        <v/>
      </c>
      <c r="F106" s="87">
        <f>D106*1.3*1.105/0.9</f>
        <v/>
      </c>
      <c r="G106" s="87">
        <f>F106*1.21</f>
        <v/>
      </c>
      <c r="H106" s="87">
        <f>ROUND(G106/100,0)*100</f>
        <v/>
      </c>
      <c r="J106" s="87" t="n">
        <v>66.978786</v>
      </c>
      <c r="L106" s="240" t="n">
        <v>73.48999999999999</v>
      </c>
      <c r="M106" s="167" t="n"/>
      <c r="N106" s="177">
        <f>(L106/J106)-1</f>
        <v/>
      </c>
      <c r="O106" s="166" t="n"/>
    </row>
    <row r="107">
      <c r="A107" s="223" t="n"/>
      <c r="B107" s="175" t="n"/>
      <c r="C107" s="175" t="n"/>
      <c r="D107" s="215" t="n"/>
      <c r="J107" s="87" t="n"/>
      <c r="L107" s="87" t="n"/>
      <c r="M107" s="176" t="n"/>
      <c r="N107" s="177" t="n"/>
      <c r="O107" s="215" t="n"/>
    </row>
    <row r="108">
      <c r="A108" s="223" t="n"/>
      <c r="B108" s="175" t="n"/>
      <c r="C108" s="223" t="n"/>
      <c r="D108" s="215" t="n"/>
      <c r="J108" s="87" t="n"/>
      <c r="L108" s="87" t="n"/>
      <c r="M108" s="176" t="n"/>
      <c r="N108" s="177" t="n"/>
      <c r="O108" s="215" t="n"/>
    </row>
    <row r="109">
      <c r="A109" s="223" t="n"/>
      <c r="B109" s="175" t="n"/>
      <c r="C109" s="223" t="n"/>
      <c r="D109" s="215" t="n"/>
      <c r="J109" s="87" t="n"/>
      <c r="L109" s="87" t="n"/>
      <c r="M109" s="176" t="n"/>
      <c r="N109" s="177" t="n"/>
      <c r="O109" s="215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J110" s="87" t="n"/>
      <c r="L110" s="87" t="n"/>
      <c r="M110" s="144" t="n"/>
      <c r="O110" s="215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J111" s="87" t="n"/>
      <c r="L111" s="87" t="n"/>
      <c r="M111" s="144" t="n"/>
      <c r="O111" s="215" t="n"/>
    </row>
    <row r="112">
      <c r="J112" s="87" t="n"/>
      <c r="L112" s="87" t="n"/>
      <c r="M112" s="105" t="n"/>
      <c r="N112" s="106" t="n"/>
    </row>
    <row r="113">
      <c r="J113" s="87" t="n"/>
      <c r="L113" s="87" t="n"/>
      <c r="M113" s="105" t="n"/>
      <c r="N113" s="106" t="n"/>
    </row>
    <row r="114">
      <c r="J114" s="87" t="n"/>
      <c r="L114" s="87" t="n"/>
      <c r="M114" s="105" t="n"/>
      <c r="N114" s="106" t="n"/>
    </row>
    <row r="115">
      <c r="J115" s="87" t="n"/>
      <c r="L115" s="87" t="n"/>
      <c r="M115" s="105" t="n"/>
      <c r="N115" s="106" t="n"/>
    </row>
    <row r="116">
      <c r="J116" s="87" t="n"/>
      <c r="L116" s="87" t="n"/>
      <c r="M116" s="105" t="n"/>
      <c r="N116" s="106" t="n"/>
    </row>
    <row r="117">
      <c r="J117" s="87" t="n"/>
      <c r="L117" s="87" t="n"/>
      <c r="M117" s="105" t="n"/>
      <c r="N117" s="106" t="n"/>
    </row>
    <row r="118">
      <c r="J118" s="87" t="n"/>
      <c r="L118" s="87" t="n"/>
      <c r="M118" s="105" t="n"/>
      <c r="N118" s="106" t="n"/>
    </row>
    <row r="119">
      <c r="J119" s="87" t="n"/>
      <c r="L119" s="87" t="n"/>
      <c r="M119" s="105" t="n"/>
      <c r="N119" s="106" t="n"/>
    </row>
    <row r="120">
      <c r="J120" s="87" t="n"/>
      <c r="L120" s="87" t="n"/>
      <c r="M120" s="105" t="n"/>
      <c r="N120" s="106" t="n"/>
    </row>
    <row r="121">
      <c r="J121" s="87" t="n"/>
      <c r="L121" s="87" t="n"/>
      <c r="M121" s="105" t="n"/>
      <c r="N121" s="106" t="n"/>
    </row>
    <row r="122">
      <c r="J122" s="87" t="n"/>
      <c r="L122" s="87" t="n"/>
      <c r="M122" s="105" t="n"/>
      <c r="N122" s="106" t="n"/>
    </row>
    <row r="123">
      <c r="J123" s="87" t="n"/>
      <c r="L123" s="87" t="n"/>
      <c r="M123" s="105" t="n"/>
      <c r="N123" s="106" t="n"/>
    </row>
    <row r="124">
      <c r="J124" s="87" t="n"/>
      <c r="L124" s="87" t="n"/>
      <c r="M124" s="105" t="n"/>
      <c r="N124" s="106" t="n"/>
    </row>
    <row r="125">
      <c r="J125" s="87" t="n"/>
      <c r="L125" s="87" t="n"/>
      <c r="M125" s="105" t="n"/>
      <c r="N125" s="106" t="n"/>
    </row>
    <row r="126">
      <c r="J126" s="87" t="n"/>
      <c r="L126" s="87" t="n"/>
      <c r="M126" s="105" t="n"/>
      <c r="N126" s="106" t="n"/>
    </row>
    <row r="127">
      <c r="J127" s="87" t="n"/>
      <c r="L127" s="87" t="n"/>
      <c r="M127" s="105" t="n"/>
      <c r="N127" s="106" t="n"/>
    </row>
    <row r="128">
      <c r="J128" s="87" t="n"/>
      <c r="L128" s="87" t="n"/>
      <c r="M128" s="105" t="n"/>
      <c r="N128" s="106" t="n"/>
    </row>
    <row r="129">
      <c r="J129" s="87" t="n"/>
      <c r="L129" s="87" t="n"/>
      <c r="M129" s="105" t="n"/>
      <c r="N129" s="106" t="n"/>
    </row>
    <row r="130">
      <c r="J130" s="87" t="n"/>
      <c r="L130" s="87" t="n"/>
      <c r="M130" s="105" t="n"/>
      <c r="N130" s="106" t="n"/>
    </row>
    <row r="131">
      <c r="J131" s="87" t="n"/>
      <c r="L131" s="87" t="n"/>
      <c r="M131" s="105" t="n"/>
      <c r="N131" s="106" t="n"/>
    </row>
    <row r="132">
      <c r="J132" s="87" t="n"/>
      <c r="L132" s="87" t="n"/>
      <c r="M132" s="105" t="n"/>
      <c r="N132" s="106" t="n"/>
    </row>
    <row r="133">
      <c r="J133" s="87" t="n"/>
      <c r="L133" s="87" t="n"/>
      <c r="M133" s="105" t="n"/>
      <c r="N133" s="106" t="n"/>
    </row>
    <row r="134">
      <c r="J134" s="87" t="n"/>
      <c r="L134" s="87" t="n"/>
      <c r="M134" s="105" t="n"/>
      <c r="N134" s="106" t="n"/>
    </row>
    <row r="135">
      <c r="J135" s="87" t="n"/>
      <c r="L135" s="87" t="n"/>
      <c r="M135" s="105" t="n"/>
      <c r="N135" s="106" t="n"/>
    </row>
    <row r="136">
      <c r="J136" s="87" t="n"/>
      <c r="L136" s="87" t="n"/>
      <c r="M136" s="105" t="n"/>
      <c r="N136" s="106" t="n"/>
    </row>
    <row r="137">
      <c r="J137" s="87" t="n"/>
      <c r="L137" s="87" t="n"/>
      <c r="M137" s="105" t="n"/>
      <c r="N137" s="106" t="n"/>
    </row>
    <row r="138">
      <c r="J138" s="87" t="n"/>
      <c r="L138" s="87" t="n"/>
      <c r="M138" s="105" t="n"/>
      <c r="N138" s="106" t="n"/>
    </row>
    <row r="139">
      <c r="J139" s="87" t="n"/>
      <c r="L139" s="87" t="n"/>
      <c r="M139" s="105" t="n"/>
      <c r="N139" s="106" t="n"/>
    </row>
    <row r="140">
      <c r="J140" s="87" t="n"/>
      <c r="L140" s="87" t="n"/>
      <c r="M140" s="105" t="n"/>
      <c r="N140" s="106" t="n"/>
    </row>
    <row r="141">
      <c r="J141" s="87" t="n"/>
      <c r="L141" s="87" t="n"/>
      <c r="M141" s="105" t="n"/>
      <c r="N141" s="106" t="n"/>
    </row>
    <row r="142">
      <c r="J142" s="87" t="n"/>
      <c r="L142" s="87" t="n"/>
      <c r="M142" s="105" t="n"/>
      <c r="N142" s="106" t="n"/>
    </row>
    <row r="143">
      <c r="J143" s="87" t="n"/>
      <c r="L143" s="87" t="n"/>
      <c r="M143" s="105" t="n"/>
      <c r="N143" s="106" t="n"/>
    </row>
    <row r="144">
      <c r="J144" s="87" t="n"/>
      <c r="L144" s="87" t="n"/>
      <c r="M144" s="105" t="n"/>
      <c r="N144" s="106" t="n"/>
    </row>
    <row r="145">
      <c r="J145" s="87" t="n"/>
      <c r="L145" s="87" t="n"/>
      <c r="M145" s="105" t="n"/>
      <c r="N145" s="106" t="n"/>
    </row>
    <row r="146">
      <c r="J146" s="87" t="n"/>
      <c r="L146" s="87" t="n"/>
      <c r="M146" s="105" t="n"/>
      <c r="N146" s="106" t="n"/>
    </row>
    <row r="147">
      <c r="J147" s="87" t="n"/>
      <c r="L147" s="87" t="n"/>
      <c r="M147" s="105" t="n"/>
      <c r="N147" s="106" t="n"/>
    </row>
    <row r="148">
      <c r="J148" s="87" t="n"/>
      <c r="L148" s="87" t="n"/>
      <c r="M148" s="105" t="n"/>
      <c r="N148" s="106" t="n"/>
    </row>
    <row r="149">
      <c r="J149" s="87" t="n"/>
      <c r="L149" s="87" t="n"/>
      <c r="M149" s="105" t="n"/>
      <c r="N149" s="106" t="n"/>
    </row>
    <row r="150">
      <c r="J150" s="87" t="n"/>
      <c r="L150" s="87" t="n"/>
      <c r="M150" s="105" t="n"/>
      <c r="N150" s="106" t="n"/>
    </row>
    <row r="151">
      <c r="J151" s="87" t="n"/>
      <c r="L151" s="87" t="n"/>
      <c r="M151" s="105" t="n"/>
      <c r="N151" s="106" t="n"/>
    </row>
    <row r="152">
      <c r="J152" s="87" t="n"/>
      <c r="L152" s="87" t="n"/>
      <c r="M152" s="105" t="n"/>
      <c r="N152" s="106" t="n"/>
    </row>
    <row r="153">
      <c r="J153" s="87" t="n"/>
      <c r="L153" s="87" t="n"/>
      <c r="M153" s="105" t="n"/>
      <c r="N153" s="106" t="n"/>
    </row>
    <row r="154">
      <c r="J154" s="87" t="n"/>
      <c r="L154" s="87" t="n"/>
      <c r="M154" s="105" t="n"/>
      <c r="N154" s="106" t="n"/>
    </row>
    <row r="155">
      <c r="J155" s="87" t="n"/>
      <c r="L155" s="87" t="n"/>
      <c r="M155" s="105" t="n"/>
      <c r="N155" s="106" t="n"/>
    </row>
    <row r="156">
      <c r="J156" s="87" t="n"/>
      <c r="L156" s="87" t="n"/>
      <c r="M156" s="105" t="n"/>
      <c r="N156" s="106" t="n"/>
    </row>
    <row r="157">
      <c r="J157" s="87" t="n"/>
      <c r="L157" s="87" t="n"/>
      <c r="M157" s="105" t="n"/>
      <c r="N157" s="106" t="n"/>
    </row>
    <row r="158">
      <c r="J158" s="87" t="n"/>
      <c r="L158" s="87" t="n"/>
      <c r="M158" s="105" t="n"/>
      <c r="N158" s="106" t="n"/>
    </row>
    <row r="159">
      <c r="J159" s="87" t="n"/>
      <c r="L159" s="87" t="n"/>
      <c r="M159" s="105" t="n"/>
      <c r="N159" s="106" t="n"/>
    </row>
    <row r="160">
      <c r="J160" s="87" t="n"/>
      <c r="L160" s="87" t="n"/>
      <c r="M160" s="105" t="n"/>
      <c r="N160" s="106" t="n"/>
    </row>
    <row r="161">
      <c r="J161" s="87" t="n"/>
      <c r="L161" s="87" t="n"/>
      <c r="M161" s="105" t="n"/>
      <c r="N161" s="106" t="n"/>
    </row>
    <row r="162">
      <c r="J162" s="87" t="n"/>
      <c r="L162" s="87" t="n"/>
      <c r="M162" s="105" t="n"/>
      <c r="N162" s="106" t="n"/>
    </row>
    <row r="163">
      <c r="J163" s="87" t="n"/>
      <c r="L163" s="87" t="n"/>
      <c r="M163" s="105" t="n"/>
      <c r="N163" s="106" t="n"/>
    </row>
    <row r="164">
      <c r="J164" s="87" t="n"/>
      <c r="L164" s="87" t="n"/>
      <c r="M164" s="105" t="n"/>
      <c r="N164" s="106" t="n"/>
    </row>
    <row r="165">
      <c r="J165" s="87" t="n"/>
      <c r="L165" s="87" t="n"/>
      <c r="M165" s="105" t="n"/>
      <c r="N165" s="106" t="n"/>
    </row>
    <row r="166">
      <c r="J166" s="87" t="n"/>
      <c r="L166" s="87" t="n"/>
      <c r="M166" s="105" t="n"/>
      <c r="N166" s="106" t="n"/>
    </row>
    <row r="167">
      <c r="J167" s="87" t="n"/>
      <c r="L167" s="87" t="n"/>
      <c r="M167" s="105" t="n"/>
      <c r="N167" s="106" t="n"/>
    </row>
    <row r="168">
      <c r="J168" s="87" t="n"/>
      <c r="L168" s="87" t="n"/>
      <c r="M168" s="105" t="n"/>
      <c r="N168" s="106" t="n"/>
    </row>
    <row r="169">
      <c r="J169" s="87" t="n"/>
      <c r="L169" s="87" t="n"/>
      <c r="M169" s="105" t="n"/>
      <c r="N169" s="106" t="n"/>
    </row>
    <row r="170">
      <c r="J170" s="87" t="n"/>
      <c r="L170" s="87" t="n"/>
      <c r="M170" s="105" t="n"/>
      <c r="N170" s="106" t="n"/>
    </row>
    <row r="171">
      <c r="J171" s="87" t="n"/>
      <c r="L171" s="87" t="n"/>
      <c r="M171" s="105" t="n"/>
      <c r="N171" s="106" t="n"/>
    </row>
    <row r="172">
      <c r="J172" s="87" t="n"/>
      <c r="L172" s="87" t="n"/>
      <c r="M172" s="105" t="n"/>
      <c r="N172" s="106" t="n"/>
    </row>
    <row r="173">
      <c r="J173" s="87" t="n"/>
      <c r="L173" s="87" t="n"/>
      <c r="M173" s="105" t="n"/>
      <c r="N173" s="106" t="n"/>
    </row>
    <row r="174">
      <c r="J174" s="87" t="n"/>
      <c r="L174" s="87" t="n"/>
      <c r="M174" s="105" t="n"/>
      <c r="N174" s="106" t="n"/>
    </row>
    <row r="175">
      <c r="J175" s="87" t="n"/>
      <c r="L175" s="87" t="n"/>
      <c r="M175" s="105" t="n"/>
      <c r="N175" s="106" t="n"/>
    </row>
    <row r="176">
      <c r="J176" s="87" t="n"/>
      <c r="L176" s="87" t="n"/>
      <c r="M176" s="105" t="n"/>
      <c r="N176" s="106" t="n"/>
    </row>
    <row r="177">
      <c r="J177" s="87" t="n"/>
      <c r="L177" s="87" t="n"/>
      <c r="M177" s="105" t="n"/>
      <c r="N177" s="106" t="n"/>
    </row>
    <row r="178">
      <c r="J178" s="87" t="n"/>
      <c r="L178" s="87" t="n"/>
      <c r="M178" s="105" t="n"/>
      <c r="N178" s="106" t="n"/>
    </row>
    <row r="179">
      <c r="J179" s="87" t="n"/>
      <c r="L179" s="87" t="n"/>
      <c r="M179" s="105" t="n"/>
      <c r="N179" s="106" t="n"/>
    </row>
    <row r="180">
      <c r="J180" s="87" t="n"/>
      <c r="L180" s="87" t="n"/>
      <c r="M180" s="105" t="n"/>
      <c r="N180" s="106" t="n"/>
    </row>
    <row r="181">
      <c r="J181" s="87" t="n"/>
      <c r="L181" s="87" t="n"/>
      <c r="M181" s="105" t="n"/>
      <c r="N181" s="106" t="n"/>
    </row>
    <row r="182">
      <c r="J182" s="87" t="n"/>
      <c r="L182" s="87" t="n"/>
      <c r="M182" s="105" t="n"/>
      <c r="N182" s="106" t="n"/>
    </row>
    <row r="183">
      <c r="J183" s="87" t="n"/>
      <c r="L183" s="87" t="n"/>
      <c r="M183" s="105" t="n"/>
      <c r="N183" s="106" t="n"/>
    </row>
    <row r="184">
      <c r="J184" s="87" t="n"/>
      <c r="L184" s="87" t="n"/>
      <c r="M184" s="105" t="n"/>
      <c r="N184" s="106" t="n"/>
    </row>
    <row r="185">
      <c r="J185" s="87" t="n"/>
      <c r="L185" s="87" t="n"/>
      <c r="M185" s="105" t="n"/>
      <c r="N185" s="106" t="n"/>
    </row>
    <row r="186">
      <c r="J186" s="87" t="n"/>
      <c r="L186" s="87" t="n"/>
      <c r="M186" s="105" t="n"/>
      <c r="N186" s="106" t="n"/>
    </row>
    <row r="187">
      <c r="J187" s="87" t="n"/>
      <c r="L187" s="87" t="n"/>
      <c r="M187" s="105" t="n"/>
      <c r="N187" s="106" t="n"/>
    </row>
    <row r="188">
      <c r="J188" s="87" t="n"/>
      <c r="L188" s="87" t="n"/>
      <c r="M188" s="105" t="n"/>
      <c r="N188" s="106" t="n"/>
    </row>
    <row r="189">
      <c r="J189" s="87" t="n"/>
      <c r="L189" s="87" t="n"/>
      <c r="M189" s="105" t="n"/>
      <c r="N189" s="106" t="n"/>
    </row>
    <row r="190">
      <c r="J190" s="87" t="n"/>
      <c r="L190" s="87" t="n"/>
      <c r="M190" s="105" t="n"/>
      <c r="N190" s="106" t="n"/>
    </row>
    <row r="191">
      <c r="J191" s="87" t="n"/>
      <c r="L191" s="87" t="n"/>
      <c r="M191" s="105" t="n"/>
      <c r="N191" s="106" t="n"/>
    </row>
    <row r="192">
      <c r="J192" s="87" t="n"/>
      <c r="L192" s="87" t="n"/>
      <c r="M192" s="105" t="n"/>
      <c r="N192" s="106" t="n"/>
    </row>
    <row r="193">
      <c r="J193" s="87" t="n"/>
      <c r="L193" s="87" t="n"/>
      <c r="M193" s="105" t="n"/>
      <c r="N193" s="106" t="n"/>
    </row>
    <row r="194">
      <c r="J194" s="87" t="n"/>
      <c r="L194" s="87" t="n"/>
      <c r="M194" s="105" t="n"/>
      <c r="N194" s="106" t="n"/>
    </row>
    <row r="195">
      <c r="J195" s="87" t="n"/>
      <c r="L195" s="87" t="n"/>
      <c r="M195" s="105" t="n"/>
      <c r="N195" s="106" t="n"/>
    </row>
    <row r="196">
      <c r="J196" s="87" t="n"/>
      <c r="L196" s="87" t="n"/>
      <c r="M196" s="105" t="n"/>
      <c r="N196" s="106" t="n"/>
    </row>
    <row r="197">
      <c r="J197" s="87" t="n"/>
      <c r="L197" s="87" t="n"/>
      <c r="M197" s="105" t="n"/>
      <c r="N197" s="106" t="n"/>
    </row>
    <row r="198">
      <c r="J198" s="87" t="n"/>
      <c r="L198" s="87" t="n"/>
      <c r="M198" s="105" t="n"/>
      <c r="N198" s="106" t="n"/>
    </row>
    <row r="199">
      <c r="J199" s="87" t="n"/>
      <c r="L199" s="87" t="n"/>
      <c r="M199" s="105" t="n"/>
      <c r="N199" s="106" t="n"/>
    </row>
    <row r="200">
      <c r="J200" s="87" t="n"/>
      <c r="L200" s="87" t="n"/>
      <c r="M200" s="105" t="n"/>
      <c r="N200" s="106" t="n"/>
    </row>
    <row r="201">
      <c r="J201" s="87" t="n"/>
      <c r="L201" s="87" t="n"/>
      <c r="M201" s="105" t="n"/>
      <c r="N201" s="106" t="n"/>
    </row>
    <row r="202">
      <c r="J202" s="87" t="n"/>
      <c r="L202" s="87" t="n"/>
      <c r="M202" s="105" t="n"/>
      <c r="N202" s="106" t="n"/>
    </row>
    <row r="203">
      <c r="J203" s="87" t="n"/>
      <c r="L203" s="87" t="n"/>
      <c r="M203" s="105" t="n"/>
      <c r="N203" s="106" t="n"/>
    </row>
    <row r="204">
      <c r="J204" s="87" t="n"/>
      <c r="L204" s="87" t="n"/>
      <c r="M204" s="105" t="n"/>
      <c r="N204" s="106" t="n"/>
    </row>
    <row r="205">
      <c r="J205" s="87" t="n"/>
      <c r="L205" s="87" t="n"/>
      <c r="M205" s="105" t="n"/>
      <c r="N205" s="106" t="n"/>
    </row>
    <row r="206">
      <c r="J206" s="87" t="n"/>
      <c r="L206" s="87" t="n"/>
      <c r="M206" s="105" t="n"/>
      <c r="N206" s="106" t="n"/>
    </row>
    <row r="207">
      <c r="J207" s="87" t="n"/>
      <c r="L207" s="87" t="n"/>
      <c r="M207" s="105" t="n"/>
      <c r="N207" s="106" t="n"/>
    </row>
    <row r="208">
      <c r="J208" s="87" t="n"/>
      <c r="L208" s="87" t="n"/>
      <c r="M208" s="105" t="n"/>
      <c r="N208" s="106" t="n"/>
    </row>
    <row r="209">
      <c r="J209" s="87" t="n"/>
      <c r="L209" s="87" t="n"/>
      <c r="M209" s="105" t="n"/>
      <c r="N209" s="106" t="n"/>
    </row>
    <row r="210">
      <c r="J210" s="87" t="n"/>
      <c r="L210" s="87" t="n"/>
      <c r="M210" s="105" t="n"/>
      <c r="N210" s="106" t="n"/>
    </row>
    <row r="211">
      <c r="J211" s="87" t="n"/>
      <c r="L211" s="87" t="n"/>
      <c r="M211" s="105" t="n"/>
      <c r="N211" s="106" t="n"/>
    </row>
    <row r="212">
      <c r="J212" s="87" t="n"/>
      <c r="L212" s="87" t="n"/>
      <c r="M212" s="105" t="n"/>
      <c r="N212" s="106" t="n"/>
    </row>
    <row r="213">
      <c r="J213" s="87" t="n"/>
      <c r="L213" s="87" t="n"/>
      <c r="M213" s="105" t="n"/>
      <c r="N213" s="106" t="n"/>
    </row>
    <row r="214">
      <c r="J214" s="87" t="n"/>
      <c r="L214" s="87" t="n"/>
      <c r="M214" s="105" t="n"/>
      <c r="N214" s="106" t="n"/>
    </row>
    <row r="215">
      <c r="J215" s="87" t="n"/>
      <c r="L215" s="87" t="n"/>
      <c r="M215" s="105" t="n"/>
      <c r="N215" s="106" t="n"/>
    </row>
    <row r="216">
      <c r="J216" s="87" t="n"/>
      <c r="L216" s="87" t="n"/>
      <c r="M216" s="105" t="n"/>
      <c r="N216" s="106" t="n"/>
    </row>
    <row r="217">
      <c r="J217" s="87" t="n"/>
      <c r="L217" s="87" t="n"/>
      <c r="M217" s="105" t="n"/>
      <c r="N217" s="106" t="n"/>
    </row>
    <row r="218">
      <c r="J218" s="87" t="n"/>
      <c r="L218" s="87" t="n"/>
      <c r="M218" s="105" t="n"/>
      <c r="N218" s="106" t="n"/>
    </row>
    <row r="219">
      <c r="J219" s="87" t="n"/>
      <c r="L219" s="87" t="n"/>
      <c r="M219" s="105" t="n"/>
      <c r="N219" s="106" t="n"/>
    </row>
    <row r="220">
      <c r="J220" s="87" t="n"/>
      <c r="L220" s="87" t="n"/>
      <c r="M220" s="105" t="n"/>
      <c r="N220" s="106" t="n"/>
    </row>
    <row r="221">
      <c r="J221" s="87" t="n"/>
      <c r="L221" s="87" t="n"/>
      <c r="M221" s="105" t="n"/>
      <c r="N221" s="106" t="n"/>
    </row>
    <row r="222">
      <c r="J222" s="87" t="n"/>
      <c r="L222" s="87" t="n"/>
      <c r="M222" s="105" t="n"/>
      <c r="N222" s="106" t="n"/>
    </row>
    <row r="223">
      <c r="J223" s="87" t="n"/>
      <c r="L223" s="87" t="n"/>
      <c r="M223" s="105" t="n"/>
      <c r="N223" s="106" t="n"/>
    </row>
    <row r="224">
      <c r="J224" s="87" t="n"/>
      <c r="L224" s="87" t="n"/>
      <c r="M224" s="105" t="n"/>
      <c r="N224" s="106" t="n"/>
    </row>
    <row r="225">
      <c r="J225" s="87" t="n"/>
      <c r="L225" s="87" t="n"/>
      <c r="M225" s="105" t="n"/>
      <c r="N225" s="106" t="n"/>
    </row>
    <row r="226">
      <c r="J226" s="87" t="n"/>
      <c r="L226" s="87" t="n"/>
      <c r="M226" s="105" t="n"/>
      <c r="N226" s="106" t="n"/>
    </row>
    <row r="227">
      <c r="J227" s="87" t="n"/>
      <c r="L227" s="87" t="n"/>
      <c r="M227" s="105" t="n"/>
      <c r="N227" s="106" t="n"/>
    </row>
    <row r="228">
      <c r="J228" s="87" t="n"/>
      <c r="L228" s="87" t="n"/>
      <c r="M228" s="105" t="n"/>
      <c r="N228" s="106" t="n"/>
    </row>
    <row r="229">
      <c r="J229" s="87" t="n"/>
      <c r="L229" s="87" t="n"/>
      <c r="M229" s="105" t="n"/>
      <c r="N229" s="106" t="n"/>
    </row>
    <row r="230">
      <c r="J230" s="87" t="n"/>
      <c r="L230" s="87" t="n"/>
      <c r="M230" s="105" t="n"/>
      <c r="N230" s="106" t="n"/>
    </row>
    <row r="231">
      <c r="J231" s="87" t="n"/>
      <c r="L231" s="87" t="n"/>
      <c r="M231" s="105" t="n"/>
      <c r="N231" s="106" t="n"/>
    </row>
    <row r="232">
      <c r="J232" s="87" t="n"/>
      <c r="L232" s="87" t="n"/>
      <c r="M232" s="105" t="n"/>
      <c r="N232" s="106" t="n"/>
    </row>
    <row r="233">
      <c r="J233" s="87" t="n"/>
      <c r="L233" s="87" t="n"/>
      <c r="M233" s="105" t="n"/>
      <c r="N233" s="106" t="n"/>
    </row>
    <row r="234">
      <c r="J234" s="87" t="n"/>
      <c r="L234" s="87" t="n"/>
      <c r="M234" s="105" t="n"/>
      <c r="N234" s="106" t="n"/>
    </row>
    <row r="235">
      <c r="J235" s="87" t="n"/>
      <c r="L235" s="87" t="n"/>
      <c r="M235" s="105" t="n"/>
      <c r="N235" s="106" t="n"/>
    </row>
    <row r="236">
      <c r="J236" s="87" t="n"/>
      <c r="L236" s="87" t="n"/>
      <c r="M236" s="105" t="n"/>
      <c r="N236" s="106" t="n"/>
    </row>
    <row r="237">
      <c r="J237" s="87" t="n"/>
      <c r="L237" s="87" t="n"/>
      <c r="M237" s="105" t="n"/>
      <c r="N237" s="106" t="n"/>
    </row>
    <row r="238">
      <c r="J238" s="87" t="n"/>
      <c r="L238" s="87" t="n"/>
      <c r="M238" s="105" t="n"/>
      <c r="N238" s="106" t="n"/>
    </row>
    <row r="239">
      <c r="J239" s="87" t="n"/>
      <c r="L239" s="87" t="n"/>
      <c r="M239" s="105" t="n"/>
      <c r="N239" s="106" t="n"/>
    </row>
    <row r="240">
      <c r="J240" s="87" t="n"/>
      <c r="L240" s="87" t="n"/>
      <c r="M240" s="105" t="n"/>
      <c r="N240" s="106" t="n"/>
    </row>
    <row r="241">
      <c r="J241" s="87" t="n"/>
      <c r="L241" s="87" t="n"/>
      <c r="M241" s="105" t="n"/>
      <c r="N241" s="106" t="n"/>
    </row>
    <row r="242">
      <c r="J242" s="87" t="n"/>
      <c r="L242" s="87" t="n"/>
      <c r="M242" s="105" t="n"/>
      <c r="N242" s="106" t="n"/>
    </row>
    <row r="243">
      <c r="J243" s="87" t="n"/>
      <c r="L243" s="87" t="n"/>
      <c r="M243" s="105" t="n"/>
      <c r="N243" s="106" t="n"/>
    </row>
    <row r="244">
      <c r="J244" s="87" t="n"/>
      <c r="L244" s="87" t="n"/>
      <c r="M244" s="105" t="n"/>
      <c r="N244" s="106" t="n"/>
    </row>
    <row r="245">
      <c r="J245" s="87" t="n"/>
      <c r="L245" s="87" t="n"/>
      <c r="M245" s="105" t="n"/>
      <c r="N245" s="106" t="n"/>
    </row>
    <row r="246">
      <c r="J246" s="87" t="n"/>
      <c r="L246" s="87" t="n"/>
      <c r="M246" s="105" t="n"/>
      <c r="N246" s="106" t="n"/>
    </row>
    <row r="247">
      <c r="J247" s="87" t="n"/>
      <c r="L247" s="87" t="n"/>
      <c r="M247" s="105" t="n"/>
      <c r="N247" s="106" t="n"/>
    </row>
    <row r="248">
      <c r="J248" s="87" t="n"/>
      <c r="L248" s="87" t="n"/>
      <c r="M248" s="105" t="n"/>
      <c r="N248" s="106" t="n"/>
    </row>
    <row r="249">
      <c r="J249" s="87" t="n"/>
      <c r="L249" s="87" t="n"/>
      <c r="M249" s="105" t="n"/>
      <c r="N249" s="106" t="n"/>
    </row>
    <row r="250">
      <c r="J250" s="87" t="n"/>
      <c r="L250" s="87" t="n"/>
      <c r="M250" s="105" t="n"/>
      <c r="N250" s="106" t="n"/>
    </row>
    <row r="251">
      <c r="J251" s="87" t="n"/>
      <c r="L251" s="87" t="n"/>
      <c r="M251" s="105" t="n"/>
      <c r="N251" s="106" t="n"/>
    </row>
    <row r="252">
      <c r="J252" s="87" t="n"/>
      <c r="L252" s="87" t="n"/>
      <c r="M252" s="105" t="n"/>
      <c r="N252" s="106" t="n"/>
    </row>
    <row r="253">
      <c r="J253" s="87" t="n"/>
      <c r="L253" s="87" t="n"/>
      <c r="M253" s="105" t="n"/>
      <c r="N253" s="106" t="n"/>
    </row>
    <row r="254">
      <c r="J254" s="87" t="n"/>
      <c r="L254" s="87" t="n"/>
      <c r="M254" s="105" t="n"/>
      <c r="N254" s="106" t="n"/>
    </row>
    <row r="255">
      <c r="J255" s="87" t="n"/>
      <c r="L255" s="87" t="n"/>
      <c r="M255" s="105" t="n"/>
      <c r="N255" s="106" t="n"/>
    </row>
    <row r="256">
      <c r="J256" s="87" t="n"/>
      <c r="L256" s="87" t="n"/>
      <c r="M256" s="105" t="n"/>
      <c r="N256" s="106" t="n"/>
    </row>
    <row r="257">
      <c r="J257" s="87" t="n"/>
      <c r="L257" s="87" t="n"/>
      <c r="M257" s="105" t="n"/>
      <c r="N257" s="106" t="n"/>
    </row>
    <row r="258">
      <c r="J258" s="87" t="n"/>
      <c r="L258" s="87" t="n"/>
      <c r="M258" s="105" t="n"/>
      <c r="N258" s="106" t="n"/>
    </row>
    <row r="259">
      <c r="J259" s="87" t="n"/>
      <c r="L259" s="87" t="n"/>
      <c r="M259" s="105" t="n"/>
      <c r="N259" s="106" t="n"/>
    </row>
    <row r="260">
      <c r="J260" s="87" t="n"/>
      <c r="L260" s="87" t="n"/>
      <c r="M260" s="105" t="n"/>
      <c r="N260" s="106" t="n"/>
    </row>
    <row r="261">
      <c r="J261" s="87" t="n"/>
      <c r="L261" s="87" t="n"/>
      <c r="M261" s="105" t="n"/>
      <c r="N261" s="106" t="n"/>
    </row>
    <row r="262">
      <c r="J262" s="87" t="n"/>
      <c r="L262" s="87" t="n"/>
      <c r="M262" s="105" t="n"/>
      <c r="N262" s="106" t="n"/>
    </row>
    <row r="263">
      <c r="J263" s="87" t="n"/>
      <c r="L263" s="87" t="n"/>
      <c r="M263" s="105" t="n"/>
      <c r="N263" s="106" t="n"/>
    </row>
    <row r="264">
      <c r="J264" s="87" t="n"/>
      <c r="L264" s="87" t="n"/>
      <c r="M264" s="105" t="n"/>
      <c r="N264" s="106" t="n"/>
    </row>
    <row r="265">
      <c r="J265" s="87" t="n"/>
      <c r="L265" s="87" t="n"/>
      <c r="M265" s="105" t="n"/>
      <c r="N265" s="106" t="n"/>
    </row>
    <row r="266">
      <c r="J266" s="87" t="n"/>
      <c r="L266" s="87" t="n"/>
      <c r="M266" s="105" t="n"/>
      <c r="N266" s="106" t="n"/>
    </row>
    <row r="267">
      <c r="J267" s="87" t="n"/>
      <c r="L267" s="87" t="n"/>
      <c r="M267" s="105" t="n"/>
      <c r="N267" s="106" t="n"/>
    </row>
    <row r="268">
      <c r="J268" s="87" t="n"/>
      <c r="L268" s="87" t="n"/>
      <c r="M268" s="105" t="n"/>
      <c r="N268" s="106" t="n"/>
    </row>
    <row r="269">
      <c r="J269" s="87" t="n"/>
      <c r="L269" s="87" t="n"/>
      <c r="M269" s="105" t="n"/>
      <c r="N269" s="106" t="n"/>
    </row>
    <row r="270">
      <c r="J270" s="87" t="n"/>
      <c r="L270" s="87" t="n"/>
      <c r="M270" s="105" t="n"/>
      <c r="N270" s="106" t="n"/>
    </row>
    <row r="271">
      <c r="J271" s="87" t="n"/>
      <c r="L271" s="87" t="n"/>
      <c r="M271" s="105" t="n"/>
      <c r="N271" s="106" t="n"/>
    </row>
    <row r="272">
      <c r="J272" s="87" t="n"/>
      <c r="L272" s="87" t="n"/>
      <c r="M272" s="105" t="n"/>
      <c r="N272" s="106" t="n"/>
    </row>
    <row r="273">
      <c r="J273" s="87" t="n"/>
      <c r="L273" s="87" t="n"/>
      <c r="M273" s="105" t="n"/>
      <c r="N273" s="106" t="n"/>
    </row>
    <row r="274">
      <c r="J274" s="87" t="n"/>
      <c r="L274" s="87" t="n"/>
      <c r="M274" s="105" t="n"/>
      <c r="N274" s="106" t="n"/>
    </row>
    <row r="275">
      <c r="J275" s="87" t="n"/>
      <c r="L275" s="87" t="n"/>
      <c r="M275" s="105" t="n"/>
      <c r="N275" s="106" t="n"/>
    </row>
    <row r="276">
      <c r="J276" s="87" t="n"/>
      <c r="L276" s="87" t="n"/>
      <c r="M276" s="105" t="n"/>
      <c r="N276" s="106" t="n"/>
    </row>
    <row r="277">
      <c r="J277" s="87" t="n"/>
      <c r="L277" s="87" t="n"/>
      <c r="M277" s="105" t="n"/>
      <c r="N277" s="106" t="n"/>
    </row>
    <row r="278">
      <c r="J278" s="87" t="n"/>
      <c r="L278" s="87" t="n"/>
      <c r="M278" s="105" t="n"/>
      <c r="N278" s="106" t="n"/>
    </row>
    <row r="279">
      <c r="J279" s="87" t="n"/>
      <c r="L279" s="87" t="n"/>
      <c r="M279" s="105" t="n"/>
      <c r="N279" s="106" t="n"/>
    </row>
    <row r="280">
      <c r="J280" s="87" t="n"/>
      <c r="L280" s="87" t="n"/>
      <c r="M280" s="105" t="n"/>
      <c r="N280" s="106" t="n"/>
    </row>
    <row r="281">
      <c r="J281" s="87" t="n"/>
      <c r="L281" s="87" t="n"/>
      <c r="M281" s="105" t="n"/>
      <c r="N281" s="106" t="n"/>
    </row>
    <row r="282">
      <c r="J282" s="87" t="n"/>
      <c r="L282" s="87" t="n"/>
      <c r="M282" s="105" t="n"/>
      <c r="N282" s="106" t="n"/>
    </row>
    <row r="283">
      <c r="J283" s="87" t="n"/>
      <c r="L283" s="87" t="n"/>
      <c r="M283" s="105" t="n"/>
      <c r="N283" s="106" t="n"/>
    </row>
    <row r="284">
      <c r="J284" s="87" t="n"/>
      <c r="L284" s="87" t="n"/>
      <c r="M284" s="105" t="n"/>
      <c r="N284" s="106" t="n"/>
    </row>
    <row r="285">
      <c r="J285" s="87" t="n"/>
      <c r="L285" s="87" t="n"/>
      <c r="M285" s="105" t="n"/>
      <c r="N285" s="106" t="n"/>
    </row>
    <row r="286">
      <c r="J286" s="87" t="n"/>
      <c r="L286" s="87" t="n"/>
      <c r="M286" s="105" t="n"/>
      <c r="N286" s="106" t="n"/>
    </row>
    <row r="287">
      <c r="J287" s="87" t="n"/>
      <c r="L287" s="87" t="n"/>
      <c r="M287" s="105" t="n"/>
      <c r="N287" s="106" t="n"/>
    </row>
    <row r="288">
      <c r="J288" s="87" t="n"/>
      <c r="L288" s="87" t="n"/>
      <c r="M288" s="105" t="n"/>
      <c r="N288" s="106" t="n"/>
    </row>
    <row r="289">
      <c r="J289" s="87" t="n"/>
      <c r="L289" s="87" t="n"/>
      <c r="M289" s="105" t="n"/>
      <c r="N289" s="106" t="n"/>
    </row>
    <row r="290">
      <c r="J290" s="87" t="n"/>
      <c r="L290" s="87" t="n"/>
      <c r="M290" s="105" t="n"/>
      <c r="N290" s="106" t="n"/>
    </row>
    <row r="291">
      <c r="J291" s="87" t="n"/>
      <c r="L291" s="87" t="n"/>
      <c r="M291" s="105" t="n"/>
      <c r="N291" s="106" t="n"/>
    </row>
    <row r="292">
      <c r="J292" s="87" t="n"/>
      <c r="L292" s="87" t="n"/>
      <c r="M292" s="105" t="n"/>
      <c r="N292" s="106" t="n"/>
    </row>
    <row r="293">
      <c r="J293" s="87" t="n"/>
      <c r="L293" s="87" t="n"/>
      <c r="M293" s="105" t="n"/>
      <c r="N293" s="106" t="n"/>
    </row>
    <row r="294">
      <c r="J294" s="87" t="n"/>
      <c r="L294" s="87" t="n"/>
      <c r="M294" s="105" t="n"/>
      <c r="N294" s="106" t="n"/>
    </row>
    <row r="295">
      <c r="J295" s="87" t="n"/>
      <c r="L295" s="87" t="n"/>
      <c r="M295" s="105" t="n"/>
      <c r="N295" s="106" t="n"/>
    </row>
    <row r="296">
      <c r="J296" s="87" t="n"/>
      <c r="L296" s="87" t="n"/>
      <c r="M296" s="105" t="n"/>
      <c r="N296" s="106" t="n"/>
    </row>
    <row r="297">
      <c r="J297" s="87" t="n"/>
      <c r="L297" s="87" t="n"/>
      <c r="M297" s="105" t="n"/>
      <c r="N297" s="106" t="n"/>
    </row>
    <row r="298">
      <c r="J298" s="87" t="n"/>
      <c r="L298" s="87" t="n"/>
      <c r="M298" s="105" t="n"/>
      <c r="N298" s="106" t="n"/>
    </row>
    <row r="299">
      <c r="J299" s="87" t="n"/>
      <c r="L299" s="87" t="n"/>
      <c r="M299" s="105" t="n"/>
      <c r="N299" s="106" t="n"/>
    </row>
    <row r="300">
      <c r="J300" s="87" t="n"/>
      <c r="L300" s="87" t="n"/>
      <c r="M300" s="105" t="n"/>
      <c r="N300" s="106" t="n"/>
    </row>
    <row r="301">
      <c r="J301" s="87" t="n"/>
      <c r="L301" s="87" t="n"/>
      <c r="M301" s="105" t="n"/>
      <c r="N301" s="106" t="n"/>
    </row>
    <row r="302">
      <c r="J302" s="87" t="n"/>
      <c r="L302" s="87" t="n"/>
      <c r="M302" s="105" t="n"/>
      <c r="N302" s="106" t="n"/>
    </row>
    <row r="303">
      <c r="J303" s="87" t="n"/>
      <c r="L303" s="87" t="n"/>
      <c r="M303" s="105" t="n"/>
      <c r="N303" s="106" t="n"/>
    </row>
    <row r="304">
      <c r="J304" s="87" t="n"/>
      <c r="L304" s="87" t="n"/>
      <c r="M304" s="105" t="n"/>
      <c r="N304" s="106" t="n"/>
    </row>
    <row r="305">
      <c r="J305" s="87" t="n"/>
      <c r="L305" s="87" t="n"/>
      <c r="M305" s="105" t="n"/>
      <c r="N305" s="106" t="n"/>
    </row>
    <row r="306">
      <c r="J306" s="87" t="n"/>
      <c r="L306" s="87" t="n"/>
      <c r="M306" s="105" t="n"/>
      <c r="N306" s="106" t="n"/>
    </row>
    <row r="307">
      <c r="J307" s="87" t="n"/>
      <c r="L307" s="87" t="n"/>
      <c r="M307" s="105" t="n"/>
      <c r="N307" s="106" t="n"/>
    </row>
    <row r="308">
      <c r="J308" s="87" t="n"/>
      <c r="L308" s="87" t="n"/>
      <c r="M308" s="105" t="n"/>
      <c r="N308" s="106" t="n"/>
    </row>
    <row r="309">
      <c r="J309" s="87" t="n"/>
      <c r="L309" s="87" t="n"/>
      <c r="M309" s="105" t="n"/>
      <c r="N309" s="106" t="n"/>
    </row>
    <row r="310">
      <c r="J310" s="87" t="n"/>
      <c r="L310" s="87" t="n"/>
      <c r="M310" s="105" t="n"/>
      <c r="N310" s="106" t="n"/>
    </row>
    <row r="311">
      <c r="J311" s="87" t="n"/>
      <c r="L311" s="87" t="n"/>
      <c r="M311" s="105" t="n"/>
      <c r="N311" s="106" t="n"/>
    </row>
    <row r="312">
      <c r="J312" s="87" t="n"/>
      <c r="L312" s="87" t="n"/>
      <c r="M312" s="105" t="n"/>
      <c r="N312" s="106" t="n"/>
    </row>
    <row r="313">
      <c r="J313" s="87" t="n"/>
      <c r="L313" s="87" t="n"/>
      <c r="M313" s="105" t="n"/>
      <c r="N313" s="106" t="n"/>
    </row>
    <row r="314">
      <c r="J314" s="87" t="n"/>
      <c r="L314" s="87" t="n"/>
      <c r="M314" s="105" t="n"/>
      <c r="N314" s="106" t="n"/>
    </row>
    <row r="315">
      <c r="J315" s="87" t="n"/>
      <c r="L315" s="87" t="n"/>
      <c r="M315" s="105" t="n"/>
      <c r="N315" s="106" t="n"/>
    </row>
    <row r="316">
      <c r="J316" s="87" t="n"/>
      <c r="L316" s="87" t="n"/>
      <c r="M316" s="105" t="n"/>
      <c r="N316" s="106" t="n"/>
    </row>
    <row r="317">
      <c r="J317" s="87" t="n"/>
      <c r="L317" s="87" t="n"/>
      <c r="M317" s="105" t="n"/>
      <c r="N317" s="106" t="n"/>
    </row>
    <row r="318">
      <c r="J318" s="87" t="n"/>
      <c r="L318" s="87" t="n"/>
      <c r="M318" s="105" t="n"/>
      <c r="N318" s="106" t="n"/>
    </row>
    <row r="319">
      <c r="J319" s="87" t="n"/>
      <c r="L319" s="87" t="n"/>
      <c r="M319" s="105" t="n"/>
      <c r="N319" s="106" t="n"/>
    </row>
    <row r="320">
      <c r="J320" s="87" t="n"/>
      <c r="L320" s="87" t="n"/>
      <c r="M320" s="105" t="n"/>
      <c r="N320" s="106" t="n"/>
    </row>
    <row r="321">
      <c r="J321" s="87" t="n"/>
      <c r="L321" s="87" t="n"/>
      <c r="M321" s="105" t="n"/>
      <c r="N321" s="106" t="n"/>
    </row>
    <row r="322">
      <c r="J322" s="87" t="n"/>
      <c r="L322" s="87" t="n"/>
      <c r="M322" s="105" t="n"/>
      <c r="N322" s="106" t="n"/>
    </row>
    <row r="323">
      <c r="J323" s="87" t="n"/>
      <c r="L323" s="87" t="n"/>
      <c r="M323" s="105" t="n"/>
      <c r="N323" s="106" t="n"/>
    </row>
    <row r="324">
      <c r="J324" s="87" t="n"/>
      <c r="L324" s="87" t="n"/>
      <c r="M324" s="105" t="n"/>
      <c r="N324" s="106" t="n"/>
    </row>
    <row r="325">
      <c r="J325" s="87" t="n"/>
      <c r="L325" s="87" t="n"/>
      <c r="M325" s="105" t="n"/>
      <c r="N325" s="106" t="n"/>
    </row>
    <row r="326">
      <c r="J326" s="87" t="n"/>
      <c r="L326" s="87" t="n"/>
      <c r="M326" s="105" t="n"/>
      <c r="N326" s="106" t="n"/>
    </row>
    <row r="327">
      <c r="J327" s="87" t="n"/>
      <c r="L327" s="87" t="n"/>
      <c r="M327" s="105" t="n"/>
      <c r="N327" s="106" t="n"/>
    </row>
    <row r="328">
      <c r="J328" s="87" t="n"/>
      <c r="L328" s="87" t="n"/>
      <c r="M328" s="105" t="n"/>
      <c r="N328" s="106" t="n"/>
    </row>
    <row r="329">
      <c r="J329" s="87" t="n"/>
      <c r="L329" s="87" t="n"/>
      <c r="M329" s="105" t="n"/>
      <c r="N329" s="106" t="n"/>
    </row>
    <row r="330">
      <c r="J330" s="87" t="n"/>
      <c r="L330" s="87" t="n"/>
      <c r="M330" s="105" t="n"/>
      <c r="N330" s="106" t="n"/>
    </row>
    <row r="331">
      <c r="J331" s="87" t="n"/>
      <c r="L331" s="87" t="n"/>
      <c r="M331" s="105" t="n"/>
      <c r="N331" s="106" t="n"/>
    </row>
    <row r="332">
      <c r="J332" s="87" t="n"/>
      <c r="L332" s="87" t="n"/>
      <c r="M332" s="105" t="n"/>
      <c r="N332" s="106" t="n"/>
    </row>
    <row r="333">
      <c r="J333" s="87" t="n"/>
      <c r="L333" s="87" t="n"/>
      <c r="M333" s="105" t="n"/>
      <c r="N333" s="106" t="n"/>
    </row>
    <row r="334">
      <c r="J334" s="87" t="n"/>
      <c r="L334" s="87" t="n"/>
      <c r="M334" s="105" t="n"/>
      <c r="N334" s="106" t="n"/>
    </row>
    <row r="335">
      <c r="J335" s="87" t="n"/>
      <c r="L335" s="87" t="n"/>
      <c r="M335" s="105" t="n"/>
      <c r="N335" s="106" t="n"/>
    </row>
    <row r="336">
      <c r="J336" s="87" t="n"/>
      <c r="L336" s="87" t="n"/>
      <c r="M336" s="105" t="n"/>
      <c r="N336" s="106" t="n"/>
    </row>
    <row r="337">
      <c r="J337" s="87" t="n"/>
      <c r="L337" s="87" t="n"/>
      <c r="M337" s="105" t="n"/>
      <c r="N337" s="106" t="n"/>
    </row>
    <row r="338">
      <c r="J338" s="87" t="n"/>
      <c r="L338" s="87" t="n"/>
      <c r="M338" s="105" t="n"/>
      <c r="N338" s="106" t="n"/>
    </row>
    <row r="339">
      <c r="J339" s="87" t="n"/>
      <c r="L339" s="87" t="n"/>
      <c r="M339" s="105" t="n"/>
      <c r="N339" s="106" t="n"/>
    </row>
    <row r="340">
      <c r="J340" s="87" t="n"/>
      <c r="L340" s="87" t="n"/>
      <c r="M340" s="105" t="n"/>
      <c r="N340" s="106" t="n"/>
    </row>
    <row r="341">
      <c r="J341" s="87" t="n"/>
      <c r="L341" s="87" t="n"/>
      <c r="M341" s="105" t="n"/>
      <c r="N341" s="106" t="n"/>
    </row>
    <row r="342">
      <c r="J342" s="87" t="n"/>
      <c r="L342" s="87" t="n"/>
      <c r="M342" s="105" t="n"/>
      <c r="N342" s="106" t="n"/>
    </row>
    <row r="343">
      <c r="J343" s="87" t="n"/>
      <c r="L343" s="87" t="n"/>
      <c r="M343" s="105" t="n"/>
      <c r="N343" s="106" t="n"/>
    </row>
    <row r="344">
      <c r="J344" s="87" t="n"/>
      <c r="L344" s="87" t="n"/>
      <c r="M344" s="105" t="n"/>
      <c r="N344" s="106" t="n"/>
    </row>
    <row r="345">
      <c r="J345" s="87" t="n"/>
      <c r="L345" s="87" t="n"/>
      <c r="M345" s="105" t="n"/>
      <c r="N345" s="106" t="n"/>
    </row>
    <row r="346">
      <c r="J346" s="87" t="n"/>
      <c r="L346" s="87" t="n"/>
      <c r="M346" s="105" t="n"/>
      <c r="N346" s="106" t="n"/>
    </row>
    <row r="347">
      <c r="J347" s="87" t="n"/>
      <c r="L347" s="87" t="n"/>
      <c r="M347" s="105" t="n"/>
      <c r="N347" s="106" t="n"/>
    </row>
    <row r="348">
      <c r="J348" s="87" t="n"/>
      <c r="L348" s="87" t="n"/>
      <c r="M348" s="105" t="n"/>
      <c r="N348" s="106" t="n"/>
    </row>
    <row r="349">
      <c r="J349" s="87" t="n"/>
      <c r="L349" s="87" t="n"/>
      <c r="M349" s="105" t="n"/>
      <c r="N349" s="106" t="n"/>
    </row>
    <row r="350">
      <c r="J350" s="87" t="n"/>
      <c r="L350" s="87" t="n"/>
      <c r="M350" s="105" t="n"/>
      <c r="N350" s="106" t="n"/>
    </row>
    <row r="351">
      <c r="J351" s="87" t="n"/>
      <c r="L351" s="87" t="n"/>
      <c r="M351" s="105" t="n"/>
      <c r="N351" s="106" t="n"/>
    </row>
    <row r="352">
      <c r="J352" s="87" t="n"/>
      <c r="L352" s="87" t="n"/>
      <c r="M352" s="105" t="n"/>
      <c r="N352" s="106" t="n"/>
    </row>
    <row r="353">
      <c r="J353" s="87" t="n"/>
      <c r="L353" s="87" t="n"/>
      <c r="M353" s="105" t="n"/>
      <c r="N353" s="106" t="n"/>
    </row>
    <row r="354">
      <c r="J354" s="87" t="n"/>
      <c r="L354" s="87" t="n"/>
      <c r="M354" s="105" t="n"/>
      <c r="N354" s="106" t="n"/>
    </row>
    <row r="355">
      <c r="J355" s="87" t="n"/>
      <c r="L355" s="87" t="n"/>
      <c r="M355" s="105" t="n"/>
      <c r="N355" s="106" t="n"/>
    </row>
    <row r="356">
      <c r="J356" s="87" t="n"/>
      <c r="L356" s="87" t="n"/>
      <c r="M356" s="105" t="n"/>
      <c r="N356" s="106" t="n"/>
    </row>
    <row r="357">
      <c r="J357" s="87" t="n"/>
      <c r="L357" s="87" t="n"/>
      <c r="M357" s="105" t="n"/>
      <c r="N357" s="106" t="n"/>
    </row>
    <row r="358">
      <c r="J358" s="87" t="n"/>
      <c r="L358" s="87" t="n"/>
      <c r="M358" s="105" t="n"/>
      <c r="N358" s="106" t="n"/>
    </row>
    <row r="359">
      <c r="J359" s="87" t="n"/>
      <c r="L359" s="87" t="n"/>
      <c r="M359" s="105" t="n"/>
      <c r="N359" s="106" t="n"/>
    </row>
    <row r="360">
      <c r="J360" s="87" t="n"/>
      <c r="L360" s="87" t="n"/>
      <c r="M360" s="105" t="n"/>
      <c r="N360" s="106" t="n"/>
    </row>
    <row r="361">
      <c r="J361" s="87" t="n"/>
      <c r="L361" s="87" t="n"/>
      <c r="M361" s="105" t="n"/>
      <c r="N361" s="106" t="n"/>
    </row>
    <row r="362">
      <c r="J362" s="87" t="n"/>
      <c r="L362" s="87" t="n"/>
      <c r="M362" s="105" t="n"/>
      <c r="N362" s="106" t="n"/>
    </row>
    <row r="363">
      <c r="J363" s="87" t="n"/>
      <c r="L363" s="87" t="n"/>
      <c r="M363" s="105" t="n"/>
      <c r="N363" s="106" t="n"/>
    </row>
    <row r="364">
      <c r="J364" s="87" t="n"/>
      <c r="L364" s="87" t="n"/>
      <c r="M364" s="105" t="n"/>
      <c r="N364" s="106" t="n"/>
    </row>
    <row r="365">
      <c r="J365" s="87" t="n"/>
      <c r="L365" s="87" t="n"/>
      <c r="M365" s="105" t="n"/>
      <c r="N365" s="106" t="n"/>
    </row>
    <row r="366">
      <c r="J366" s="87" t="n"/>
      <c r="L366" s="87" t="n"/>
      <c r="M366" s="105" t="n"/>
      <c r="N366" s="106" t="n"/>
    </row>
    <row r="367">
      <c r="J367" s="87" t="n"/>
      <c r="L367" s="87" t="n"/>
      <c r="M367" s="105" t="n"/>
      <c r="N367" s="106" t="n"/>
    </row>
    <row r="368">
      <c r="J368" s="87" t="n"/>
      <c r="L368" s="87" t="n"/>
      <c r="M368" s="105" t="n"/>
      <c r="N368" s="106" t="n"/>
    </row>
    <row r="369">
      <c r="J369" s="87" t="n"/>
      <c r="L369" s="87" t="n"/>
      <c r="M369" s="105" t="n"/>
      <c r="N369" s="106" t="n"/>
    </row>
    <row r="370">
      <c r="J370" s="87" t="n"/>
      <c r="L370" s="87" t="n"/>
      <c r="M370" s="105" t="n"/>
      <c r="N370" s="106" t="n"/>
    </row>
    <row r="371">
      <c r="J371" s="87" t="n"/>
      <c r="L371" s="87" t="n"/>
      <c r="M371" s="105" t="n"/>
      <c r="N371" s="106" t="n"/>
    </row>
    <row r="372">
      <c r="J372" s="87" t="n"/>
      <c r="L372" s="87" t="n"/>
      <c r="M372" s="105" t="n"/>
      <c r="N372" s="106" t="n"/>
    </row>
    <row r="373">
      <c r="J373" s="87" t="n"/>
      <c r="L373" s="87" t="n"/>
      <c r="M373" s="105" t="n"/>
      <c r="N373" s="106" t="n"/>
    </row>
    <row r="374">
      <c r="J374" s="87" t="n"/>
      <c r="L374" s="87" t="n"/>
      <c r="M374" s="105" t="n"/>
      <c r="N374" s="106" t="n"/>
    </row>
    <row r="375">
      <c r="J375" s="87" t="n"/>
      <c r="L375" s="87" t="n"/>
      <c r="M375" s="105" t="n"/>
      <c r="N375" s="106" t="n"/>
    </row>
    <row r="376">
      <c r="J376" s="87" t="n"/>
      <c r="L376" s="87" t="n"/>
      <c r="M376" s="105" t="n"/>
      <c r="N376" s="106" t="n"/>
    </row>
    <row r="377">
      <c r="J377" s="87" t="n"/>
      <c r="L377" s="87" t="n"/>
      <c r="M377" s="105" t="n"/>
      <c r="N377" s="106" t="n"/>
    </row>
    <row r="378">
      <c r="J378" s="87" t="n"/>
      <c r="L378" s="87" t="n"/>
      <c r="M378" s="105" t="n"/>
      <c r="N378" s="106" t="n"/>
    </row>
    <row r="379">
      <c r="J379" s="87" t="n"/>
      <c r="L379" s="87" t="n"/>
      <c r="M379" s="105" t="n"/>
      <c r="N379" s="106" t="n"/>
    </row>
    <row r="380">
      <c r="J380" s="87" t="n"/>
      <c r="L380" s="87" t="n"/>
      <c r="M380" s="105" t="n"/>
      <c r="N380" s="106" t="n"/>
    </row>
    <row r="381">
      <c r="J381" s="87" t="n"/>
      <c r="L381" s="87" t="n"/>
      <c r="M381" s="105" t="n"/>
      <c r="N381" s="106" t="n"/>
    </row>
    <row r="382">
      <c r="J382" s="87" t="n"/>
      <c r="L382" s="87" t="n"/>
      <c r="M382" s="105" t="n"/>
      <c r="N382" s="106" t="n"/>
    </row>
    <row r="383">
      <c r="J383" s="87" t="n"/>
      <c r="L383" s="87" t="n"/>
      <c r="M383" s="105" t="n"/>
      <c r="N383" s="106" t="n"/>
    </row>
    <row r="384">
      <c r="J384" s="87" t="n"/>
      <c r="L384" s="87" t="n"/>
      <c r="M384" s="105" t="n"/>
      <c r="N384" s="106" t="n"/>
    </row>
    <row r="385">
      <c r="J385" s="87" t="n"/>
      <c r="L385" s="87" t="n"/>
      <c r="M385" s="105" t="n"/>
      <c r="N385" s="106" t="n"/>
    </row>
    <row r="386">
      <c r="J386" s="87" t="n"/>
      <c r="L386" s="87" t="n"/>
      <c r="M386" s="105" t="n"/>
      <c r="N386" s="106" t="n"/>
    </row>
    <row r="387">
      <c r="J387" s="87" t="n"/>
      <c r="L387" s="87" t="n"/>
      <c r="M387" s="105" t="n"/>
      <c r="N387" s="106" t="n"/>
    </row>
    <row r="388">
      <c r="J388" s="87" t="n"/>
      <c r="L388" s="87" t="n"/>
      <c r="M388" s="105" t="n"/>
      <c r="N388" s="106" t="n"/>
    </row>
    <row r="389">
      <c r="J389" s="87" t="n"/>
      <c r="L389" s="87" t="n"/>
      <c r="M389" s="105" t="n"/>
      <c r="N389" s="106" t="n"/>
    </row>
    <row r="390">
      <c r="J390" s="87" t="n"/>
      <c r="L390" s="87" t="n"/>
      <c r="M390" s="105" t="n"/>
      <c r="N390" s="106" t="n"/>
    </row>
    <row r="391">
      <c r="J391" s="87" t="n"/>
      <c r="L391" s="87" t="n"/>
      <c r="M391" s="105" t="n"/>
      <c r="N391" s="106" t="n"/>
    </row>
    <row r="392">
      <c r="J392" s="87" t="n"/>
      <c r="L392" s="87" t="n"/>
      <c r="M392" s="105" t="n"/>
      <c r="N392" s="106" t="n"/>
    </row>
    <row r="393">
      <c r="J393" s="87" t="n"/>
      <c r="L393" s="87" t="n"/>
      <c r="M393" s="105" t="n"/>
      <c r="N393" s="106" t="n"/>
    </row>
    <row r="394">
      <c r="J394" s="87" t="n"/>
      <c r="L394" s="87" t="n"/>
      <c r="M394" s="105" t="n"/>
      <c r="N394" s="106" t="n"/>
    </row>
    <row r="395">
      <c r="J395" s="87" t="n"/>
      <c r="L395" s="87" t="n"/>
      <c r="M395" s="105" t="n"/>
      <c r="N395" s="106" t="n"/>
    </row>
    <row r="396">
      <c r="J396" s="87" t="n"/>
      <c r="L396" s="87" t="n"/>
      <c r="M396" s="105" t="n"/>
      <c r="N396" s="106" t="n"/>
    </row>
    <row r="397">
      <c r="J397" s="87" t="n"/>
      <c r="L397" s="87" t="n"/>
      <c r="M397" s="105" t="n"/>
      <c r="N397" s="106" t="n"/>
    </row>
    <row r="398">
      <c r="J398" s="87" t="n"/>
      <c r="L398" s="87" t="n"/>
      <c r="M398" s="105" t="n"/>
      <c r="N398" s="106" t="n"/>
    </row>
    <row r="399">
      <c r="J399" s="87" t="n"/>
      <c r="L399" s="87" t="n"/>
      <c r="M399" s="105" t="n"/>
      <c r="N399" s="106" t="n"/>
    </row>
    <row r="400">
      <c r="J400" s="87" t="n"/>
      <c r="L400" s="87" t="n"/>
      <c r="M400" s="105" t="n"/>
      <c r="N400" s="106" t="n"/>
    </row>
    <row r="401">
      <c r="J401" s="87" t="n"/>
      <c r="L401" s="87" t="n"/>
      <c r="M401" s="105" t="n"/>
      <c r="N401" s="106" t="n"/>
    </row>
    <row r="402">
      <c r="J402" s="87" t="n"/>
      <c r="L402" s="87" t="n"/>
      <c r="M402" s="105" t="n"/>
      <c r="N402" s="106" t="n"/>
    </row>
    <row r="403">
      <c r="J403" s="87" t="n"/>
      <c r="L403" s="87" t="n"/>
      <c r="M403" s="105" t="n"/>
      <c r="N403" s="106" t="n"/>
    </row>
    <row r="404">
      <c r="J404" s="87" t="n"/>
      <c r="L404" s="87" t="n"/>
      <c r="M404" s="105" t="n"/>
      <c r="N404" s="106" t="n"/>
    </row>
    <row r="405">
      <c r="J405" s="87" t="n"/>
      <c r="L405" s="87" t="n"/>
      <c r="M405" s="105" t="n"/>
      <c r="N405" s="106" t="n"/>
    </row>
    <row r="406">
      <c r="J406" s="87" t="n"/>
      <c r="L406" s="87" t="n"/>
      <c r="M406" s="105" t="n"/>
      <c r="N406" s="106" t="n"/>
    </row>
    <row r="407">
      <c r="J407" s="87" t="n"/>
      <c r="L407" s="87" t="n"/>
      <c r="M407" s="105" t="n"/>
      <c r="N407" s="106" t="n"/>
    </row>
    <row r="408">
      <c r="J408" s="87" t="n"/>
      <c r="L408" s="87" t="n"/>
      <c r="M408" s="105" t="n"/>
      <c r="N408" s="106" t="n"/>
    </row>
    <row r="409">
      <c r="J409" s="87" t="n"/>
      <c r="L409" s="87" t="n"/>
      <c r="M409" s="105" t="n"/>
      <c r="N409" s="106" t="n"/>
    </row>
    <row r="410">
      <c r="J410" s="87" t="n"/>
      <c r="L410" s="87" t="n"/>
      <c r="M410" s="105" t="n"/>
      <c r="N410" s="106" t="n"/>
    </row>
    <row r="411">
      <c r="J411" s="87" t="n"/>
      <c r="L411" s="87" t="n"/>
      <c r="M411" s="105" t="n"/>
      <c r="N411" s="106" t="n"/>
    </row>
    <row r="412">
      <c r="J412" s="87" t="n"/>
      <c r="L412" s="87" t="n"/>
      <c r="M412" s="105" t="n"/>
      <c r="N412" s="106" t="n"/>
    </row>
    <row r="413">
      <c r="J413" s="87" t="n"/>
      <c r="L413" s="87" t="n"/>
      <c r="M413" s="105" t="n"/>
      <c r="N413" s="106" t="n"/>
    </row>
    <row r="414">
      <c r="J414" s="87" t="n"/>
      <c r="L414" s="87" t="n"/>
      <c r="M414" s="105" t="n"/>
      <c r="N414" s="106" t="n"/>
    </row>
    <row r="415">
      <c r="J415" s="87" t="n"/>
      <c r="L415" s="87" t="n"/>
      <c r="M415" s="105" t="n"/>
      <c r="N415" s="106" t="n"/>
    </row>
    <row r="416">
      <c r="J416" s="87" t="n"/>
      <c r="L416" s="87" t="n"/>
      <c r="M416" s="105" t="n"/>
      <c r="N416" s="106" t="n"/>
    </row>
    <row r="417">
      <c r="J417" s="87" t="n"/>
      <c r="L417" s="87" t="n"/>
      <c r="M417" s="105" t="n"/>
      <c r="N417" s="106" t="n"/>
    </row>
    <row r="418">
      <c r="J418" s="87" t="n"/>
      <c r="L418" s="87" t="n"/>
      <c r="M418" s="105" t="n"/>
      <c r="N418" s="106" t="n"/>
    </row>
    <row r="419">
      <c r="J419" s="87" t="n"/>
      <c r="L419" s="87" t="n"/>
      <c r="M419" s="105" t="n"/>
      <c r="N419" s="106" t="n"/>
    </row>
    <row r="420">
      <c r="J420" s="87" t="n"/>
      <c r="L420" s="87" t="n"/>
      <c r="M420" s="105" t="n"/>
      <c r="N420" s="106" t="n"/>
    </row>
    <row r="421">
      <c r="J421" s="87" t="n"/>
      <c r="L421" s="87" t="n"/>
      <c r="M421" s="105" t="n"/>
      <c r="N421" s="106" t="n"/>
    </row>
    <row r="422">
      <c r="J422" s="87" t="n"/>
      <c r="L422" s="87" t="n"/>
      <c r="M422" s="105" t="n"/>
      <c r="N422" s="106" t="n"/>
    </row>
    <row r="423">
      <c r="J423" s="87" t="n"/>
      <c r="L423" s="87" t="n"/>
      <c r="M423" s="105" t="n"/>
      <c r="N423" s="106" t="n"/>
    </row>
    <row r="424">
      <c r="J424" s="87" t="n"/>
      <c r="L424" s="87" t="n"/>
      <c r="M424" s="105" t="n"/>
      <c r="N424" s="106" t="n"/>
    </row>
    <row r="425">
      <c r="J425" s="87" t="n"/>
      <c r="L425" s="87" t="n"/>
      <c r="M425" s="105" t="n"/>
      <c r="N425" s="106" t="n"/>
    </row>
    <row r="426">
      <c r="J426" s="87" t="n"/>
      <c r="L426" s="87" t="n"/>
      <c r="M426" s="105" t="n"/>
      <c r="N426" s="106" t="n"/>
    </row>
    <row r="427">
      <c r="J427" s="87" t="n"/>
      <c r="L427" s="87" t="n"/>
      <c r="M427" s="105" t="n"/>
      <c r="N427" s="106" t="n"/>
    </row>
    <row r="428">
      <c r="J428" s="87" t="n"/>
      <c r="L428" s="87" t="n"/>
      <c r="M428" s="105" t="n"/>
      <c r="N428" s="106" t="n"/>
    </row>
    <row r="429">
      <c r="J429" s="87" t="n"/>
      <c r="L429" s="87" t="n"/>
      <c r="M429" s="105" t="n"/>
      <c r="N429" s="106" t="n"/>
    </row>
    <row r="430">
      <c r="J430" s="87" t="n"/>
      <c r="L430" s="87" t="n"/>
      <c r="M430" s="105" t="n"/>
      <c r="N430" s="106" t="n"/>
    </row>
    <row r="431">
      <c r="J431" s="87" t="n"/>
      <c r="L431" s="87" t="n"/>
      <c r="M431" s="105" t="n"/>
      <c r="N431" s="106" t="n"/>
    </row>
    <row r="432">
      <c r="J432" s="87" t="n"/>
      <c r="L432" s="87" t="n"/>
      <c r="M432" s="105" t="n"/>
      <c r="N432" s="106" t="n"/>
    </row>
    <row r="433">
      <c r="J433" s="87" t="n"/>
      <c r="L433" s="87" t="n"/>
      <c r="M433" s="105" t="n"/>
      <c r="N433" s="106" t="n"/>
    </row>
    <row r="434">
      <c r="J434" s="87" t="n"/>
      <c r="L434" s="87" t="n"/>
      <c r="M434" s="105" t="n"/>
      <c r="N434" s="106" t="n"/>
    </row>
    <row r="435">
      <c r="J435" s="87" t="n"/>
      <c r="L435" s="87" t="n"/>
      <c r="M435" s="105" t="n"/>
      <c r="N435" s="106" t="n"/>
    </row>
    <row r="436">
      <c r="J436" s="87" t="n"/>
      <c r="L436" s="87" t="n"/>
      <c r="M436" s="105" t="n"/>
      <c r="N436" s="106" t="n"/>
    </row>
    <row r="437">
      <c r="J437" s="87" t="n"/>
      <c r="L437" s="87" t="n"/>
      <c r="M437" s="105" t="n"/>
      <c r="N437" s="106" t="n"/>
    </row>
    <row r="438">
      <c r="J438" s="87" t="n"/>
      <c r="L438" s="87" t="n"/>
      <c r="M438" s="105" t="n"/>
      <c r="N438" s="106" t="n"/>
    </row>
    <row r="439">
      <c r="J439" s="87" t="n"/>
      <c r="L439" s="87" t="n"/>
      <c r="M439" s="105" t="n"/>
      <c r="N439" s="106" t="n"/>
    </row>
    <row r="440">
      <c r="J440" s="87" t="n"/>
      <c r="L440" s="87" t="n"/>
      <c r="M440" s="105" t="n"/>
      <c r="N440" s="106" t="n"/>
    </row>
    <row r="441">
      <c r="J441" s="87" t="n"/>
      <c r="L441" s="87" t="n"/>
      <c r="M441" s="105" t="n"/>
      <c r="N441" s="106" t="n"/>
    </row>
    <row r="442">
      <c r="J442" s="87" t="n"/>
      <c r="L442" s="87" t="n"/>
      <c r="M442" s="105" t="n"/>
      <c r="N442" s="106" t="n"/>
    </row>
    <row r="443">
      <c r="J443" s="87" t="n"/>
      <c r="L443" s="87" t="n"/>
      <c r="M443" s="105" t="n"/>
      <c r="N443" s="106" t="n"/>
    </row>
    <row r="444">
      <c r="J444" s="87" t="n"/>
      <c r="L444" s="87" t="n"/>
      <c r="M444" s="105" t="n"/>
      <c r="N444" s="106" t="n"/>
    </row>
    <row r="445">
      <c r="J445" s="87" t="n"/>
      <c r="L445" s="87" t="n"/>
      <c r="M445" s="105" t="n"/>
      <c r="N445" s="106" t="n"/>
    </row>
    <row r="446">
      <c r="J446" s="87" t="n"/>
      <c r="L446" s="87" t="n"/>
      <c r="M446" s="105" t="n"/>
      <c r="N446" s="106" t="n"/>
    </row>
    <row r="447">
      <c r="J447" s="87" t="n"/>
      <c r="L447" s="87" t="n"/>
      <c r="M447" s="105" t="n"/>
      <c r="N447" s="106" t="n"/>
    </row>
    <row r="448">
      <c r="J448" s="87" t="n"/>
      <c r="L448" s="87" t="n"/>
      <c r="M448" s="105" t="n"/>
      <c r="N448" s="106" t="n"/>
    </row>
    <row r="449">
      <c r="J449" s="87" t="n"/>
      <c r="L449" s="87" t="n"/>
      <c r="M449" s="105" t="n"/>
      <c r="N449" s="106" t="n"/>
    </row>
    <row r="450">
      <c r="J450" s="87" t="n"/>
      <c r="L450" s="87" t="n"/>
      <c r="M450" s="105" t="n"/>
      <c r="N450" s="106" t="n"/>
    </row>
    <row r="451">
      <c r="J451" s="87" t="n"/>
      <c r="L451" s="87" t="n"/>
      <c r="M451" s="105" t="n"/>
      <c r="N451" s="106" t="n"/>
    </row>
    <row r="452">
      <c r="J452" s="87" t="n"/>
      <c r="L452" s="87" t="n"/>
      <c r="M452" s="105" t="n"/>
      <c r="N452" s="106" t="n"/>
    </row>
    <row r="453">
      <c r="J453" s="87" t="n"/>
      <c r="L453" s="87" t="n"/>
      <c r="M453" s="105" t="n"/>
      <c r="N453" s="106" t="n"/>
    </row>
    <row r="454">
      <c r="J454" s="87" t="n"/>
      <c r="L454" s="87" t="n"/>
      <c r="M454" s="105" t="n"/>
      <c r="N454" s="106" t="n"/>
    </row>
    <row r="455">
      <c r="J455" s="87" t="n"/>
      <c r="L455" s="87" t="n"/>
      <c r="M455" s="105" t="n"/>
      <c r="N455" s="106" t="n"/>
    </row>
    <row r="456">
      <c r="J456" s="87" t="n"/>
      <c r="L456" s="87" t="n"/>
      <c r="M456" s="105" t="n"/>
      <c r="N456" s="106" t="n"/>
    </row>
    <row r="457">
      <c r="J457" s="87" t="n"/>
      <c r="L457" s="87" t="n"/>
      <c r="M457" s="105" t="n"/>
      <c r="N457" s="106" t="n"/>
    </row>
    <row r="458">
      <c r="J458" s="87" t="n"/>
      <c r="L458" s="87" t="n"/>
      <c r="M458" s="105" t="n"/>
      <c r="N458" s="106" t="n"/>
    </row>
    <row r="459">
      <c r="J459" s="87" t="n"/>
      <c r="L459" s="87" t="n"/>
      <c r="M459" s="105" t="n"/>
      <c r="N459" s="106" t="n"/>
    </row>
    <row r="460">
      <c r="J460" s="87" t="n"/>
      <c r="L460" s="87" t="n"/>
      <c r="M460" s="105" t="n"/>
      <c r="N460" s="106" t="n"/>
    </row>
    <row r="461">
      <c r="J461" s="87" t="n"/>
      <c r="L461" s="87" t="n"/>
      <c r="M461" s="105" t="n"/>
      <c r="N461" s="106" t="n"/>
    </row>
    <row r="462">
      <c r="J462" s="87" t="n"/>
      <c r="L462" s="87" t="n"/>
      <c r="M462" s="105" t="n"/>
      <c r="N462" s="106" t="n"/>
    </row>
    <row r="463">
      <c r="J463" s="87" t="n"/>
      <c r="L463" s="87" t="n"/>
      <c r="M463" s="105" t="n"/>
      <c r="N463" s="106" t="n"/>
    </row>
    <row r="464">
      <c r="J464" s="87" t="n"/>
      <c r="L464" s="87" t="n"/>
      <c r="M464" s="105" t="n"/>
      <c r="N464" s="106" t="n"/>
    </row>
    <row r="465">
      <c r="J465" s="87" t="n"/>
      <c r="L465" s="87" t="n"/>
      <c r="M465" s="105" t="n"/>
      <c r="N465" s="106" t="n"/>
    </row>
    <row r="466">
      <c r="J466" s="87" t="n"/>
      <c r="L466" s="87" t="n"/>
      <c r="M466" s="105" t="n"/>
      <c r="N466" s="106" t="n"/>
    </row>
    <row r="467">
      <c r="J467" s="87" t="n"/>
      <c r="L467" s="87" t="n"/>
      <c r="M467" s="105" t="n"/>
      <c r="N467" s="106" t="n"/>
    </row>
    <row r="468">
      <c r="J468" s="87" t="n"/>
      <c r="L468" s="87" t="n"/>
      <c r="M468" s="105" t="n"/>
      <c r="N468" s="106" t="n"/>
    </row>
    <row r="469">
      <c r="J469" s="87" t="n"/>
      <c r="L469" s="87" t="n"/>
      <c r="M469" s="105" t="n"/>
      <c r="N469" s="106" t="n"/>
    </row>
    <row r="470">
      <c r="J470" s="87" t="n"/>
      <c r="L470" s="87" t="n"/>
      <c r="M470" s="105" t="n"/>
      <c r="N470" s="106" t="n"/>
    </row>
    <row r="471">
      <c r="J471" s="87" t="n"/>
      <c r="L471" s="87" t="n"/>
      <c r="M471" s="105" t="n"/>
      <c r="N471" s="106" t="n"/>
    </row>
    <row r="472">
      <c r="J472" s="87" t="n"/>
      <c r="L472" s="87" t="n"/>
      <c r="M472" s="105" t="n"/>
      <c r="N472" s="106" t="n"/>
    </row>
    <row r="473">
      <c r="J473" s="87" t="n"/>
      <c r="L473" s="87" t="n"/>
      <c r="M473" s="105" t="n"/>
      <c r="N473" s="106" t="n"/>
    </row>
    <row r="474">
      <c r="J474" s="87" t="n"/>
      <c r="L474" s="87" t="n"/>
      <c r="M474" s="105" t="n"/>
      <c r="N474" s="106" t="n"/>
    </row>
    <row r="475">
      <c r="J475" s="87" t="n"/>
      <c r="L475" s="87" t="n"/>
      <c r="M475" s="105" t="n"/>
      <c r="N475" s="106" t="n"/>
    </row>
    <row r="476">
      <c r="J476" s="87" t="n"/>
      <c r="L476" s="87" t="n"/>
      <c r="M476" s="105" t="n"/>
      <c r="N476" s="106" t="n"/>
    </row>
    <row r="477">
      <c r="J477" s="87" t="n"/>
      <c r="L477" s="87" t="n"/>
      <c r="M477" s="105" t="n"/>
      <c r="N477" s="106" t="n"/>
    </row>
    <row r="478">
      <c r="J478" s="87" t="n"/>
      <c r="L478" s="87" t="n"/>
      <c r="M478" s="105" t="n"/>
      <c r="N478" s="106" t="n"/>
    </row>
    <row r="479">
      <c r="J479" s="87" t="n"/>
      <c r="L479" s="87" t="n"/>
      <c r="M479" s="105" t="n"/>
      <c r="N479" s="106" t="n"/>
    </row>
    <row r="480">
      <c r="J480" s="87" t="n"/>
      <c r="L480" s="87" t="n"/>
      <c r="M480" s="105" t="n"/>
      <c r="N480" s="106" t="n"/>
    </row>
    <row r="481">
      <c r="J481" s="87" t="n"/>
      <c r="L481" s="87" t="n"/>
      <c r="M481" s="105" t="n"/>
      <c r="N481" s="106" t="n"/>
    </row>
    <row r="482">
      <c r="J482" s="87" t="n"/>
      <c r="L482" s="87" t="n"/>
      <c r="M482" s="105" t="n"/>
      <c r="N482" s="106" t="n"/>
    </row>
    <row r="483">
      <c r="J483" s="87" t="n"/>
      <c r="L483" s="87" t="n"/>
      <c r="M483" s="105" t="n"/>
      <c r="N483" s="106" t="n"/>
    </row>
    <row r="484">
      <c r="J484" s="87" t="n"/>
      <c r="L484" s="87" t="n"/>
      <c r="M484" s="105" t="n"/>
      <c r="N484" s="106" t="n"/>
    </row>
    <row r="485">
      <c r="J485" s="87" t="n"/>
      <c r="L485" s="87" t="n"/>
      <c r="M485" s="105" t="n"/>
      <c r="N485" s="106" t="n"/>
    </row>
    <row r="486">
      <c r="J486" s="87" t="n"/>
      <c r="L486" s="87" t="n"/>
      <c r="M486" s="105" t="n"/>
      <c r="N486" s="106" t="n"/>
    </row>
    <row r="487">
      <c r="J487" s="87" t="n"/>
      <c r="L487" s="87" t="n"/>
      <c r="M487" s="105" t="n"/>
      <c r="N487" s="106" t="n"/>
    </row>
    <row r="488">
      <c r="J488" s="87" t="n"/>
      <c r="L488" s="87" t="n"/>
      <c r="M488" s="105" t="n"/>
      <c r="N488" s="106" t="n"/>
    </row>
    <row r="489">
      <c r="J489" s="87" t="n"/>
      <c r="L489" s="87" t="n"/>
      <c r="M489" s="105" t="n"/>
      <c r="N489" s="106" t="n"/>
    </row>
    <row r="490">
      <c r="J490" s="87" t="n"/>
      <c r="L490" s="87" t="n"/>
      <c r="M490" s="105" t="n"/>
      <c r="N490" s="106" t="n"/>
    </row>
    <row r="491">
      <c r="J491" s="87" t="n"/>
      <c r="L491" s="87" t="n"/>
      <c r="M491" s="105" t="n"/>
      <c r="N491" s="106" t="n"/>
    </row>
    <row r="492">
      <c r="J492" s="87" t="n"/>
      <c r="L492" s="87" t="n"/>
      <c r="M492" s="105" t="n"/>
      <c r="N492" s="106" t="n"/>
    </row>
    <row r="493">
      <c r="J493" s="87" t="n"/>
      <c r="L493" s="87" t="n"/>
      <c r="M493" s="105" t="n"/>
      <c r="N493" s="106" t="n"/>
    </row>
    <row r="494">
      <c r="J494" s="87" t="n"/>
      <c r="L494" s="87" t="n"/>
      <c r="M494" s="105" t="n"/>
      <c r="N494" s="106" t="n"/>
    </row>
    <row r="495">
      <c r="J495" s="87" t="n"/>
      <c r="L495" s="87" t="n"/>
      <c r="M495" s="105" t="n"/>
      <c r="N495" s="106" t="n"/>
    </row>
    <row r="496">
      <c r="J496" s="87" t="n"/>
      <c r="L496" s="87" t="n"/>
      <c r="M496" s="105" t="n"/>
      <c r="N496" s="106" t="n"/>
    </row>
    <row r="497">
      <c r="J497" s="87" t="n"/>
      <c r="L497" s="87" t="n"/>
      <c r="M497" s="105" t="n"/>
      <c r="N497" s="106" t="n"/>
    </row>
    <row r="498">
      <c r="J498" s="87" t="n"/>
      <c r="L498" s="87" t="n"/>
      <c r="M498" s="105" t="n"/>
      <c r="N498" s="106" t="n"/>
    </row>
    <row r="499">
      <c r="J499" s="87" t="n"/>
      <c r="L499" s="87" t="n"/>
      <c r="M499" s="105" t="n"/>
      <c r="N499" s="106" t="n"/>
    </row>
    <row r="500">
      <c r="J500" s="87" t="n"/>
      <c r="L500" s="87" t="n"/>
      <c r="M500" s="105" t="n"/>
      <c r="N500" s="106" t="n"/>
    </row>
    <row r="501">
      <c r="J501" s="87" t="n"/>
      <c r="L501" s="87" t="n"/>
      <c r="M501" s="105" t="n"/>
      <c r="N501" s="106" t="n"/>
    </row>
    <row r="502">
      <c r="J502" s="87" t="n"/>
      <c r="L502" s="87" t="n"/>
      <c r="M502" s="105" t="n"/>
      <c r="N502" s="106" t="n"/>
    </row>
    <row r="503">
      <c r="J503" s="87" t="n"/>
      <c r="L503" s="87" t="n"/>
      <c r="M503" s="105" t="n"/>
      <c r="N503" s="106" t="n"/>
    </row>
    <row r="504">
      <c r="J504" s="87" t="n"/>
      <c r="L504" s="87" t="n"/>
      <c r="M504" s="105" t="n"/>
      <c r="N504" s="106" t="n"/>
    </row>
    <row r="505">
      <c r="J505" s="87" t="n"/>
      <c r="L505" s="87" t="n"/>
      <c r="M505" s="105" t="n"/>
      <c r="N505" s="106" t="n"/>
    </row>
    <row r="506">
      <c r="J506" s="87" t="n"/>
      <c r="L506" s="87" t="n"/>
      <c r="M506" s="105" t="n"/>
      <c r="N506" s="106" t="n"/>
    </row>
    <row r="507">
      <c r="J507" s="87" t="n"/>
      <c r="L507" s="87" t="n"/>
      <c r="M507" s="105" t="n"/>
      <c r="N507" s="106" t="n"/>
    </row>
    <row r="508">
      <c r="J508" s="87" t="n"/>
      <c r="L508" s="87" t="n"/>
      <c r="M508" s="105" t="n"/>
      <c r="N508" s="106" t="n"/>
    </row>
    <row r="509">
      <c r="J509" s="87" t="n"/>
      <c r="L509" s="87" t="n"/>
      <c r="M509" s="105" t="n"/>
      <c r="N509" s="106" t="n"/>
    </row>
    <row r="510">
      <c r="J510" s="87" t="n"/>
      <c r="L510" s="87" t="n"/>
      <c r="M510" s="105" t="n"/>
      <c r="N510" s="106" t="n"/>
    </row>
    <row r="511">
      <c r="J511" s="87" t="n"/>
      <c r="L511" s="87" t="n"/>
      <c r="M511" s="105" t="n"/>
      <c r="N511" s="106" t="n"/>
    </row>
    <row r="512">
      <c r="J512" s="87" t="n"/>
      <c r="L512" s="87" t="n"/>
      <c r="M512" s="105" t="n"/>
      <c r="N512" s="106" t="n"/>
    </row>
    <row r="513">
      <c r="J513" s="87" t="n"/>
      <c r="L513" s="87" t="n"/>
      <c r="M513" s="105" t="n"/>
      <c r="N513" s="106" t="n"/>
    </row>
    <row r="514">
      <c r="J514" s="87" t="n"/>
      <c r="L514" s="87" t="n"/>
      <c r="M514" s="105" t="n"/>
      <c r="N514" s="106" t="n"/>
    </row>
    <row r="515">
      <c r="J515" s="87" t="n"/>
      <c r="L515" s="87" t="n"/>
      <c r="M515" s="105" t="n"/>
      <c r="N515" s="106" t="n"/>
    </row>
    <row r="516">
      <c r="J516" s="87" t="n"/>
      <c r="L516" s="87" t="n"/>
      <c r="M516" s="105" t="n"/>
      <c r="N516" s="106" t="n"/>
    </row>
    <row r="517">
      <c r="J517" s="87" t="n"/>
      <c r="L517" s="87" t="n"/>
      <c r="M517" s="105" t="n"/>
      <c r="N517" s="106" t="n"/>
    </row>
    <row r="518">
      <c r="J518" s="87" t="n"/>
      <c r="L518" s="87" t="n"/>
      <c r="M518" s="105" t="n"/>
      <c r="N518" s="106" t="n"/>
    </row>
    <row r="519">
      <c r="J519" s="87" t="n"/>
      <c r="L519" s="87" t="n"/>
      <c r="M519" s="105" t="n"/>
      <c r="N519" s="106" t="n"/>
    </row>
    <row r="520">
      <c r="J520" s="87" t="n"/>
      <c r="L520" s="87" t="n"/>
      <c r="M520" s="105" t="n"/>
      <c r="N520" s="106" t="n"/>
    </row>
    <row r="521">
      <c r="J521" s="87" t="n"/>
      <c r="L521" s="87" t="n"/>
      <c r="M521" s="105" t="n"/>
      <c r="N521" s="106" t="n"/>
    </row>
    <row r="522">
      <c r="J522" s="87" t="n"/>
      <c r="L522" s="87" t="n"/>
      <c r="M522" s="105" t="n"/>
      <c r="N522" s="106" t="n"/>
    </row>
    <row r="523">
      <c r="J523" s="87" t="n"/>
      <c r="L523" s="87" t="n"/>
      <c r="M523" s="105" t="n"/>
      <c r="N523" s="106" t="n"/>
    </row>
    <row r="524">
      <c r="J524" s="87" t="n"/>
      <c r="L524" s="87" t="n"/>
      <c r="M524" s="105" t="n"/>
      <c r="N524" s="106" t="n"/>
    </row>
    <row r="525">
      <c r="J525" s="87" t="n"/>
      <c r="L525" s="87" t="n"/>
      <c r="M525" s="105" t="n"/>
      <c r="N525" s="106" t="n"/>
    </row>
    <row r="526">
      <c r="J526" s="87" t="n"/>
      <c r="L526" s="87" t="n"/>
      <c r="M526" s="105" t="n"/>
      <c r="N526" s="106" t="n"/>
    </row>
    <row r="527">
      <c r="J527" s="87" t="n"/>
      <c r="L527" s="87" t="n"/>
      <c r="M527" s="105" t="n"/>
      <c r="N527" s="106" t="n"/>
    </row>
    <row r="528">
      <c r="J528" s="87" t="n"/>
      <c r="L528" s="87" t="n"/>
      <c r="M528" s="105" t="n"/>
      <c r="N528" s="106" t="n"/>
    </row>
    <row r="529">
      <c r="J529" s="87" t="n"/>
      <c r="L529" s="87" t="n"/>
      <c r="M529" s="105" t="n"/>
      <c r="N529" s="106" t="n"/>
    </row>
    <row r="530">
      <c r="J530" s="87" t="n"/>
      <c r="L530" s="87" t="n"/>
      <c r="M530" s="105" t="n"/>
      <c r="N530" s="106" t="n"/>
    </row>
    <row r="531">
      <c r="J531" s="87" t="n"/>
      <c r="L531" s="87" t="n"/>
      <c r="M531" s="105" t="n"/>
      <c r="N531" s="106" t="n"/>
    </row>
    <row r="532">
      <c r="J532" s="87" t="n"/>
      <c r="L532" s="87" t="n"/>
      <c r="M532" s="105" t="n"/>
      <c r="N532" s="106" t="n"/>
    </row>
    <row r="533">
      <c r="J533" s="87" t="n"/>
      <c r="L533" s="87" t="n"/>
      <c r="M533" s="105" t="n"/>
      <c r="N533" s="106" t="n"/>
    </row>
    <row r="534">
      <c r="J534" s="87" t="n"/>
      <c r="L534" s="87" t="n"/>
      <c r="M534" s="105" t="n"/>
      <c r="N534" s="106" t="n"/>
    </row>
    <row r="535">
      <c r="J535" s="87" t="n"/>
      <c r="L535" s="87" t="n"/>
      <c r="M535" s="105" t="n"/>
      <c r="N535" s="106" t="n"/>
    </row>
    <row r="536">
      <c r="J536" s="87" t="n"/>
      <c r="L536" s="87" t="n"/>
      <c r="M536" s="105" t="n"/>
      <c r="N536" s="106" t="n"/>
    </row>
    <row r="537">
      <c r="J537" s="87" t="n"/>
      <c r="L537" s="87" t="n"/>
      <c r="M537" s="105" t="n"/>
      <c r="N537" s="106" t="n"/>
    </row>
    <row r="538">
      <c r="J538" s="87" t="n"/>
      <c r="L538" s="87" t="n"/>
      <c r="M538" s="105" t="n"/>
      <c r="N538" s="106" t="n"/>
    </row>
    <row r="539">
      <c r="J539" s="87" t="n"/>
      <c r="L539" s="87" t="n"/>
      <c r="M539" s="105" t="n"/>
      <c r="N539" s="106" t="n"/>
    </row>
    <row r="540">
      <c r="J540" s="87" t="n"/>
      <c r="L540" s="87" t="n"/>
      <c r="M540" s="105" t="n"/>
      <c r="N540" s="106" t="n"/>
    </row>
    <row r="541">
      <c r="J541" s="87" t="n"/>
      <c r="L541" s="87" t="n"/>
      <c r="M541" s="105" t="n"/>
      <c r="N541" s="106" t="n"/>
    </row>
    <row r="542">
      <c r="J542" s="87" t="n"/>
      <c r="L542" s="87" t="n"/>
      <c r="M542" s="105" t="n"/>
      <c r="N542" s="106" t="n"/>
    </row>
    <row r="543">
      <c r="J543" s="87" t="n"/>
      <c r="L543" s="87" t="n"/>
      <c r="M543" s="105" t="n"/>
      <c r="N543" s="106" t="n"/>
    </row>
    <row r="544">
      <c r="J544" s="87" t="n"/>
      <c r="L544" s="87" t="n"/>
      <c r="M544" s="105" t="n"/>
      <c r="N544" s="106" t="n"/>
    </row>
    <row r="545">
      <c r="J545" s="87" t="n"/>
      <c r="L545" s="87" t="n"/>
      <c r="M545" s="105" t="n"/>
      <c r="N545" s="106" t="n"/>
    </row>
    <row r="546">
      <c r="J546" s="87" t="n"/>
      <c r="L546" s="87" t="n"/>
      <c r="M546" s="105" t="n"/>
      <c r="N546" s="106" t="n"/>
    </row>
    <row r="547">
      <c r="J547" s="87" t="n"/>
      <c r="L547" s="87" t="n"/>
      <c r="M547" s="105" t="n"/>
      <c r="N547" s="106" t="n"/>
    </row>
    <row r="548">
      <c r="J548" s="87" t="n"/>
      <c r="L548" s="87" t="n"/>
      <c r="M548" s="105" t="n"/>
      <c r="N548" s="106" t="n"/>
    </row>
    <row r="549">
      <c r="J549" s="87" t="n"/>
      <c r="L549" s="87" t="n"/>
      <c r="M549" s="105" t="n"/>
      <c r="N549" s="106" t="n"/>
    </row>
    <row r="550">
      <c r="J550" s="87" t="n"/>
      <c r="L550" s="87" t="n"/>
      <c r="M550" s="105" t="n"/>
      <c r="N550" s="106" t="n"/>
    </row>
    <row r="551">
      <c r="J551" s="87" t="n"/>
      <c r="L551" s="87" t="n"/>
      <c r="M551" s="105" t="n"/>
      <c r="N551" s="106" t="n"/>
    </row>
    <row r="552">
      <c r="J552" s="87" t="n"/>
      <c r="L552" s="87" t="n"/>
      <c r="M552" s="105" t="n"/>
      <c r="N552" s="106" t="n"/>
    </row>
    <row r="553">
      <c r="J553" s="87" t="n"/>
      <c r="L553" s="87" t="n"/>
      <c r="M553" s="105" t="n"/>
      <c r="N553" s="106" t="n"/>
    </row>
    <row r="554">
      <c r="J554" s="87" t="n"/>
      <c r="L554" s="87" t="n"/>
      <c r="M554" s="105" t="n"/>
      <c r="N554" s="106" t="n"/>
    </row>
    <row r="555">
      <c r="J555" s="87" t="n"/>
      <c r="L555" s="87" t="n"/>
      <c r="M555" s="105" t="n"/>
      <c r="N555" s="106" t="n"/>
    </row>
    <row r="556">
      <c r="J556" s="87" t="n"/>
      <c r="L556" s="87" t="n"/>
      <c r="M556" s="105" t="n"/>
      <c r="N556" s="106" t="n"/>
    </row>
    <row r="557">
      <c r="J557" s="87" t="n"/>
      <c r="L557" s="87" t="n"/>
      <c r="M557" s="105" t="n"/>
      <c r="N557" s="106" t="n"/>
    </row>
    <row r="558">
      <c r="J558" s="87" t="n"/>
      <c r="L558" s="87" t="n"/>
      <c r="M558" s="105" t="n"/>
      <c r="N558" s="106" t="n"/>
    </row>
    <row r="559">
      <c r="J559" s="87" t="n"/>
      <c r="L559" s="87" t="n"/>
      <c r="M559" s="105" t="n"/>
      <c r="N559" s="106" t="n"/>
    </row>
    <row r="560">
      <c r="J560" s="87" t="n"/>
      <c r="L560" s="87" t="n"/>
      <c r="M560" s="105" t="n"/>
      <c r="N560" s="106" t="n"/>
    </row>
    <row r="561">
      <c r="J561" s="87" t="n"/>
      <c r="L561" s="87" t="n"/>
      <c r="M561" s="105" t="n"/>
      <c r="N561" s="106" t="n"/>
    </row>
    <row r="562">
      <c r="J562" s="87" t="n"/>
      <c r="L562" s="87" t="n"/>
      <c r="M562" s="105" t="n"/>
      <c r="N562" s="106" t="n"/>
    </row>
    <row r="563">
      <c r="J563" s="87" t="n"/>
      <c r="L563" s="87" t="n"/>
      <c r="M563" s="105" t="n"/>
      <c r="N563" s="106" t="n"/>
    </row>
    <row r="564">
      <c r="J564" s="87" t="n"/>
      <c r="L564" s="87" t="n"/>
      <c r="M564" s="105" t="n"/>
      <c r="N564" s="106" t="n"/>
    </row>
    <row r="565">
      <c r="J565" s="87" t="n"/>
      <c r="L565" s="87" t="n"/>
      <c r="M565" s="105" t="n"/>
      <c r="N565" s="106" t="n"/>
    </row>
    <row r="566">
      <c r="J566" s="87" t="n"/>
      <c r="L566" s="87" t="n"/>
      <c r="M566" s="105" t="n"/>
      <c r="N566" s="106" t="n"/>
    </row>
    <row r="567">
      <c r="J567" s="87" t="n"/>
      <c r="L567" s="87" t="n"/>
      <c r="M567" s="105" t="n"/>
      <c r="N567" s="106" t="n"/>
    </row>
    <row r="568">
      <c r="J568" s="87" t="n"/>
      <c r="L568" s="87" t="n"/>
      <c r="M568" s="105" t="n"/>
      <c r="N568" s="106" t="n"/>
    </row>
    <row r="569">
      <c r="J569" s="87" t="n"/>
      <c r="L569" s="87" t="n"/>
      <c r="M569" s="105" t="n"/>
      <c r="N569" s="106" t="n"/>
    </row>
    <row r="570">
      <c r="J570" s="87" t="n"/>
      <c r="L570" s="87" t="n"/>
      <c r="M570" s="105" t="n"/>
      <c r="N570" s="106" t="n"/>
    </row>
    <row r="571">
      <c r="J571" s="87" t="n"/>
      <c r="L571" s="87" t="n"/>
      <c r="M571" s="105" t="n"/>
      <c r="N571" s="106" t="n"/>
    </row>
    <row r="572">
      <c r="J572" s="87" t="n"/>
      <c r="L572" s="87" t="n"/>
      <c r="M572" s="105" t="n"/>
      <c r="N572" s="106" t="n"/>
    </row>
    <row r="573">
      <c r="J573" s="87" t="n"/>
      <c r="L573" s="87" t="n"/>
      <c r="M573" s="105" t="n"/>
      <c r="N573" s="106" t="n"/>
    </row>
    <row r="574">
      <c r="J574" s="87" t="n"/>
      <c r="L574" s="87" t="n"/>
      <c r="M574" s="105" t="n"/>
      <c r="N574" s="106" t="n"/>
    </row>
    <row r="575">
      <c r="J575" s="87" t="n"/>
      <c r="L575" s="87" t="n"/>
      <c r="M575" s="105" t="n"/>
      <c r="N575" s="106" t="n"/>
    </row>
    <row r="576">
      <c r="J576" s="87" t="n"/>
      <c r="L576" s="87" t="n"/>
      <c r="M576" s="105" t="n"/>
      <c r="N576" s="106" t="n"/>
    </row>
    <row r="577">
      <c r="J577" s="87" t="n"/>
      <c r="L577" s="87" t="n"/>
      <c r="M577" s="105" t="n"/>
      <c r="N577" s="106" t="n"/>
    </row>
    <row r="578">
      <c r="J578" s="87" t="n"/>
      <c r="L578" s="87" t="n"/>
      <c r="M578" s="105" t="n"/>
      <c r="N578" s="106" t="n"/>
    </row>
    <row r="579">
      <c r="J579" s="87" t="n"/>
      <c r="L579" s="87" t="n"/>
      <c r="M579" s="105" t="n"/>
      <c r="N579" s="106" t="n"/>
    </row>
    <row r="580">
      <c r="J580" s="87" t="n"/>
      <c r="L580" s="87" t="n"/>
      <c r="M580" s="105" t="n"/>
      <c r="N580" s="106" t="n"/>
    </row>
    <row r="581">
      <c r="J581" s="87" t="n"/>
      <c r="L581" s="87" t="n"/>
      <c r="M581" s="105" t="n"/>
      <c r="N581" s="106" t="n"/>
    </row>
    <row r="582">
      <c r="J582" s="87" t="n"/>
      <c r="L582" s="87" t="n"/>
      <c r="M582" s="105" t="n"/>
      <c r="N582" s="106" t="n"/>
    </row>
    <row r="583">
      <c r="J583" s="87" t="n"/>
      <c r="L583" s="87" t="n"/>
      <c r="M583" s="105" t="n"/>
      <c r="N583" s="106" t="n"/>
    </row>
    <row r="584">
      <c r="J584" s="87" t="n"/>
      <c r="L584" s="87" t="n"/>
      <c r="M584" s="105" t="n"/>
      <c r="N584" s="106" t="n"/>
    </row>
    <row r="585">
      <c r="J585" s="87" t="n"/>
      <c r="L585" s="87" t="n"/>
      <c r="M585" s="105" t="n"/>
      <c r="N585" s="106" t="n"/>
    </row>
    <row r="586">
      <c r="J586" s="87" t="n"/>
      <c r="L586" s="87" t="n"/>
      <c r="M586" s="105" t="n"/>
      <c r="N586" s="106" t="n"/>
    </row>
    <row r="587">
      <c r="J587" s="87" t="n"/>
      <c r="L587" s="87" t="n"/>
      <c r="M587" s="105" t="n"/>
      <c r="N587" s="106" t="n"/>
    </row>
    <row r="588">
      <c r="J588" s="87" t="n"/>
      <c r="L588" s="87" t="n"/>
      <c r="M588" s="105" t="n"/>
      <c r="N588" s="106" t="n"/>
    </row>
    <row r="589">
      <c r="J589" s="87" t="n"/>
      <c r="L589" s="87" t="n"/>
      <c r="M589" s="105" t="n"/>
      <c r="N589" s="106" t="n"/>
    </row>
    <row r="590">
      <c r="J590" s="87" t="n"/>
      <c r="L590" s="87" t="n"/>
      <c r="M590" s="105" t="n"/>
      <c r="N590" s="106" t="n"/>
    </row>
    <row r="591">
      <c r="J591" s="87" t="n"/>
      <c r="L591" s="87" t="n"/>
      <c r="M591" s="105" t="n"/>
      <c r="N591" s="106" t="n"/>
    </row>
    <row r="592">
      <c r="J592" s="87" t="n"/>
      <c r="L592" s="87" t="n"/>
      <c r="M592" s="105" t="n"/>
      <c r="N592" s="106" t="n"/>
    </row>
    <row r="593">
      <c r="J593" s="87" t="n"/>
      <c r="L593" s="87" t="n"/>
      <c r="M593" s="105" t="n"/>
      <c r="N593" s="106" t="n"/>
    </row>
    <row r="594">
      <c r="J594" s="87" t="n"/>
      <c r="L594" s="87" t="n"/>
      <c r="M594" s="105" t="n"/>
      <c r="N594" s="106" t="n"/>
    </row>
    <row r="595">
      <c r="J595" s="87" t="n"/>
      <c r="L595" s="87" t="n"/>
      <c r="M595" s="105" t="n"/>
      <c r="N595" s="106" t="n"/>
    </row>
    <row r="596">
      <c r="J596" s="87" t="n"/>
      <c r="L596" s="87" t="n"/>
      <c r="M596" s="105" t="n"/>
      <c r="N596" s="106" t="n"/>
    </row>
    <row r="597">
      <c r="J597" s="87" t="n"/>
      <c r="L597" s="87" t="n"/>
      <c r="M597" s="105" t="n"/>
      <c r="N597" s="106" t="n"/>
    </row>
    <row r="598">
      <c r="J598" s="87" t="n"/>
      <c r="L598" s="87" t="n"/>
      <c r="M598" s="105" t="n"/>
      <c r="N598" s="106" t="n"/>
    </row>
    <row r="599">
      <c r="J599" s="87" t="n"/>
      <c r="L599" s="87" t="n"/>
      <c r="M599" s="105" t="n"/>
      <c r="N599" s="106" t="n"/>
    </row>
    <row r="600">
      <c r="J600" s="87" t="n"/>
      <c r="L600" s="87" t="n"/>
      <c r="M600" s="105" t="n"/>
      <c r="N600" s="106" t="n"/>
    </row>
    <row r="601">
      <c r="J601" s="87" t="n"/>
      <c r="L601" s="87" t="n"/>
      <c r="M601" s="105" t="n"/>
      <c r="N601" s="106" t="n"/>
    </row>
    <row r="602">
      <c r="J602" s="87" t="n"/>
      <c r="L602" s="87" t="n"/>
      <c r="M602" s="105" t="n"/>
      <c r="N602" s="106" t="n"/>
    </row>
    <row r="603">
      <c r="J603" s="87" t="n"/>
      <c r="L603" s="87" t="n"/>
      <c r="M603" s="105" t="n"/>
      <c r="N603" s="106" t="n"/>
    </row>
    <row r="604">
      <c r="J604" s="87" t="n"/>
      <c r="L604" s="87" t="n"/>
      <c r="M604" s="105" t="n"/>
      <c r="N604" s="106" t="n"/>
    </row>
    <row r="605">
      <c r="J605" s="87" t="n"/>
      <c r="L605" s="87" t="n"/>
      <c r="M605" s="105" t="n"/>
      <c r="N605" s="106" t="n"/>
    </row>
    <row r="606">
      <c r="J606" s="87" t="n"/>
      <c r="L606" s="87" t="n"/>
      <c r="M606" s="105" t="n"/>
      <c r="N606" s="106" t="n"/>
    </row>
    <row r="607">
      <c r="J607" s="87" t="n"/>
      <c r="L607" s="87" t="n"/>
      <c r="M607" s="105" t="n"/>
      <c r="N607" s="106" t="n"/>
    </row>
    <row r="608">
      <c r="J608" s="87" t="n"/>
      <c r="L608" s="87" t="n"/>
      <c r="M608" s="105" t="n"/>
      <c r="N608" s="106" t="n"/>
    </row>
    <row r="609">
      <c r="J609" s="87" t="n"/>
      <c r="L609" s="87" t="n"/>
      <c r="M609" s="105" t="n"/>
      <c r="N609" s="106" t="n"/>
    </row>
    <row r="610">
      <c r="J610" s="87" t="n"/>
      <c r="L610" s="87" t="n"/>
      <c r="M610" s="105" t="n"/>
      <c r="N610" s="106" t="n"/>
    </row>
    <row r="611">
      <c r="J611" s="87" t="n"/>
      <c r="L611" s="87" t="n"/>
      <c r="M611" s="105" t="n"/>
      <c r="N611" s="106" t="n"/>
    </row>
    <row r="612">
      <c r="J612" s="87" t="n"/>
      <c r="L612" s="87" t="n"/>
      <c r="M612" s="105" t="n"/>
      <c r="N612" s="106" t="n"/>
    </row>
    <row r="613">
      <c r="J613" s="87" t="n"/>
      <c r="L613" s="87" t="n"/>
      <c r="M613" s="105" t="n"/>
      <c r="N613" s="106" t="n"/>
    </row>
    <row r="614">
      <c r="J614" s="87" t="n"/>
      <c r="L614" s="87" t="n"/>
      <c r="M614" s="105" t="n"/>
      <c r="N614" s="106" t="n"/>
    </row>
    <row r="615">
      <c r="J615" s="87" t="n"/>
      <c r="L615" s="87" t="n"/>
      <c r="M615" s="105" t="n"/>
      <c r="N615" s="106" t="n"/>
    </row>
    <row r="616">
      <c r="J616" s="87" t="n"/>
      <c r="L616" s="87" t="n"/>
      <c r="M616" s="105" t="n"/>
      <c r="N616" s="106" t="n"/>
    </row>
    <row r="617">
      <c r="J617" s="87" t="n"/>
      <c r="L617" s="87" t="n"/>
      <c r="M617" s="105" t="n"/>
      <c r="N617" s="106" t="n"/>
    </row>
    <row r="618">
      <c r="J618" s="87" t="n"/>
      <c r="L618" s="87" t="n"/>
      <c r="M618" s="105" t="n"/>
      <c r="N618" s="106" t="n"/>
    </row>
    <row r="619">
      <c r="J619" s="87" t="n"/>
      <c r="L619" s="87" t="n"/>
      <c r="M619" s="105" t="n"/>
      <c r="N619" s="106" t="n"/>
    </row>
    <row r="620">
      <c r="J620" s="87" t="n"/>
      <c r="L620" s="87" t="n"/>
      <c r="M620" s="105" t="n"/>
      <c r="N620" s="106" t="n"/>
    </row>
    <row r="621">
      <c r="J621" s="87" t="n"/>
      <c r="L621" s="87" t="n"/>
      <c r="M621" s="105" t="n"/>
      <c r="N621" s="106" t="n"/>
    </row>
    <row r="622">
      <c r="J622" s="87" t="n"/>
      <c r="L622" s="87" t="n"/>
      <c r="M622" s="105" t="n"/>
      <c r="N622" s="106" t="n"/>
    </row>
    <row r="623">
      <c r="J623" s="87" t="n"/>
      <c r="L623" s="87" t="n"/>
      <c r="M623" s="105" t="n"/>
      <c r="N623" s="106" t="n"/>
    </row>
    <row r="624">
      <c r="J624" s="87" t="n"/>
      <c r="L624" s="87" t="n"/>
      <c r="M624" s="105" t="n"/>
      <c r="N624" s="106" t="n"/>
    </row>
    <row r="625">
      <c r="J625" s="87" t="n"/>
      <c r="L625" s="87" t="n"/>
      <c r="M625" s="105" t="n"/>
      <c r="N625" s="106" t="n"/>
    </row>
    <row r="626">
      <c r="J626" s="87" t="n"/>
      <c r="L626" s="87" t="n"/>
      <c r="M626" s="105" t="n"/>
      <c r="N626" s="106" t="n"/>
    </row>
    <row r="627">
      <c r="J627" s="87" t="n"/>
      <c r="L627" s="87" t="n"/>
      <c r="M627" s="105" t="n"/>
      <c r="N627" s="106" t="n"/>
    </row>
    <row r="628">
      <c r="J628" s="87" t="n"/>
      <c r="L628" s="87" t="n"/>
      <c r="M628" s="105" t="n"/>
      <c r="N628" s="106" t="n"/>
    </row>
    <row r="629">
      <c r="J629" s="87" t="n"/>
      <c r="L629" s="87" t="n"/>
      <c r="M629" s="105" t="n"/>
      <c r="N629" s="106" t="n"/>
    </row>
    <row r="630">
      <c r="J630" s="87" t="n"/>
      <c r="L630" s="87" t="n"/>
      <c r="M630" s="105" t="n"/>
      <c r="N630" s="106" t="n"/>
    </row>
    <row r="631">
      <c r="J631" s="87" t="n"/>
      <c r="L631" s="87" t="n"/>
      <c r="M631" s="105" t="n"/>
      <c r="N631" s="106" t="n"/>
    </row>
    <row r="632">
      <c r="J632" s="87" t="n"/>
      <c r="L632" s="87" t="n"/>
      <c r="M632" s="105" t="n"/>
      <c r="N632" s="106" t="n"/>
    </row>
    <row r="633">
      <c r="J633" s="87" t="n"/>
      <c r="L633" s="87" t="n"/>
      <c r="M633" s="105" t="n"/>
      <c r="N633" s="106" t="n"/>
    </row>
    <row r="634">
      <c r="J634" s="87" t="n"/>
      <c r="L634" s="87" t="n"/>
      <c r="M634" s="105" t="n"/>
      <c r="N634" s="106" t="n"/>
    </row>
    <row r="635">
      <c r="J635" s="87" t="n"/>
      <c r="L635" s="87" t="n"/>
      <c r="M635" s="105" t="n"/>
      <c r="N635" s="106" t="n"/>
    </row>
    <row r="636">
      <c r="J636" s="87" t="n"/>
      <c r="L636" s="87" t="n"/>
      <c r="M636" s="105" t="n"/>
      <c r="N636" s="106" t="n"/>
    </row>
    <row r="637">
      <c r="J637" s="87" t="n"/>
      <c r="L637" s="87" t="n"/>
      <c r="M637" s="105" t="n"/>
      <c r="N637" s="106" t="n"/>
    </row>
    <row r="638">
      <c r="J638" s="87" t="n"/>
      <c r="L638" s="87" t="n"/>
      <c r="M638" s="105" t="n"/>
      <c r="N638" s="106" t="n"/>
    </row>
    <row r="639">
      <c r="J639" s="87" t="n"/>
      <c r="L639" s="87" t="n"/>
      <c r="M639" s="105" t="n"/>
      <c r="N639" s="106" t="n"/>
    </row>
    <row r="640">
      <c r="J640" s="87" t="n"/>
      <c r="L640" s="87" t="n"/>
      <c r="M640" s="105" t="n"/>
      <c r="N640" s="106" t="n"/>
    </row>
    <row r="641">
      <c r="J641" s="87" t="n"/>
      <c r="L641" s="87" t="n"/>
      <c r="M641" s="105" t="n"/>
      <c r="N641" s="106" t="n"/>
    </row>
    <row r="642">
      <c r="J642" s="87" t="n"/>
      <c r="L642" s="87" t="n"/>
      <c r="M642" s="105" t="n"/>
      <c r="N642" s="106" t="n"/>
    </row>
    <row r="643">
      <c r="J643" s="87" t="n"/>
      <c r="L643" s="87" t="n"/>
      <c r="M643" s="105" t="n"/>
      <c r="N643" s="106" t="n"/>
    </row>
    <row r="644">
      <c r="J644" s="87" t="n"/>
      <c r="L644" s="87" t="n"/>
      <c r="M644" s="105" t="n"/>
      <c r="N644" s="106" t="n"/>
    </row>
    <row r="645">
      <c r="J645" s="87" t="n"/>
      <c r="L645" s="87" t="n"/>
      <c r="M645" s="105" t="n"/>
      <c r="N645" s="106" t="n"/>
    </row>
    <row r="646">
      <c r="J646" s="87" t="n"/>
      <c r="L646" s="87" t="n"/>
      <c r="M646" s="105" t="n"/>
      <c r="N646" s="106" t="n"/>
    </row>
    <row r="647">
      <c r="J647" s="87" t="n"/>
      <c r="L647" s="87" t="n"/>
      <c r="M647" s="105" t="n"/>
      <c r="N647" s="106" t="n"/>
    </row>
    <row r="648">
      <c r="J648" s="87" t="n"/>
      <c r="L648" s="87" t="n"/>
      <c r="M648" s="105" t="n"/>
      <c r="N648" s="106" t="n"/>
    </row>
    <row r="649">
      <c r="J649" s="87" t="n"/>
      <c r="L649" s="87" t="n"/>
      <c r="M649" s="105" t="n"/>
      <c r="N649" s="106" t="n"/>
    </row>
    <row r="650">
      <c r="J650" s="87" t="n"/>
      <c r="L650" s="87" t="n"/>
      <c r="M650" s="105" t="n"/>
      <c r="N650" s="106" t="n"/>
    </row>
    <row r="651">
      <c r="J651" s="87" t="n"/>
      <c r="L651" s="87" t="n"/>
      <c r="M651" s="105" t="n"/>
      <c r="N651" s="106" t="n"/>
    </row>
    <row r="652">
      <c r="J652" s="87" t="n"/>
      <c r="L652" s="87" t="n"/>
      <c r="M652" s="105" t="n"/>
      <c r="N652" s="106" t="n"/>
    </row>
    <row r="653">
      <c r="J653" s="87" t="n"/>
      <c r="L653" s="87" t="n"/>
      <c r="M653" s="105" t="n"/>
      <c r="N653" s="106" t="n"/>
    </row>
    <row r="654">
      <c r="J654" s="87" t="n"/>
      <c r="L654" s="87" t="n"/>
      <c r="M654" s="105" t="n"/>
      <c r="N654" s="106" t="n"/>
    </row>
    <row r="655">
      <c r="J655" s="87" t="n"/>
      <c r="L655" s="87" t="n"/>
      <c r="M655" s="105" t="n"/>
      <c r="N655" s="106" t="n"/>
    </row>
    <row r="656">
      <c r="J656" s="87" t="n"/>
      <c r="L656" s="87" t="n"/>
      <c r="M656" s="105" t="n"/>
      <c r="N656" s="106" t="n"/>
    </row>
    <row r="657">
      <c r="J657" s="87" t="n"/>
      <c r="L657" s="87" t="n"/>
      <c r="M657" s="105" t="n"/>
      <c r="N657" s="106" t="n"/>
    </row>
    <row r="658">
      <c r="J658" s="87" t="n"/>
      <c r="L658" s="87" t="n"/>
      <c r="M658" s="105" t="n"/>
      <c r="N658" s="106" t="n"/>
    </row>
    <row r="659">
      <c r="J659" s="87" t="n"/>
      <c r="L659" s="87" t="n"/>
      <c r="M659" s="105" t="n"/>
      <c r="N659" s="106" t="n"/>
    </row>
    <row r="660">
      <c r="J660" s="87" t="n"/>
      <c r="L660" s="87" t="n"/>
      <c r="M660" s="105" t="n"/>
      <c r="N660" s="106" t="n"/>
    </row>
    <row r="661">
      <c r="J661" s="87" t="n"/>
      <c r="L661" s="87" t="n"/>
      <c r="M661" s="105" t="n"/>
      <c r="N661" s="106" t="n"/>
    </row>
    <row r="662">
      <c r="J662" s="87" t="n"/>
      <c r="L662" s="87" t="n"/>
      <c r="M662" s="105" t="n"/>
      <c r="N662" s="106" t="n"/>
    </row>
    <row r="663">
      <c r="J663" s="87" t="n"/>
      <c r="L663" s="87" t="n"/>
      <c r="M663" s="105" t="n"/>
      <c r="N663" s="106" t="n"/>
    </row>
    <row r="664">
      <c r="J664" s="87" t="n"/>
      <c r="L664" s="87" t="n"/>
      <c r="M664" s="105" t="n"/>
      <c r="N664" s="106" t="n"/>
    </row>
    <row r="665">
      <c r="J665" s="87" t="n"/>
      <c r="L665" s="87" t="n"/>
      <c r="M665" s="105" t="n"/>
      <c r="N665" s="106" t="n"/>
    </row>
    <row r="666">
      <c r="J666" s="87" t="n"/>
      <c r="L666" s="87" t="n"/>
      <c r="M666" s="105" t="n"/>
      <c r="N666" s="106" t="n"/>
    </row>
    <row r="667">
      <c r="J667" s="87" t="n"/>
      <c r="L667" s="87" t="n"/>
      <c r="M667" s="105" t="n"/>
      <c r="N667" s="106" t="n"/>
    </row>
    <row r="668">
      <c r="J668" s="87" t="n"/>
      <c r="L668" s="87" t="n"/>
      <c r="M668" s="105" t="n"/>
      <c r="N668" s="106" t="n"/>
    </row>
    <row r="669">
      <c r="J669" s="87" t="n"/>
      <c r="L669" s="87" t="n"/>
      <c r="M669" s="105" t="n"/>
      <c r="N669" s="106" t="n"/>
    </row>
    <row r="670">
      <c r="J670" s="87" t="n"/>
      <c r="L670" s="87" t="n"/>
      <c r="M670" s="105" t="n"/>
      <c r="N670" s="106" t="n"/>
    </row>
    <row r="671">
      <c r="J671" s="87" t="n"/>
      <c r="L671" s="87" t="n"/>
      <c r="M671" s="105" t="n"/>
      <c r="N671" s="106" t="n"/>
    </row>
    <row r="672">
      <c r="J672" s="87" t="n"/>
      <c r="L672" s="87" t="n"/>
      <c r="M672" s="105" t="n"/>
      <c r="N672" s="106" t="n"/>
    </row>
    <row r="673">
      <c r="J673" s="87" t="n"/>
      <c r="L673" s="87" t="n"/>
      <c r="M673" s="105" t="n"/>
      <c r="N673" s="106" t="n"/>
    </row>
    <row r="674">
      <c r="J674" s="87" t="n"/>
      <c r="L674" s="87" t="n"/>
      <c r="M674" s="105" t="n"/>
      <c r="N674" s="106" t="n"/>
    </row>
    <row r="675">
      <c r="J675" s="87" t="n"/>
      <c r="L675" s="87" t="n"/>
      <c r="M675" s="105" t="n"/>
      <c r="N675" s="106" t="n"/>
    </row>
    <row r="676">
      <c r="J676" s="87" t="n"/>
      <c r="L676" s="87" t="n"/>
      <c r="M676" s="105" t="n"/>
      <c r="N676" s="106" t="n"/>
    </row>
    <row r="677">
      <c r="J677" s="87" t="n"/>
      <c r="L677" s="87" t="n"/>
      <c r="M677" s="105" t="n"/>
      <c r="N677" s="106" t="n"/>
    </row>
    <row r="678">
      <c r="J678" s="87" t="n"/>
      <c r="L678" s="87" t="n"/>
      <c r="M678" s="105" t="n"/>
      <c r="N678" s="106" t="n"/>
    </row>
    <row r="679">
      <c r="J679" s="87" t="n"/>
      <c r="L679" s="87" t="n"/>
      <c r="M679" s="105" t="n"/>
      <c r="N679" s="106" t="n"/>
    </row>
    <row r="680">
      <c r="J680" s="87" t="n"/>
      <c r="L680" s="87" t="n"/>
      <c r="M680" s="105" t="n"/>
      <c r="N680" s="106" t="n"/>
    </row>
    <row r="681">
      <c r="J681" s="87" t="n"/>
      <c r="L681" s="87" t="n"/>
      <c r="M681" s="105" t="n"/>
      <c r="N681" s="106" t="n"/>
    </row>
    <row r="682">
      <c r="J682" s="87" t="n"/>
      <c r="L682" s="87" t="n"/>
      <c r="M682" s="105" t="n"/>
      <c r="N682" s="106" t="n"/>
    </row>
    <row r="683">
      <c r="J683" s="87" t="n"/>
      <c r="L683" s="87" t="n"/>
      <c r="M683" s="105" t="n"/>
      <c r="N683" s="106" t="n"/>
    </row>
    <row r="684">
      <c r="J684" s="87" t="n"/>
      <c r="L684" s="87" t="n"/>
      <c r="M684" s="105" t="n"/>
      <c r="N684" s="106" t="n"/>
    </row>
    <row r="685">
      <c r="J685" s="87" t="n"/>
      <c r="L685" s="87" t="n"/>
      <c r="M685" s="105" t="n"/>
      <c r="N685" s="106" t="n"/>
    </row>
    <row r="686">
      <c r="J686" s="87" t="n"/>
      <c r="L686" s="87" t="n"/>
      <c r="M686" s="105" t="n"/>
      <c r="N686" s="106" t="n"/>
    </row>
    <row r="687">
      <c r="J687" s="87" t="n"/>
      <c r="L687" s="87" t="n"/>
      <c r="M687" s="105" t="n"/>
      <c r="N687" s="106" t="n"/>
    </row>
    <row r="688">
      <c r="J688" s="87" t="n"/>
      <c r="L688" s="87" t="n"/>
      <c r="M688" s="105" t="n"/>
      <c r="N688" s="106" t="n"/>
    </row>
    <row r="689">
      <c r="J689" s="87" t="n"/>
      <c r="L689" s="87" t="n"/>
      <c r="M689" s="105" t="n"/>
      <c r="N689" s="106" t="n"/>
    </row>
    <row r="690">
      <c r="J690" s="87" t="n"/>
      <c r="L690" s="87" t="n"/>
      <c r="M690" s="105" t="n"/>
      <c r="N690" s="106" t="n"/>
    </row>
    <row r="691">
      <c r="J691" s="87" t="n"/>
      <c r="L691" s="87" t="n"/>
      <c r="M691" s="105" t="n"/>
      <c r="N691" s="106" t="n"/>
    </row>
    <row r="692">
      <c r="J692" s="87" t="n"/>
      <c r="L692" s="87" t="n"/>
      <c r="M692" s="105" t="n"/>
      <c r="N692" s="106" t="n"/>
    </row>
    <row r="693">
      <c r="J693" s="87" t="n"/>
      <c r="L693" s="87" t="n"/>
      <c r="M693" s="105" t="n"/>
      <c r="N693" s="106" t="n"/>
    </row>
    <row r="694">
      <c r="J694" s="87" t="n"/>
      <c r="L694" s="87" t="n"/>
      <c r="M694" s="105" t="n"/>
      <c r="N694" s="106" t="n"/>
    </row>
    <row r="695">
      <c r="J695" s="87" t="n"/>
      <c r="L695" s="87" t="n"/>
      <c r="M695" s="105" t="n"/>
      <c r="N695" s="106" t="n"/>
    </row>
    <row r="696">
      <c r="J696" s="87" t="n"/>
      <c r="L696" s="87" t="n"/>
      <c r="M696" s="105" t="n"/>
      <c r="N696" s="106" t="n"/>
    </row>
    <row r="697">
      <c r="J697" s="87" t="n"/>
      <c r="L697" s="87" t="n"/>
      <c r="M697" s="105" t="n"/>
      <c r="N697" s="106" t="n"/>
    </row>
    <row r="698">
      <c r="J698" s="87" t="n"/>
      <c r="L698" s="87" t="n"/>
      <c r="M698" s="105" t="n"/>
      <c r="N698" s="106" t="n"/>
    </row>
    <row r="699">
      <c r="J699" s="87" t="n"/>
      <c r="L699" s="87" t="n"/>
      <c r="M699" s="105" t="n"/>
      <c r="N699" s="106" t="n"/>
    </row>
    <row r="700">
      <c r="J700" s="87" t="n"/>
      <c r="L700" s="87" t="n"/>
      <c r="M700" s="105" t="n"/>
      <c r="N700" s="106" t="n"/>
    </row>
    <row r="701">
      <c r="J701" s="87" t="n"/>
      <c r="L701" s="87" t="n"/>
      <c r="M701" s="105" t="n"/>
      <c r="N701" s="106" t="n"/>
    </row>
    <row r="702">
      <c r="J702" s="87" t="n"/>
      <c r="L702" s="87" t="n"/>
      <c r="M702" s="105" t="n"/>
      <c r="N702" s="106" t="n"/>
    </row>
    <row r="703">
      <c r="J703" s="87" t="n"/>
      <c r="L703" s="87" t="n"/>
      <c r="M703" s="105" t="n"/>
      <c r="N703" s="106" t="n"/>
    </row>
    <row r="704">
      <c r="J704" s="87" t="n"/>
      <c r="L704" s="87" t="n"/>
      <c r="M704" s="105" t="n"/>
      <c r="N704" s="106" t="n"/>
    </row>
    <row r="705">
      <c r="J705" s="87" t="n"/>
      <c r="L705" s="87" t="n"/>
      <c r="M705" s="105" t="n"/>
      <c r="N705" s="106" t="n"/>
    </row>
    <row r="706">
      <c r="J706" s="87" t="n"/>
      <c r="L706" s="87" t="n"/>
      <c r="M706" s="105" t="n"/>
      <c r="N706" s="106" t="n"/>
    </row>
    <row r="707">
      <c r="J707" s="87" t="n"/>
      <c r="L707" s="87" t="n"/>
      <c r="M707" s="105" t="n"/>
      <c r="N707" s="106" t="n"/>
    </row>
    <row r="708">
      <c r="J708" s="87" t="n"/>
      <c r="L708" s="87" t="n"/>
      <c r="M708" s="105" t="n"/>
      <c r="N708" s="106" t="n"/>
    </row>
    <row r="709">
      <c r="J709" s="87" t="n"/>
      <c r="L709" s="87" t="n"/>
      <c r="M709" s="105" t="n"/>
      <c r="N709" s="106" t="n"/>
    </row>
    <row r="710">
      <c r="J710" s="87" t="n"/>
      <c r="L710" s="87" t="n"/>
      <c r="M710" s="105" t="n"/>
      <c r="N710" s="106" t="n"/>
    </row>
    <row r="711">
      <c r="J711" s="87" t="n"/>
      <c r="L711" s="87" t="n"/>
      <c r="M711" s="105" t="n"/>
      <c r="N711" s="106" t="n"/>
    </row>
    <row r="712">
      <c r="J712" s="87" t="n"/>
      <c r="L712" s="87" t="n"/>
      <c r="M712" s="105" t="n"/>
      <c r="N712" s="106" t="n"/>
    </row>
    <row r="713">
      <c r="J713" s="87" t="n"/>
      <c r="L713" s="87" t="n"/>
      <c r="M713" s="105" t="n"/>
      <c r="N713" s="106" t="n"/>
    </row>
    <row r="714">
      <c r="J714" s="87" t="n"/>
      <c r="L714" s="87" t="n"/>
      <c r="M714" s="105" t="n"/>
      <c r="N714" s="106" t="n"/>
    </row>
    <row r="715">
      <c r="J715" s="87" t="n"/>
      <c r="L715" s="87" t="n"/>
      <c r="M715" s="105" t="n"/>
      <c r="N715" s="106" t="n"/>
    </row>
    <row r="716">
      <c r="J716" s="87" t="n"/>
      <c r="L716" s="87" t="n"/>
      <c r="M716" s="105" t="n"/>
      <c r="N716" s="106" t="n"/>
    </row>
    <row r="717">
      <c r="J717" s="87" t="n"/>
      <c r="L717" s="87" t="n"/>
      <c r="M717" s="105" t="n"/>
      <c r="N717" s="106" t="n"/>
    </row>
    <row r="718">
      <c r="J718" s="87" t="n"/>
      <c r="L718" s="87" t="n"/>
      <c r="M718" s="105" t="n"/>
      <c r="N718" s="106" t="n"/>
    </row>
    <row r="719">
      <c r="J719" s="87" t="n"/>
      <c r="L719" s="87" t="n"/>
      <c r="M719" s="105" t="n"/>
      <c r="N719" s="106" t="n"/>
    </row>
    <row r="720">
      <c r="J720" s="87" t="n"/>
      <c r="L720" s="87" t="n"/>
      <c r="M720" s="105" t="n"/>
      <c r="N720" s="106" t="n"/>
    </row>
    <row r="721">
      <c r="J721" s="87" t="n"/>
      <c r="L721" s="87" t="n"/>
      <c r="M721" s="105" t="n"/>
      <c r="N721" s="106" t="n"/>
    </row>
    <row r="722">
      <c r="J722" s="87" t="n"/>
      <c r="L722" s="87" t="n"/>
      <c r="M722" s="105" t="n"/>
      <c r="N722" s="106" t="n"/>
    </row>
    <row r="723">
      <c r="J723" s="87" t="n"/>
      <c r="L723" s="87" t="n"/>
      <c r="M723" s="105" t="n"/>
      <c r="N723" s="106" t="n"/>
    </row>
    <row r="724">
      <c r="J724" s="87" t="n"/>
      <c r="L724" s="87" t="n"/>
      <c r="M724" s="105" t="n"/>
      <c r="N724" s="106" t="n"/>
    </row>
    <row r="725">
      <c r="J725" s="87" t="n"/>
      <c r="L725" s="87" t="n"/>
      <c r="M725" s="105" t="n"/>
      <c r="N725" s="106" t="n"/>
    </row>
    <row r="726">
      <c r="J726" s="87" t="n"/>
      <c r="L726" s="87" t="n"/>
      <c r="M726" s="105" t="n"/>
      <c r="N726" s="106" t="n"/>
    </row>
    <row r="727">
      <c r="J727" s="87" t="n"/>
      <c r="L727" s="87" t="n"/>
      <c r="M727" s="105" t="n"/>
      <c r="N727" s="106" t="n"/>
    </row>
    <row r="728">
      <c r="J728" s="87" t="n"/>
      <c r="L728" s="87" t="n"/>
      <c r="M728" s="105" t="n"/>
      <c r="N728" s="106" t="n"/>
    </row>
    <row r="729">
      <c r="J729" s="87" t="n"/>
      <c r="L729" s="87" t="n"/>
      <c r="M729" s="105" t="n"/>
      <c r="N729" s="106" t="n"/>
    </row>
    <row r="730">
      <c r="J730" s="87" t="n"/>
      <c r="L730" s="87" t="n"/>
      <c r="M730" s="105" t="n"/>
      <c r="N730" s="106" t="n"/>
    </row>
    <row r="731">
      <c r="J731" s="87" t="n"/>
      <c r="L731" s="87" t="n"/>
      <c r="M731" s="105" t="n"/>
      <c r="N731" s="106" t="n"/>
    </row>
    <row r="732">
      <c r="J732" s="87" t="n"/>
      <c r="L732" s="87" t="n"/>
      <c r="M732" s="105" t="n"/>
      <c r="N732" s="106" t="n"/>
    </row>
    <row r="733">
      <c r="J733" s="87" t="n"/>
      <c r="L733" s="87" t="n"/>
      <c r="M733" s="105" t="n"/>
      <c r="N733" s="106" t="n"/>
    </row>
    <row r="734">
      <c r="J734" s="87" t="n"/>
      <c r="L734" s="87" t="n"/>
      <c r="M734" s="105" t="n"/>
      <c r="N734" s="106" t="n"/>
    </row>
    <row r="735">
      <c r="J735" s="87" t="n"/>
      <c r="L735" s="87" t="n"/>
      <c r="M735" s="105" t="n"/>
      <c r="N735" s="106" t="n"/>
    </row>
    <row r="736">
      <c r="J736" s="87" t="n"/>
      <c r="L736" s="87" t="n"/>
      <c r="M736" s="105" t="n"/>
      <c r="N736" s="106" t="n"/>
    </row>
    <row r="737">
      <c r="J737" s="87" t="n"/>
      <c r="L737" s="87" t="n"/>
      <c r="M737" s="105" t="n"/>
      <c r="N737" s="106" t="n"/>
    </row>
    <row r="738">
      <c r="J738" s="87" t="n"/>
      <c r="L738" s="87" t="n"/>
      <c r="M738" s="105" t="n"/>
      <c r="N738" s="106" t="n"/>
    </row>
    <row r="739">
      <c r="J739" s="87" t="n"/>
      <c r="L739" s="87" t="n"/>
      <c r="M739" s="105" t="n"/>
      <c r="N739" s="106" t="n"/>
    </row>
    <row r="740">
      <c r="J740" s="87" t="n"/>
      <c r="L740" s="87" t="n"/>
      <c r="M740" s="105" t="n"/>
      <c r="N740" s="106" t="n"/>
    </row>
    <row r="741">
      <c r="J741" s="87" t="n"/>
      <c r="L741" s="87" t="n"/>
      <c r="M741" s="105" t="n"/>
      <c r="N741" s="106" t="n"/>
    </row>
    <row r="742">
      <c r="J742" s="87" t="n"/>
      <c r="L742" s="87" t="n"/>
      <c r="M742" s="105" t="n"/>
      <c r="N742" s="106" t="n"/>
    </row>
    <row r="743">
      <c r="J743" s="87" t="n"/>
      <c r="L743" s="87" t="n"/>
      <c r="M743" s="105" t="n"/>
      <c r="N743" s="106" t="n"/>
    </row>
    <row r="744">
      <c r="J744" s="87" t="n"/>
      <c r="L744" s="87" t="n"/>
      <c r="M744" s="105" t="n"/>
      <c r="N744" s="106" t="n"/>
    </row>
    <row r="745">
      <c r="J745" s="87" t="n"/>
      <c r="L745" s="87" t="n"/>
      <c r="M745" s="105" t="n"/>
      <c r="N745" s="106" t="n"/>
    </row>
    <row r="746">
      <c r="J746" s="87" t="n"/>
      <c r="L746" s="87" t="n"/>
      <c r="M746" s="105" t="n"/>
      <c r="N746" s="106" t="n"/>
    </row>
    <row r="747">
      <c r="J747" s="87" t="n"/>
      <c r="L747" s="87" t="n"/>
      <c r="M747" s="105" t="n"/>
      <c r="N747" s="106" t="n"/>
    </row>
    <row r="748">
      <c r="J748" s="87" t="n"/>
      <c r="L748" s="87" t="n"/>
      <c r="M748" s="105" t="n"/>
      <c r="N748" s="106" t="n"/>
    </row>
    <row r="749">
      <c r="J749" s="87" t="n"/>
      <c r="L749" s="87" t="n"/>
      <c r="M749" s="105" t="n"/>
      <c r="N749" s="106" t="n"/>
    </row>
    <row r="750">
      <c r="J750" s="87" t="n"/>
      <c r="L750" s="87" t="n"/>
      <c r="M750" s="105" t="n"/>
      <c r="N750" s="106" t="n"/>
    </row>
    <row r="751">
      <c r="J751" s="87" t="n"/>
      <c r="L751" s="87" t="n"/>
      <c r="M751" s="105" t="n"/>
      <c r="N751" s="106" t="n"/>
    </row>
    <row r="752">
      <c r="J752" s="87" t="n"/>
      <c r="L752" s="87" t="n"/>
      <c r="M752" s="105" t="n"/>
      <c r="N752" s="106" t="n"/>
    </row>
    <row r="753">
      <c r="J753" s="87" t="n"/>
      <c r="L753" s="87" t="n"/>
      <c r="M753" s="105" t="n"/>
      <c r="N753" s="106" t="n"/>
    </row>
    <row r="754">
      <c r="J754" s="87" t="n"/>
      <c r="L754" s="87" t="n"/>
      <c r="M754" s="105" t="n"/>
      <c r="N754" s="106" t="n"/>
    </row>
    <row r="755">
      <c r="J755" s="87" t="n"/>
      <c r="L755" s="87" t="n"/>
      <c r="M755" s="105" t="n"/>
      <c r="N755" s="106" t="n"/>
    </row>
    <row r="756">
      <c r="J756" s="87" t="n"/>
      <c r="L756" s="87" t="n"/>
      <c r="M756" s="105" t="n"/>
      <c r="N756" s="106" t="n"/>
    </row>
    <row r="757">
      <c r="J757" s="87" t="n"/>
      <c r="L757" s="87" t="n"/>
      <c r="M757" s="105" t="n"/>
      <c r="N757" s="106" t="n"/>
    </row>
    <row r="758">
      <c r="J758" s="87" t="n"/>
      <c r="L758" s="87" t="n"/>
      <c r="M758" s="105" t="n"/>
      <c r="N758" s="106" t="n"/>
    </row>
    <row r="759">
      <c r="J759" s="87" t="n"/>
      <c r="L759" s="87" t="n"/>
      <c r="M759" s="105" t="n"/>
      <c r="N759" s="106" t="n"/>
    </row>
    <row r="760">
      <c r="J760" s="87" t="n"/>
      <c r="L760" s="87" t="n"/>
      <c r="M760" s="105" t="n"/>
      <c r="N760" s="106" t="n"/>
    </row>
    <row r="761">
      <c r="J761" s="87" t="n"/>
      <c r="L761" s="87" t="n"/>
      <c r="M761" s="105" t="n"/>
      <c r="N761" s="106" t="n"/>
    </row>
    <row r="762">
      <c r="J762" s="87" t="n"/>
      <c r="L762" s="87" t="n"/>
      <c r="M762" s="105" t="n"/>
      <c r="N762" s="106" t="n"/>
    </row>
    <row r="763">
      <c r="J763" s="87" t="n"/>
      <c r="L763" s="87" t="n"/>
      <c r="M763" s="105" t="n"/>
      <c r="N763" s="106" t="n"/>
    </row>
    <row r="764">
      <c r="J764" s="87" t="n"/>
      <c r="L764" s="87" t="n"/>
      <c r="M764" s="105" t="n"/>
      <c r="N764" s="106" t="n"/>
    </row>
    <row r="765">
      <c r="J765" s="87" t="n"/>
      <c r="L765" s="87" t="n"/>
      <c r="M765" s="105" t="n"/>
      <c r="N765" s="106" t="n"/>
    </row>
    <row r="766">
      <c r="J766" s="87" t="n"/>
      <c r="L766" s="87" t="n"/>
      <c r="M766" s="105" t="n"/>
      <c r="N766" s="106" t="n"/>
    </row>
    <row r="767">
      <c r="J767" s="87" t="n"/>
      <c r="L767" s="87" t="n"/>
      <c r="M767" s="105" t="n"/>
      <c r="N767" s="106" t="n"/>
    </row>
    <row r="768">
      <c r="J768" s="87" t="n"/>
      <c r="L768" s="87" t="n"/>
      <c r="M768" s="105" t="n"/>
      <c r="N768" s="106" t="n"/>
    </row>
    <row r="769">
      <c r="J769" s="87" t="n"/>
      <c r="L769" s="87" t="n"/>
      <c r="M769" s="105" t="n"/>
      <c r="N769" s="106" t="n"/>
    </row>
    <row r="770">
      <c r="J770" s="87" t="n"/>
      <c r="L770" s="87" t="n"/>
      <c r="M770" s="105" t="n"/>
      <c r="N770" s="106" t="n"/>
    </row>
    <row r="771">
      <c r="J771" s="87" t="n"/>
      <c r="L771" s="87" t="n"/>
      <c r="M771" s="105" t="n"/>
      <c r="N771" s="106" t="n"/>
    </row>
    <row r="772">
      <c r="J772" s="87" t="n"/>
      <c r="L772" s="87" t="n"/>
      <c r="M772" s="105" t="n"/>
      <c r="N772" s="106" t="n"/>
    </row>
    <row r="773">
      <c r="J773" s="87" t="n"/>
      <c r="L773" s="87" t="n"/>
      <c r="M773" s="105" t="n"/>
      <c r="N773" s="106" t="n"/>
    </row>
    <row r="774">
      <c r="J774" s="87" t="n"/>
      <c r="L774" s="87" t="n"/>
      <c r="M774" s="105" t="n"/>
      <c r="N774" s="106" t="n"/>
    </row>
    <row r="775">
      <c r="J775" s="87" t="n"/>
      <c r="L775" s="87" t="n"/>
      <c r="M775" s="105" t="n"/>
      <c r="N775" s="106" t="n"/>
    </row>
    <row r="776">
      <c r="J776" s="87" t="n"/>
      <c r="L776" s="87" t="n"/>
      <c r="M776" s="105" t="n"/>
      <c r="N776" s="106" t="n"/>
    </row>
    <row r="777">
      <c r="J777" s="87" t="n"/>
      <c r="L777" s="87" t="n"/>
      <c r="M777" s="105" t="n"/>
      <c r="N777" s="106" t="n"/>
    </row>
    <row r="778">
      <c r="J778" s="87" t="n"/>
      <c r="L778" s="87" t="n"/>
      <c r="M778" s="105" t="n"/>
      <c r="N778" s="106" t="n"/>
    </row>
    <row r="779">
      <c r="J779" s="87" t="n"/>
      <c r="L779" s="87" t="n"/>
      <c r="M779" s="105" t="n"/>
      <c r="N779" s="106" t="n"/>
    </row>
    <row r="780">
      <c r="J780" s="87" t="n"/>
      <c r="L780" s="87" t="n"/>
      <c r="M780" s="105" t="n"/>
      <c r="N780" s="106" t="n"/>
    </row>
    <row r="781">
      <c r="J781" s="87" t="n"/>
      <c r="L781" s="87" t="n"/>
      <c r="M781" s="105" t="n"/>
      <c r="N781" s="106" t="n"/>
    </row>
    <row r="782">
      <c r="J782" s="87" t="n"/>
      <c r="L782" s="87" t="n"/>
      <c r="M782" s="105" t="n"/>
      <c r="N782" s="106" t="n"/>
    </row>
    <row r="783">
      <c r="J783" s="87" t="n"/>
      <c r="L783" s="87" t="n"/>
      <c r="M783" s="105" t="n"/>
      <c r="N783" s="106" t="n"/>
    </row>
    <row r="784">
      <c r="J784" s="87" t="n"/>
      <c r="L784" s="87" t="n"/>
      <c r="M784" s="105" t="n"/>
      <c r="N784" s="106" t="n"/>
    </row>
    <row r="785">
      <c r="J785" s="87" t="n"/>
      <c r="L785" s="87" t="n"/>
      <c r="M785" s="105" t="n"/>
      <c r="N785" s="106" t="n"/>
    </row>
    <row r="786">
      <c r="J786" s="87" t="n"/>
      <c r="L786" s="87" t="n"/>
      <c r="M786" s="105" t="n"/>
      <c r="N786" s="106" t="n"/>
    </row>
    <row r="787">
      <c r="J787" s="87" t="n"/>
      <c r="L787" s="87" t="n"/>
      <c r="M787" s="105" t="n"/>
      <c r="N787" s="106" t="n"/>
    </row>
    <row r="788">
      <c r="J788" s="87" t="n"/>
      <c r="L788" s="87" t="n"/>
      <c r="M788" s="105" t="n"/>
      <c r="N788" s="106" t="n"/>
    </row>
    <row r="789">
      <c r="J789" s="87" t="n"/>
      <c r="L789" s="87" t="n"/>
      <c r="M789" s="105" t="n"/>
      <c r="N789" s="106" t="n"/>
    </row>
    <row r="790">
      <c r="J790" s="87" t="n"/>
      <c r="L790" s="87" t="n"/>
      <c r="M790" s="105" t="n"/>
      <c r="N790" s="106" t="n"/>
    </row>
    <row r="791">
      <c r="J791" s="87" t="n"/>
      <c r="L791" s="87" t="n"/>
      <c r="M791" s="105" t="n"/>
      <c r="N791" s="106" t="n"/>
    </row>
    <row r="792">
      <c r="J792" s="87" t="n"/>
      <c r="L792" s="87" t="n"/>
      <c r="M792" s="105" t="n"/>
      <c r="N792" s="106" t="n"/>
    </row>
    <row r="793">
      <c r="J793" s="87" t="n"/>
      <c r="L793" s="87" t="n"/>
      <c r="M793" s="105" t="n"/>
      <c r="N793" s="106" t="n"/>
    </row>
    <row r="794">
      <c r="J794" s="87" t="n"/>
      <c r="L794" s="87" t="n"/>
      <c r="M794" s="105" t="n"/>
      <c r="N794" s="106" t="n"/>
    </row>
    <row r="795">
      <c r="J795" s="87" t="n"/>
      <c r="L795" s="87" t="n"/>
      <c r="M795" s="105" t="n"/>
      <c r="N795" s="106" t="n"/>
    </row>
    <row r="796">
      <c r="J796" s="87" t="n"/>
      <c r="L796" s="87" t="n"/>
      <c r="M796" s="105" t="n"/>
      <c r="N796" s="106" t="n"/>
    </row>
    <row r="797">
      <c r="J797" s="87" t="n"/>
      <c r="L797" s="87" t="n"/>
      <c r="M797" s="105" t="n"/>
      <c r="N797" s="106" t="n"/>
    </row>
    <row r="798">
      <c r="J798" s="87" t="n"/>
      <c r="L798" s="87" t="n"/>
      <c r="M798" s="105" t="n"/>
      <c r="N798" s="106" t="n"/>
    </row>
    <row r="799">
      <c r="J799" s="87" t="n"/>
      <c r="L799" s="87" t="n"/>
      <c r="M799" s="105" t="n"/>
      <c r="N799" s="106" t="n"/>
    </row>
    <row r="800">
      <c r="J800" s="87" t="n"/>
      <c r="L800" s="87" t="n"/>
      <c r="M800" s="105" t="n"/>
      <c r="N800" s="106" t="n"/>
    </row>
    <row r="801">
      <c r="J801" s="87" t="n"/>
      <c r="L801" s="87" t="n"/>
      <c r="M801" s="105" t="n"/>
      <c r="N801" s="106" t="n"/>
    </row>
    <row r="802">
      <c r="J802" s="87" t="n"/>
      <c r="L802" s="87" t="n"/>
      <c r="M802" s="105" t="n"/>
      <c r="N802" s="106" t="n"/>
    </row>
    <row r="803">
      <c r="J803" s="87" t="n"/>
      <c r="L803" s="87" t="n"/>
      <c r="M803" s="105" t="n"/>
      <c r="N803" s="106" t="n"/>
    </row>
    <row r="804">
      <c r="J804" s="87" t="n"/>
      <c r="L804" s="87" t="n"/>
      <c r="M804" s="105" t="n"/>
      <c r="N804" s="106" t="n"/>
    </row>
    <row r="805">
      <c r="J805" s="87" t="n"/>
      <c r="L805" s="87" t="n"/>
      <c r="M805" s="105" t="n"/>
      <c r="N805" s="106" t="n"/>
    </row>
    <row r="806">
      <c r="J806" s="87" t="n"/>
      <c r="L806" s="87" t="n"/>
      <c r="M806" s="105" t="n"/>
      <c r="N806" s="106" t="n"/>
    </row>
    <row r="807">
      <c r="J807" s="87" t="n"/>
      <c r="L807" s="87" t="n"/>
      <c r="M807" s="105" t="n"/>
      <c r="N807" s="106" t="n"/>
    </row>
    <row r="808">
      <c r="J808" s="87" t="n"/>
      <c r="L808" s="87" t="n"/>
      <c r="M808" s="105" t="n"/>
      <c r="N808" s="106" t="n"/>
    </row>
    <row r="809">
      <c r="J809" s="87" t="n"/>
      <c r="L809" s="87" t="n"/>
      <c r="M809" s="105" t="n"/>
      <c r="N809" s="106" t="n"/>
    </row>
    <row r="810">
      <c r="J810" s="87" t="n"/>
      <c r="L810" s="87" t="n"/>
      <c r="M810" s="105" t="n"/>
      <c r="N810" s="106" t="n"/>
    </row>
    <row r="811">
      <c r="J811" s="87" t="n"/>
      <c r="L811" s="87" t="n"/>
      <c r="M811" s="105" t="n"/>
      <c r="N811" s="106" t="n"/>
    </row>
    <row r="812">
      <c r="J812" s="87" t="n"/>
      <c r="L812" s="87" t="n"/>
      <c r="M812" s="105" t="n"/>
      <c r="N812" s="106" t="n"/>
    </row>
    <row r="813">
      <c r="J813" s="87" t="n"/>
      <c r="L813" s="87" t="n"/>
      <c r="M813" s="105" t="n"/>
      <c r="N813" s="106" t="n"/>
    </row>
    <row r="814">
      <c r="J814" s="87" t="n"/>
      <c r="L814" s="87" t="n"/>
      <c r="M814" s="105" t="n"/>
      <c r="N814" s="106" t="n"/>
    </row>
    <row r="815">
      <c r="J815" s="87" t="n"/>
      <c r="L815" s="87" t="n"/>
      <c r="M815" s="105" t="n"/>
      <c r="N815" s="106" t="n"/>
    </row>
    <row r="816">
      <c r="J816" s="87" t="n"/>
      <c r="L816" s="87" t="n"/>
      <c r="M816" s="105" t="n"/>
      <c r="N816" s="106" t="n"/>
    </row>
    <row r="817">
      <c r="J817" s="87" t="n"/>
      <c r="L817" s="87" t="n"/>
      <c r="M817" s="105" t="n"/>
      <c r="N817" s="106" t="n"/>
    </row>
    <row r="818">
      <c r="J818" s="87" t="n"/>
      <c r="L818" s="87" t="n"/>
      <c r="M818" s="105" t="n"/>
      <c r="N818" s="106" t="n"/>
    </row>
    <row r="819">
      <c r="J819" s="87" t="n"/>
      <c r="L819" s="87" t="n"/>
      <c r="M819" s="105" t="n"/>
      <c r="N819" s="106" t="n"/>
    </row>
    <row r="820">
      <c r="J820" s="87" t="n"/>
      <c r="L820" s="87" t="n"/>
      <c r="M820" s="105" t="n"/>
      <c r="N820" s="106" t="n"/>
    </row>
    <row r="821">
      <c r="J821" s="87" t="n"/>
      <c r="L821" s="87" t="n"/>
      <c r="M821" s="105" t="n"/>
      <c r="N821" s="106" t="n"/>
    </row>
    <row r="822">
      <c r="J822" s="87" t="n"/>
      <c r="L822" s="87" t="n"/>
      <c r="M822" s="105" t="n"/>
      <c r="N822" s="106" t="n"/>
    </row>
    <row r="823">
      <c r="J823" s="87" t="n"/>
      <c r="L823" s="87" t="n"/>
      <c r="M823" s="105" t="n"/>
      <c r="N823" s="106" t="n"/>
    </row>
    <row r="824">
      <c r="J824" s="87" t="n"/>
      <c r="L824" s="87" t="n"/>
      <c r="M824" s="105" t="n"/>
      <c r="N824" s="106" t="n"/>
    </row>
    <row r="825">
      <c r="J825" s="87" t="n"/>
      <c r="L825" s="87" t="n"/>
      <c r="M825" s="105" t="n"/>
      <c r="N825" s="106" t="n"/>
    </row>
    <row r="826">
      <c r="J826" s="87" t="n"/>
      <c r="L826" s="87" t="n"/>
      <c r="M826" s="105" t="n"/>
      <c r="N826" s="106" t="n"/>
    </row>
    <row r="827">
      <c r="J827" s="87" t="n"/>
      <c r="L827" s="87" t="n"/>
      <c r="M827" s="105" t="n"/>
      <c r="N827" s="106" t="n"/>
    </row>
    <row r="828">
      <c r="J828" s="87" t="n"/>
      <c r="L828" s="87" t="n"/>
      <c r="M828" s="105" t="n"/>
      <c r="N828" s="106" t="n"/>
    </row>
    <row r="829">
      <c r="J829" s="87" t="n"/>
      <c r="L829" s="87" t="n"/>
      <c r="M829" s="105" t="n"/>
      <c r="N829" s="106" t="n"/>
    </row>
    <row r="830">
      <c r="J830" s="87" t="n"/>
      <c r="L830" s="87" t="n"/>
      <c r="M830" s="105" t="n"/>
      <c r="N830" s="106" t="n"/>
    </row>
    <row r="831">
      <c r="J831" s="87" t="n"/>
      <c r="L831" s="87" t="n"/>
      <c r="M831" s="105" t="n"/>
      <c r="N831" s="106" t="n"/>
    </row>
    <row r="832">
      <c r="J832" s="87" t="n"/>
      <c r="L832" s="87" t="n"/>
      <c r="M832" s="105" t="n"/>
      <c r="N832" s="106" t="n"/>
    </row>
    <row r="833">
      <c r="J833" s="87" t="n"/>
      <c r="L833" s="87" t="n"/>
      <c r="M833" s="105" t="n"/>
      <c r="N833" s="106" t="n"/>
    </row>
    <row r="834">
      <c r="J834" s="87" t="n"/>
      <c r="L834" s="87" t="n"/>
      <c r="M834" s="105" t="n"/>
      <c r="N834" s="106" t="n"/>
    </row>
    <row r="835">
      <c r="J835" s="87" t="n"/>
      <c r="L835" s="87" t="n"/>
      <c r="M835" s="105" t="n"/>
      <c r="N835" s="106" t="n"/>
    </row>
    <row r="836">
      <c r="J836" s="87" t="n"/>
      <c r="L836" s="87" t="n"/>
      <c r="M836" s="105" t="n"/>
      <c r="N836" s="106" t="n"/>
    </row>
    <row r="837">
      <c r="J837" s="87" t="n"/>
      <c r="L837" s="87" t="n"/>
      <c r="M837" s="105" t="n"/>
      <c r="N837" s="106" t="n"/>
    </row>
    <row r="838">
      <c r="J838" s="87" t="n"/>
      <c r="L838" s="87" t="n"/>
      <c r="M838" s="105" t="n"/>
      <c r="N838" s="106" t="n"/>
    </row>
    <row r="839">
      <c r="J839" s="87" t="n"/>
      <c r="L839" s="87" t="n"/>
      <c r="M839" s="105" t="n"/>
      <c r="N839" s="106" t="n"/>
    </row>
    <row r="840">
      <c r="J840" s="87" t="n"/>
      <c r="L840" s="87" t="n"/>
      <c r="M840" s="105" t="n"/>
      <c r="N840" s="106" t="n"/>
    </row>
    <row r="841">
      <c r="J841" s="87" t="n"/>
      <c r="L841" s="87" t="n"/>
      <c r="M841" s="105" t="n"/>
      <c r="N841" s="106" t="n"/>
    </row>
    <row r="842">
      <c r="J842" s="87" t="n"/>
      <c r="L842" s="87" t="n"/>
      <c r="M842" s="105" t="n"/>
      <c r="N842" s="106" t="n"/>
    </row>
    <row r="843">
      <c r="J843" s="87" t="n"/>
      <c r="L843" s="87" t="n"/>
      <c r="M843" s="105" t="n"/>
      <c r="N843" s="106" t="n"/>
    </row>
    <row r="844">
      <c r="J844" s="87" t="n"/>
      <c r="L844" s="87" t="n"/>
      <c r="M844" s="105" t="n"/>
      <c r="N844" s="106" t="n"/>
    </row>
    <row r="845">
      <c r="J845" s="87" t="n"/>
      <c r="L845" s="87" t="n"/>
      <c r="M845" s="105" t="n"/>
      <c r="N845" s="106" t="n"/>
    </row>
    <row r="846">
      <c r="J846" s="87" t="n"/>
      <c r="L846" s="87" t="n"/>
      <c r="M846" s="105" t="n"/>
      <c r="N846" s="106" t="n"/>
    </row>
    <row r="847">
      <c r="J847" s="87" t="n"/>
      <c r="L847" s="87" t="n"/>
      <c r="M847" s="105" t="n"/>
      <c r="N847" s="106" t="n"/>
    </row>
    <row r="848">
      <c r="J848" s="87" t="n"/>
      <c r="L848" s="87" t="n"/>
      <c r="M848" s="105" t="n"/>
      <c r="N848" s="106" t="n"/>
    </row>
    <row r="849">
      <c r="J849" s="87" t="n"/>
      <c r="L849" s="87" t="n"/>
      <c r="M849" s="105" t="n"/>
      <c r="N849" s="106" t="n"/>
    </row>
    <row r="850">
      <c r="J850" s="87" t="n"/>
      <c r="L850" s="87" t="n"/>
      <c r="M850" s="105" t="n"/>
      <c r="N850" s="106" t="n"/>
    </row>
    <row r="851">
      <c r="J851" s="87" t="n"/>
      <c r="L851" s="87" t="n"/>
      <c r="M851" s="105" t="n"/>
      <c r="N851" s="106" t="n"/>
    </row>
    <row r="852">
      <c r="J852" s="87" t="n"/>
      <c r="L852" s="87" t="n"/>
      <c r="M852" s="105" t="n"/>
      <c r="N852" s="106" t="n"/>
    </row>
    <row r="853">
      <c r="J853" s="87" t="n"/>
      <c r="L853" s="87" t="n"/>
      <c r="M853" s="105" t="n"/>
      <c r="N853" s="106" t="n"/>
    </row>
    <row r="854">
      <c r="J854" s="87" t="n"/>
      <c r="L854" s="87" t="n"/>
      <c r="M854" s="105" t="n"/>
      <c r="N854" s="106" t="n"/>
    </row>
    <row r="855">
      <c r="J855" s="87" t="n"/>
      <c r="L855" s="87" t="n"/>
      <c r="M855" s="105" t="n"/>
      <c r="N855" s="106" t="n"/>
    </row>
    <row r="856">
      <c r="J856" s="87" t="n"/>
      <c r="L856" s="87" t="n"/>
      <c r="M856" s="105" t="n"/>
      <c r="N856" s="106" t="n"/>
    </row>
    <row r="857">
      <c r="J857" s="87" t="n"/>
      <c r="L857" s="87" t="n"/>
      <c r="M857" s="105" t="n"/>
      <c r="N857" s="106" t="n"/>
    </row>
    <row r="858">
      <c r="J858" s="87" t="n"/>
      <c r="L858" s="87" t="n"/>
      <c r="M858" s="105" t="n"/>
      <c r="N858" s="106" t="n"/>
    </row>
    <row r="859">
      <c r="J859" s="87" t="n"/>
      <c r="L859" s="87" t="n"/>
      <c r="M859" s="105" t="n"/>
      <c r="N859" s="106" t="n"/>
    </row>
    <row r="860">
      <c r="J860" s="87" t="n"/>
      <c r="L860" s="87" t="n"/>
      <c r="M860" s="105" t="n"/>
      <c r="N860" s="106" t="n"/>
    </row>
    <row r="861">
      <c r="J861" s="87" t="n"/>
      <c r="L861" s="87" t="n"/>
      <c r="M861" s="105" t="n"/>
      <c r="N861" s="106" t="n"/>
    </row>
    <row r="862">
      <c r="J862" s="87" t="n"/>
      <c r="L862" s="87" t="n"/>
      <c r="M862" s="105" t="n"/>
      <c r="N862" s="106" t="n"/>
    </row>
    <row r="863">
      <c r="J863" s="87" t="n"/>
      <c r="L863" s="87" t="n"/>
      <c r="M863" s="105" t="n"/>
      <c r="N863" s="106" t="n"/>
    </row>
    <row r="864">
      <c r="J864" s="87" t="n"/>
      <c r="L864" s="87" t="n"/>
      <c r="M864" s="105" t="n"/>
      <c r="N864" s="106" t="n"/>
    </row>
    <row r="865">
      <c r="J865" s="87" t="n"/>
      <c r="L865" s="87" t="n"/>
      <c r="M865" s="105" t="n"/>
      <c r="N865" s="106" t="n"/>
    </row>
    <row r="866">
      <c r="J866" s="87" t="n"/>
      <c r="L866" s="87" t="n"/>
      <c r="M866" s="105" t="n"/>
      <c r="N866" s="106" t="n"/>
    </row>
    <row r="867">
      <c r="J867" s="87" t="n"/>
      <c r="L867" s="87" t="n"/>
      <c r="M867" s="105" t="n"/>
      <c r="N867" s="106" t="n"/>
    </row>
    <row r="868">
      <c r="J868" s="87" t="n"/>
      <c r="L868" s="87" t="n"/>
      <c r="M868" s="105" t="n"/>
      <c r="N868" s="106" t="n"/>
    </row>
    <row r="869">
      <c r="J869" s="87" t="n"/>
      <c r="L869" s="87" t="n"/>
      <c r="M869" s="105" t="n"/>
      <c r="N869" s="106" t="n"/>
    </row>
    <row r="870">
      <c r="J870" s="87" t="n"/>
      <c r="L870" s="87" t="n"/>
      <c r="M870" s="105" t="n"/>
      <c r="N870" s="106" t="n"/>
    </row>
    <row r="871">
      <c r="J871" s="87" t="n"/>
      <c r="L871" s="87" t="n"/>
      <c r="M871" s="105" t="n"/>
      <c r="N871" s="106" t="n"/>
    </row>
    <row r="872">
      <c r="J872" s="87" t="n"/>
      <c r="L872" s="87" t="n"/>
      <c r="M872" s="105" t="n"/>
      <c r="N872" s="106" t="n"/>
    </row>
    <row r="873">
      <c r="J873" s="87" t="n"/>
      <c r="L873" s="87" t="n"/>
      <c r="M873" s="105" t="n"/>
      <c r="N873" s="106" t="n"/>
    </row>
    <row r="874">
      <c r="J874" s="87" t="n"/>
      <c r="L874" s="87" t="n"/>
      <c r="M874" s="105" t="n"/>
      <c r="N874" s="106" t="n"/>
    </row>
    <row r="875">
      <c r="J875" s="87" t="n"/>
      <c r="L875" s="87" t="n"/>
      <c r="M875" s="105" t="n"/>
      <c r="N875" s="106" t="n"/>
    </row>
    <row r="876">
      <c r="J876" s="87" t="n"/>
      <c r="L876" s="87" t="n"/>
      <c r="M876" s="105" t="n"/>
      <c r="N876" s="106" t="n"/>
    </row>
    <row r="877">
      <c r="J877" s="87" t="n"/>
      <c r="L877" s="87" t="n"/>
      <c r="M877" s="105" t="n"/>
      <c r="N877" s="106" t="n"/>
    </row>
    <row r="878">
      <c r="J878" s="87" t="n"/>
      <c r="L878" s="87" t="n"/>
      <c r="M878" s="105" t="n"/>
      <c r="N878" s="106" t="n"/>
    </row>
    <row r="879">
      <c r="J879" s="87" t="n"/>
      <c r="L879" s="87" t="n"/>
      <c r="M879" s="105" t="n"/>
      <c r="N879" s="106" t="n"/>
    </row>
    <row r="880">
      <c r="J880" s="87" t="n"/>
      <c r="L880" s="87" t="n"/>
      <c r="M880" s="105" t="n"/>
      <c r="N880" s="106" t="n"/>
    </row>
    <row r="881">
      <c r="J881" s="87" t="n"/>
      <c r="L881" s="87" t="n"/>
      <c r="M881" s="105" t="n"/>
      <c r="N881" s="106" t="n"/>
    </row>
    <row r="882">
      <c r="J882" s="87" t="n"/>
      <c r="L882" s="87" t="n"/>
      <c r="M882" s="105" t="n"/>
      <c r="N882" s="106" t="n"/>
    </row>
    <row r="883">
      <c r="J883" s="87" t="n"/>
      <c r="L883" s="87" t="n"/>
      <c r="M883" s="105" t="n"/>
      <c r="N883" s="106" t="n"/>
    </row>
    <row r="884">
      <c r="J884" s="87" t="n"/>
      <c r="L884" s="87" t="n"/>
      <c r="M884" s="105" t="n"/>
      <c r="N884" s="106" t="n"/>
    </row>
    <row r="885">
      <c r="J885" s="87" t="n"/>
      <c r="L885" s="87" t="n"/>
      <c r="M885" s="105" t="n"/>
      <c r="N885" s="106" t="n"/>
    </row>
    <row r="886">
      <c r="J886" s="87" t="n"/>
      <c r="L886" s="87" t="n"/>
      <c r="M886" s="105" t="n"/>
      <c r="N886" s="106" t="n"/>
    </row>
    <row r="887">
      <c r="J887" s="87" t="n"/>
      <c r="L887" s="87" t="n"/>
      <c r="M887" s="105" t="n"/>
      <c r="N887" s="106" t="n"/>
    </row>
    <row r="888">
      <c r="J888" s="87" t="n"/>
      <c r="L888" s="87" t="n"/>
      <c r="M888" s="105" t="n"/>
      <c r="N888" s="106" t="n"/>
    </row>
    <row r="889">
      <c r="J889" s="87" t="n"/>
      <c r="L889" s="87" t="n"/>
      <c r="M889" s="105" t="n"/>
      <c r="N889" s="106" t="n"/>
    </row>
    <row r="890">
      <c r="J890" s="87" t="n"/>
      <c r="L890" s="87" t="n"/>
      <c r="M890" s="105" t="n"/>
      <c r="N890" s="106" t="n"/>
    </row>
    <row r="891">
      <c r="J891" s="87" t="n"/>
      <c r="L891" s="87" t="n"/>
      <c r="M891" s="105" t="n"/>
      <c r="N891" s="106" t="n"/>
    </row>
    <row r="892">
      <c r="J892" s="87" t="n"/>
      <c r="L892" s="87" t="n"/>
      <c r="M892" s="105" t="n"/>
      <c r="N892" s="106" t="n"/>
    </row>
    <row r="893">
      <c r="J893" s="87" t="n"/>
      <c r="L893" s="87" t="n"/>
      <c r="M893" s="105" t="n"/>
      <c r="N893" s="106" t="n"/>
    </row>
    <row r="894">
      <c r="J894" s="87" t="n"/>
      <c r="L894" s="87" t="n"/>
      <c r="M894" s="105" t="n"/>
      <c r="N894" s="106" t="n"/>
    </row>
    <row r="895">
      <c r="J895" s="87" t="n"/>
      <c r="L895" s="87" t="n"/>
      <c r="M895" s="105" t="n"/>
      <c r="N895" s="106" t="n"/>
    </row>
    <row r="896">
      <c r="J896" s="87" t="n"/>
      <c r="L896" s="87" t="n"/>
      <c r="M896" s="105" t="n"/>
      <c r="N896" s="106" t="n"/>
    </row>
    <row r="897">
      <c r="J897" s="87" t="n"/>
      <c r="L897" s="87" t="n"/>
      <c r="M897" s="105" t="n"/>
      <c r="N897" s="106" t="n"/>
    </row>
    <row r="898">
      <c r="J898" s="87" t="n"/>
      <c r="L898" s="87" t="n"/>
      <c r="M898" s="105" t="n"/>
      <c r="N898" s="106" t="n"/>
    </row>
    <row r="899">
      <c r="J899" s="87" t="n"/>
      <c r="L899" s="87" t="n"/>
      <c r="M899" s="105" t="n"/>
      <c r="N899" s="106" t="n"/>
    </row>
    <row r="900">
      <c r="J900" s="87" t="n"/>
      <c r="L900" s="87" t="n"/>
      <c r="M900" s="105" t="n"/>
      <c r="N900" s="106" t="n"/>
    </row>
    <row r="901">
      <c r="J901" s="87" t="n"/>
      <c r="L901" s="87" t="n"/>
      <c r="M901" s="105" t="n"/>
      <c r="N901" s="106" t="n"/>
    </row>
    <row r="902">
      <c r="J902" s="87" t="n"/>
      <c r="L902" s="87" t="n"/>
      <c r="M902" s="105" t="n"/>
      <c r="N902" s="106" t="n"/>
    </row>
    <row r="903">
      <c r="J903" s="87" t="n"/>
      <c r="L903" s="87" t="n"/>
      <c r="M903" s="105" t="n"/>
      <c r="N903" s="106" t="n"/>
    </row>
    <row r="904">
      <c r="J904" s="87" t="n"/>
      <c r="L904" s="87" t="n"/>
      <c r="M904" s="105" t="n"/>
      <c r="N904" s="106" t="n"/>
    </row>
    <row r="905">
      <c r="J905" s="87" t="n"/>
      <c r="L905" s="87" t="n"/>
      <c r="M905" s="105" t="n"/>
      <c r="N905" s="106" t="n"/>
    </row>
    <row r="906">
      <c r="J906" s="87" t="n"/>
      <c r="L906" s="87" t="n"/>
      <c r="M906" s="105" t="n"/>
      <c r="N906" s="106" t="n"/>
    </row>
    <row r="907">
      <c r="J907" s="87" t="n"/>
      <c r="L907" s="87" t="n"/>
      <c r="M907" s="105" t="n"/>
      <c r="N907" s="106" t="n"/>
    </row>
    <row r="908">
      <c r="J908" s="87" t="n"/>
      <c r="L908" s="87" t="n"/>
      <c r="M908" s="105" t="n"/>
      <c r="N908" s="106" t="n"/>
    </row>
    <row r="909">
      <c r="J909" s="87" t="n"/>
      <c r="L909" s="87" t="n"/>
      <c r="M909" s="105" t="n"/>
      <c r="N909" s="106" t="n"/>
    </row>
    <row r="910">
      <c r="J910" s="87" t="n"/>
      <c r="L910" s="87" t="n"/>
      <c r="M910" s="105" t="n"/>
      <c r="N910" s="106" t="n"/>
    </row>
    <row r="911">
      <c r="J911" s="87" t="n"/>
      <c r="L911" s="87" t="n"/>
      <c r="M911" s="105" t="n"/>
      <c r="N911" s="106" t="n"/>
    </row>
    <row r="912">
      <c r="J912" s="87" t="n"/>
      <c r="L912" s="87" t="n"/>
      <c r="M912" s="105" t="n"/>
      <c r="N912" s="106" t="n"/>
    </row>
    <row r="913">
      <c r="J913" s="87" t="n"/>
      <c r="L913" s="87" t="n"/>
      <c r="M913" s="105" t="n"/>
      <c r="N913" s="106" t="n"/>
    </row>
    <row r="914">
      <c r="J914" s="87" t="n"/>
      <c r="L914" s="87" t="n"/>
      <c r="M914" s="105" t="n"/>
      <c r="N914" s="106" t="n"/>
    </row>
    <row r="915">
      <c r="J915" s="87" t="n"/>
      <c r="L915" s="87" t="n"/>
      <c r="M915" s="105" t="n"/>
      <c r="N915" s="106" t="n"/>
    </row>
    <row r="916">
      <c r="J916" s="87" t="n"/>
      <c r="L916" s="87" t="n"/>
      <c r="M916" s="105" t="n"/>
      <c r="N916" s="106" t="n"/>
    </row>
    <row r="917">
      <c r="J917" s="87" t="n"/>
      <c r="L917" s="87" t="n"/>
      <c r="M917" s="105" t="n"/>
      <c r="N917" s="106" t="n"/>
    </row>
    <row r="918">
      <c r="J918" s="87" t="n"/>
      <c r="L918" s="87" t="n"/>
      <c r="M918" s="105" t="n"/>
      <c r="N918" s="106" t="n"/>
    </row>
    <row r="919">
      <c r="J919" s="87" t="n"/>
      <c r="L919" s="87" t="n"/>
      <c r="M919" s="105" t="n"/>
      <c r="N919" s="106" t="n"/>
    </row>
    <row r="920">
      <c r="J920" s="87" t="n"/>
      <c r="L920" s="87" t="n"/>
      <c r="M920" s="105" t="n"/>
      <c r="N920" s="106" t="n"/>
    </row>
    <row r="921">
      <c r="J921" s="87" t="n"/>
      <c r="L921" s="87" t="n"/>
      <c r="M921" s="105" t="n"/>
      <c r="N921" s="106" t="n"/>
    </row>
    <row r="922">
      <c r="J922" s="87" t="n"/>
      <c r="L922" s="87" t="n"/>
      <c r="M922" s="105" t="n"/>
      <c r="N922" s="106" t="n"/>
    </row>
    <row r="923">
      <c r="J923" s="87" t="n"/>
      <c r="L923" s="87" t="n"/>
      <c r="M923" s="105" t="n"/>
      <c r="N923" s="106" t="n"/>
    </row>
    <row r="924">
      <c r="J924" s="87" t="n"/>
      <c r="L924" s="87" t="n"/>
      <c r="M924" s="105" t="n"/>
      <c r="N924" s="106" t="n"/>
    </row>
    <row r="925">
      <c r="J925" s="87" t="n"/>
      <c r="L925" s="87" t="n"/>
      <c r="M925" s="105" t="n"/>
      <c r="N925" s="106" t="n"/>
    </row>
    <row r="926">
      <c r="J926" s="87" t="n"/>
      <c r="L926" s="87" t="n"/>
      <c r="M926" s="105" t="n"/>
      <c r="N926" s="106" t="n"/>
    </row>
    <row r="927">
      <c r="J927" s="87" t="n"/>
      <c r="L927" s="87" t="n"/>
      <c r="M927" s="105" t="n"/>
      <c r="N927" s="106" t="n"/>
    </row>
    <row r="928">
      <c r="J928" s="87" t="n"/>
      <c r="L928" s="87" t="n"/>
      <c r="M928" s="105" t="n"/>
      <c r="N928" s="106" t="n"/>
    </row>
    <row r="929">
      <c r="J929" s="87" t="n"/>
      <c r="L929" s="87" t="n"/>
      <c r="M929" s="105" t="n"/>
      <c r="N929" s="106" t="n"/>
    </row>
    <row r="930">
      <c r="J930" s="87" t="n"/>
      <c r="L930" s="87" t="n"/>
      <c r="M930" s="105" t="n"/>
      <c r="N930" s="106" t="n"/>
    </row>
    <row r="931">
      <c r="J931" s="87" t="n"/>
      <c r="L931" s="87" t="n"/>
      <c r="M931" s="105" t="n"/>
      <c r="N931" s="106" t="n"/>
    </row>
    <row r="932">
      <c r="J932" s="87" t="n"/>
      <c r="L932" s="87" t="n"/>
      <c r="M932" s="105" t="n"/>
      <c r="N932" s="106" t="n"/>
    </row>
    <row r="933">
      <c r="J933" s="87" t="n"/>
      <c r="L933" s="87" t="n"/>
      <c r="M933" s="105" t="n"/>
      <c r="N933" s="106" t="n"/>
    </row>
    <row r="934">
      <c r="J934" s="87" t="n"/>
      <c r="L934" s="87" t="n"/>
      <c r="M934" s="105" t="n"/>
      <c r="N934" s="106" t="n"/>
    </row>
    <row r="935">
      <c r="J935" s="87" t="n"/>
      <c r="L935" s="87" t="n"/>
      <c r="M935" s="105" t="n"/>
      <c r="N935" s="106" t="n"/>
    </row>
    <row r="936">
      <c r="J936" s="87" t="n"/>
      <c r="L936" s="87" t="n"/>
      <c r="M936" s="105" t="n"/>
      <c r="N936" s="106" t="n"/>
    </row>
    <row r="937">
      <c r="J937" s="87" t="n"/>
      <c r="L937" s="87" t="n"/>
      <c r="M937" s="105" t="n"/>
      <c r="N937" s="106" t="n"/>
    </row>
    <row r="938">
      <c r="J938" s="87" t="n"/>
      <c r="L938" s="87" t="n"/>
      <c r="M938" s="105" t="n"/>
      <c r="N938" s="106" t="n"/>
    </row>
    <row r="939">
      <c r="J939" s="87" t="n"/>
      <c r="L939" s="87" t="n"/>
      <c r="M939" s="105" t="n"/>
      <c r="N939" s="106" t="n"/>
    </row>
    <row r="940">
      <c r="J940" s="87" t="n"/>
      <c r="L940" s="87" t="n"/>
      <c r="M940" s="105" t="n"/>
      <c r="N940" s="106" t="n"/>
    </row>
    <row r="941">
      <c r="J941" s="87" t="n"/>
      <c r="L941" s="87" t="n"/>
      <c r="M941" s="105" t="n"/>
      <c r="N941" s="106" t="n"/>
    </row>
    <row r="942">
      <c r="J942" s="87" t="n"/>
      <c r="L942" s="87" t="n"/>
      <c r="M942" s="105" t="n"/>
      <c r="N942" s="106" t="n"/>
    </row>
    <row r="943">
      <c r="J943" s="87" t="n"/>
      <c r="L943" s="87" t="n"/>
      <c r="M943" s="105" t="n"/>
      <c r="N943" s="106" t="n"/>
    </row>
    <row r="944">
      <c r="J944" s="87" t="n"/>
      <c r="L944" s="87" t="n"/>
      <c r="M944" s="105" t="n"/>
      <c r="N944" s="106" t="n"/>
    </row>
    <row r="945">
      <c r="J945" s="87" t="n"/>
      <c r="L945" s="87" t="n"/>
      <c r="M945" s="105" t="n"/>
      <c r="N945" s="106" t="n"/>
    </row>
    <row r="946">
      <c r="J946" s="87" t="n"/>
      <c r="L946" s="87" t="n"/>
      <c r="M946" s="105" t="n"/>
      <c r="N946" s="106" t="n"/>
    </row>
    <row r="947">
      <c r="J947" s="87" t="n"/>
      <c r="L947" s="87" t="n"/>
      <c r="M947" s="105" t="n"/>
      <c r="N947" s="106" t="n"/>
    </row>
    <row r="948">
      <c r="J948" s="87" t="n"/>
      <c r="L948" s="87" t="n"/>
      <c r="M948" s="105" t="n"/>
      <c r="N948" s="106" t="n"/>
    </row>
    <row r="949">
      <c r="J949" s="87" t="n"/>
      <c r="L949" s="87" t="n"/>
      <c r="M949" s="105" t="n"/>
      <c r="N949" s="106" t="n"/>
    </row>
    <row r="950">
      <c r="J950" s="87" t="n"/>
      <c r="L950" s="87" t="n"/>
      <c r="M950" s="105" t="n"/>
      <c r="N950" s="106" t="n"/>
    </row>
    <row r="951">
      <c r="J951" s="87" t="n"/>
      <c r="L951" s="87" t="n"/>
      <c r="M951" s="105" t="n"/>
      <c r="N951" s="106" t="n"/>
    </row>
    <row r="952">
      <c r="J952" s="87" t="n"/>
      <c r="L952" s="87" t="n"/>
      <c r="M952" s="105" t="n"/>
      <c r="N952" s="106" t="n"/>
    </row>
    <row r="953">
      <c r="J953" s="87" t="n"/>
      <c r="L953" s="87" t="n"/>
      <c r="M953" s="105" t="n"/>
      <c r="N953" s="106" t="n"/>
    </row>
    <row r="954">
      <c r="J954" s="87" t="n"/>
      <c r="L954" s="87" t="n"/>
      <c r="M954" s="105" t="n"/>
      <c r="N954" s="106" t="n"/>
    </row>
    <row r="955">
      <c r="J955" s="87" t="n"/>
      <c r="L955" s="87" t="n"/>
      <c r="M955" s="105" t="n"/>
      <c r="N955" s="106" t="n"/>
    </row>
    <row r="956">
      <c r="J956" s="87" t="n"/>
      <c r="L956" s="87" t="n"/>
      <c r="M956" s="105" t="n"/>
      <c r="N956" s="106" t="n"/>
    </row>
    <row r="957">
      <c r="J957" s="87" t="n"/>
      <c r="L957" s="87" t="n"/>
      <c r="M957" s="105" t="n"/>
      <c r="N957" s="106" t="n"/>
    </row>
    <row r="958">
      <c r="J958" s="87" t="n"/>
      <c r="L958" s="87" t="n"/>
      <c r="M958" s="105" t="n"/>
      <c r="N958" s="106" t="n"/>
    </row>
    <row r="959">
      <c r="J959" s="87" t="n"/>
      <c r="L959" s="87" t="n"/>
      <c r="M959" s="105" t="n"/>
      <c r="N959" s="106" t="n"/>
    </row>
    <row r="960">
      <c r="J960" s="87" t="n"/>
      <c r="L960" s="87" t="n"/>
      <c r="M960" s="105" t="n"/>
      <c r="N960" s="106" t="n"/>
    </row>
    <row r="961">
      <c r="J961" s="87" t="n"/>
      <c r="L961" s="87" t="n"/>
      <c r="M961" s="105" t="n"/>
      <c r="N961" s="106" t="n"/>
    </row>
    <row r="962">
      <c r="J962" s="87" t="n"/>
      <c r="L962" s="87" t="n"/>
      <c r="M962" s="105" t="n"/>
      <c r="N962" s="106" t="n"/>
    </row>
    <row r="963">
      <c r="J963" s="87" t="n"/>
      <c r="L963" s="87" t="n"/>
      <c r="M963" s="105" t="n"/>
      <c r="N963" s="106" t="n"/>
    </row>
    <row r="964">
      <c r="J964" s="87" t="n"/>
      <c r="L964" s="87" t="n"/>
      <c r="M964" s="105" t="n"/>
      <c r="N964" s="106" t="n"/>
    </row>
    <row r="965">
      <c r="J965" s="87" t="n"/>
      <c r="L965" s="87" t="n"/>
      <c r="M965" s="105" t="n"/>
      <c r="N965" s="106" t="n"/>
    </row>
    <row r="966">
      <c r="J966" s="87" t="n"/>
      <c r="L966" s="87" t="n"/>
      <c r="M966" s="105" t="n"/>
      <c r="N966" s="106" t="n"/>
    </row>
    <row r="967">
      <c r="J967" s="87" t="n"/>
      <c r="L967" s="87" t="n"/>
      <c r="M967" s="105" t="n"/>
      <c r="N967" s="106" t="n"/>
    </row>
    <row r="968">
      <c r="J968" s="87" t="n"/>
      <c r="L968" s="87" t="n"/>
      <c r="M968" s="105" t="n"/>
      <c r="N968" s="106" t="n"/>
    </row>
    <row r="969">
      <c r="J969" s="87" t="n"/>
      <c r="L969" s="87" t="n"/>
      <c r="M969" s="105" t="n"/>
      <c r="N969" s="106" t="n"/>
    </row>
    <row r="970">
      <c r="J970" s="87" t="n"/>
      <c r="L970" s="87" t="n"/>
      <c r="M970" s="105" t="n"/>
      <c r="N970" s="106" t="n"/>
    </row>
    <row r="971">
      <c r="J971" s="87" t="n"/>
      <c r="L971" s="87" t="n"/>
      <c r="M971" s="105" t="n"/>
      <c r="N971" s="106" t="n"/>
    </row>
    <row r="972">
      <c r="J972" s="87" t="n"/>
      <c r="L972" s="87" t="n"/>
      <c r="M972" s="105" t="n"/>
      <c r="N972" s="106" t="n"/>
    </row>
    <row r="973">
      <c r="J973" s="87" t="n"/>
      <c r="L973" s="87" t="n"/>
      <c r="M973" s="105" t="n"/>
      <c r="N973" s="106" t="n"/>
    </row>
    <row r="974">
      <c r="J974" s="87" t="n"/>
      <c r="L974" s="87" t="n"/>
      <c r="M974" s="105" t="n"/>
      <c r="N974" s="106" t="n"/>
    </row>
    <row r="975">
      <c r="J975" s="87" t="n"/>
      <c r="L975" s="87" t="n"/>
      <c r="M975" s="105" t="n"/>
      <c r="N975" s="106" t="n"/>
    </row>
    <row r="976">
      <c r="J976" s="87" t="n"/>
      <c r="L976" s="87" t="n"/>
      <c r="M976" s="105" t="n"/>
      <c r="N976" s="106" t="n"/>
    </row>
    <row r="977">
      <c r="J977" s="87" t="n"/>
      <c r="L977" s="87" t="n"/>
      <c r="M977" s="105" t="n"/>
      <c r="N977" s="106" t="n"/>
    </row>
    <row r="978">
      <c r="J978" s="87" t="n"/>
      <c r="L978" s="87" t="n"/>
      <c r="M978" s="105" t="n"/>
      <c r="N978" s="106" t="n"/>
    </row>
    <row r="979">
      <c r="J979" s="87" t="n"/>
      <c r="L979" s="87" t="n"/>
      <c r="M979" s="105" t="n"/>
      <c r="N979" s="106" t="n"/>
    </row>
    <row r="980">
      <c r="J980" s="87" t="n"/>
      <c r="L980" s="87" t="n"/>
      <c r="M980" s="105" t="n"/>
      <c r="N980" s="106" t="n"/>
    </row>
    <row r="981">
      <c r="J981" s="87" t="n"/>
      <c r="L981" s="87" t="n"/>
      <c r="M981" s="105" t="n"/>
      <c r="N981" s="106" t="n"/>
    </row>
    <row r="982">
      <c r="J982" s="87" t="n"/>
      <c r="L982" s="87" t="n"/>
      <c r="M982" s="105" t="n"/>
      <c r="N982" s="106" t="n"/>
    </row>
    <row r="983">
      <c r="J983" s="87" t="n"/>
      <c r="L983" s="87" t="n"/>
      <c r="M983" s="105" t="n"/>
      <c r="N983" s="106" t="n"/>
    </row>
    <row r="984">
      <c r="J984" s="87" t="n"/>
      <c r="L984" s="87" t="n"/>
      <c r="M984" s="105" t="n"/>
      <c r="N984" s="106" t="n"/>
    </row>
    <row r="985">
      <c r="J985" s="87" t="n"/>
      <c r="L985" s="87" t="n"/>
      <c r="M985" s="105" t="n"/>
      <c r="N985" s="106" t="n"/>
    </row>
    <row r="986">
      <c r="J986" s="87" t="n"/>
      <c r="L986" s="87" t="n"/>
      <c r="M986" s="105" t="n"/>
      <c r="N986" s="106" t="n"/>
    </row>
    <row r="987">
      <c r="J987" s="87" t="n"/>
      <c r="L987" s="87" t="n"/>
      <c r="M987" s="105" t="n"/>
      <c r="N987" s="106" t="n"/>
    </row>
    <row r="988">
      <c r="J988" s="87" t="n"/>
      <c r="L988" s="87" t="n"/>
      <c r="M988" s="105" t="n"/>
      <c r="N988" s="106" t="n"/>
    </row>
    <row r="989">
      <c r="J989" s="87" t="n"/>
      <c r="L989" s="87" t="n"/>
      <c r="M989" s="105" t="n"/>
      <c r="N989" s="106" t="n"/>
    </row>
    <row r="990">
      <c r="J990" s="87" t="n"/>
      <c r="L990" s="87" t="n"/>
      <c r="M990" s="105" t="n"/>
      <c r="N990" s="106" t="n"/>
    </row>
    <row r="991">
      <c r="J991" s="87" t="n"/>
      <c r="L991" s="87" t="n"/>
      <c r="M991" s="105" t="n"/>
      <c r="N991" s="106" t="n"/>
    </row>
    <row r="992">
      <c r="J992" s="87" t="n"/>
      <c r="L992" s="87" t="n"/>
      <c r="M992" s="105" t="n"/>
      <c r="N992" s="106" t="n"/>
    </row>
    <row r="993">
      <c r="J993" s="87" t="n"/>
      <c r="L993" s="87" t="n"/>
      <c r="M993" s="105" t="n"/>
      <c r="N993" s="106" t="n"/>
    </row>
    <row r="994">
      <c r="J994" s="87" t="n"/>
      <c r="L994" s="87" t="n"/>
      <c r="M994" s="105" t="n"/>
      <c r="N994" s="106" t="n"/>
    </row>
    <row r="995">
      <c r="J995" s="87" t="n"/>
      <c r="L995" s="87" t="n"/>
      <c r="M995" s="105" t="n"/>
      <c r="N995" s="106" t="n"/>
    </row>
    <row r="996">
      <c r="J996" s="87" t="n"/>
      <c r="L996" s="87" t="n"/>
      <c r="M996" s="105" t="n"/>
      <c r="N996" s="106" t="n"/>
    </row>
    <row r="997">
      <c r="J997" s="87" t="n"/>
      <c r="L997" s="87" t="n"/>
      <c r="M997" s="105" t="n"/>
      <c r="N997" s="106" t="n"/>
    </row>
    <row r="998">
      <c r="J998" s="87" t="n"/>
      <c r="L998" s="87" t="n"/>
      <c r="M998" s="105" t="n"/>
      <c r="N998" s="106" t="n"/>
    </row>
    <row r="999">
      <c r="J999" s="87" t="n"/>
      <c r="L999" s="87" t="n"/>
      <c r="M999" s="105" t="n"/>
      <c r="N999" s="106" t="n"/>
    </row>
    <row r="1000">
      <c r="J1000" s="87" t="n"/>
      <c r="L1000" s="87" t="n"/>
      <c r="M1000" s="105" t="n"/>
      <c r="N1000" s="106" t="n"/>
    </row>
  </sheetData>
  <mergeCells count="73">
    <mergeCell ref="B91:C91"/>
    <mergeCell ref="B97:C97"/>
    <mergeCell ref="A24:B24"/>
    <mergeCell ref="B100:C100"/>
    <mergeCell ref="B16:C16"/>
    <mergeCell ref="B54:C54"/>
    <mergeCell ref="B7:C7"/>
    <mergeCell ref="B90:C90"/>
    <mergeCell ref="B81:C81"/>
    <mergeCell ref="M111:N11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M110:N110"/>
    <mergeCell ref="B70:C70"/>
    <mergeCell ref="B21:C21"/>
    <mergeCell ref="B48:C48"/>
    <mergeCell ref="B52:C52"/>
    <mergeCell ref="B79:C79"/>
    <mergeCell ref="A99:B99"/>
    <mergeCell ref="B42:C42"/>
    <mergeCell ref="B61:C61"/>
    <mergeCell ref="A46:B46"/>
    <mergeCell ref="B101:C101"/>
    <mergeCell ref="B17:C17"/>
    <mergeCell ref="M99:N99"/>
    <mergeCell ref="B88:C88"/>
    <mergeCell ref="B8:C8"/>
    <mergeCell ref="B82:C82"/>
    <mergeCell ref="B53:C53"/>
    <mergeCell ref="B73:C73"/>
    <mergeCell ref="B69:C69"/>
    <mergeCell ref="B44:C44"/>
    <mergeCell ref="B38:C38"/>
    <mergeCell ref="B29:C29"/>
    <mergeCell ref="A77:B77"/>
    <mergeCell ref="M77:N77"/>
    <mergeCell ref="A111:C111"/>
    <mergeCell ref="B103:C103"/>
    <mergeCell ref="B19:C19"/>
    <mergeCell ref="B34:C34"/>
    <mergeCell ref="B28:C28"/>
    <mergeCell ref="M46:N46"/>
    <mergeCell ref="B37:C37"/>
    <mergeCell ref="B40:C40"/>
    <mergeCell ref="B49:C49"/>
    <mergeCell ref="B55:C55"/>
    <mergeCell ref="B92:C92"/>
    <mergeCell ref="M24:N24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41:C41"/>
    <mergeCell ref="B35:C35"/>
    <mergeCell ref="B106:C106"/>
    <mergeCell ref="M87:N8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O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42.63" customWidth="1" style="270" min="2" max="2"/>
    <col width="15.63" customWidth="1" style="270" min="3" max="3"/>
    <col width="15.88" customWidth="1" style="270" min="4" max="4"/>
    <col width="21" customWidth="1" style="270" min="10" max="10"/>
    <col width="20.63" customWidth="1" style="270" min="12" max="12"/>
  </cols>
  <sheetData>
    <row r="1">
      <c r="A1" s="111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215" t="n"/>
      <c r="J1" s="87" t="n"/>
      <c r="L1" s="87" t="n"/>
      <c r="M1" s="105" t="n"/>
      <c r="N1" s="106" t="n"/>
    </row>
    <row r="2">
      <c r="A2" s="186" t="inlineStr">
        <is>
          <t>VIGENCIA:</t>
        </is>
      </c>
      <c r="B2" s="108" t="n">
        <v>45078</v>
      </c>
      <c r="C2" s="223" t="n"/>
      <c r="D2" s="110" t="n"/>
      <c r="E2" s="111" t="n"/>
      <c r="F2" s="111" t="n"/>
      <c r="G2" s="111" t="n"/>
      <c r="H2" s="111" t="n"/>
      <c r="I2" s="215" t="n"/>
      <c r="J2" s="87" t="n"/>
      <c r="L2" s="87" t="n"/>
      <c r="M2" s="105" t="n"/>
      <c r="N2" s="106" t="n"/>
    </row>
    <row r="3">
      <c r="J3" s="87" t="n"/>
      <c r="L3" s="87" t="n"/>
      <c r="M3" s="105" t="n"/>
      <c r="N3" s="106" t="n"/>
    </row>
    <row r="4">
      <c r="A4" s="117" t="inlineStr">
        <is>
          <t>JABONES</t>
        </is>
      </c>
      <c r="B4" s="223" t="n"/>
      <c r="C4" s="223" t="n"/>
      <c r="D4" s="118" t="inlineStr">
        <is>
          <t>Lista 20 con -7 y -2</t>
        </is>
      </c>
      <c r="E4" s="188" t="inlineStr">
        <is>
          <t xml:space="preserve">Mayorista </t>
        </is>
      </c>
      <c r="F4" s="188" t="inlineStr">
        <is>
          <t xml:space="preserve">Minorista </t>
        </is>
      </c>
      <c r="G4" s="188" t="inlineStr">
        <is>
          <t>Minorista con IVA</t>
        </is>
      </c>
      <c r="H4" s="188" t="inlineStr">
        <is>
          <t>Redondeado</t>
        </is>
      </c>
      <c r="J4" s="87" t="inlineStr">
        <is>
          <t>Antes del 7 + 2% ANTERIOR</t>
        </is>
      </c>
      <c r="L4" s="87" t="inlineStr">
        <is>
          <t>Antes del 7 + 2% ACTUAL</t>
        </is>
      </c>
      <c r="M4" s="119" t="n"/>
      <c r="N4" s="120" t="inlineStr">
        <is>
          <t>% Aumento</t>
        </is>
      </c>
      <c r="O4" s="118" t="n"/>
    </row>
    <row r="5">
      <c r="A5" s="131" t="n"/>
      <c r="B5" s="223" t="n"/>
      <c r="C5" s="223" t="n"/>
      <c r="D5" s="118" t="n"/>
      <c r="J5" s="87" t="n"/>
      <c r="L5" s="87" t="n"/>
      <c r="M5" s="119" t="n"/>
      <c r="N5" s="120" t="n"/>
      <c r="O5" s="118" t="n"/>
    </row>
    <row r="6">
      <c r="A6" s="124" t="n"/>
      <c r="B6" s="223" t="n"/>
      <c r="C6" s="223" t="n"/>
      <c r="D6" s="237" t="n"/>
      <c r="J6" s="87" t="n"/>
      <c r="L6" s="87" t="n"/>
      <c r="M6" s="128" t="n"/>
      <c r="N6" s="120" t="n"/>
      <c r="O6" s="237" t="n"/>
    </row>
    <row r="7">
      <c r="A7" s="124" t="n">
        <v>701</v>
      </c>
      <c r="B7" s="223" t="inlineStr">
        <is>
          <t>Botella 1 lt. Servicio Dilución DMQ</t>
        </is>
      </c>
      <c r="D7" s="237">
        <f>L7*0.93*0.98</f>
        <v/>
      </c>
      <c r="E7" s="87">
        <f>D7*1.3*1.105</f>
        <v/>
      </c>
      <c r="F7" s="87">
        <f>D7*1.3*1.105/0.9</f>
        <v/>
      </c>
      <c r="G7" s="87">
        <f>F7*1.21</f>
        <v/>
      </c>
      <c r="H7" s="87">
        <f>ROUND(G7/100,0)*100</f>
        <v/>
      </c>
      <c r="J7" s="87" t="n">
        <v>1285.96</v>
      </c>
      <c r="L7" s="127" t="n">
        <v>1414.55</v>
      </c>
      <c r="M7" s="128" t="n"/>
      <c r="N7" s="120">
        <f>(L7/J7)-1</f>
        <v/>
      </c>
      <c r="O7" s="237" t="n"/>
    </row>
    <row r="8">
      <c r="A8" s="124" t="n">
        <v>720</v>
      </c>
      <c r="B8" s="223" t="inlineStr">
        <is>
          <t>Bidon x 5 lts. Jabón Líquido Tocador</t>
        </is>
      </c>
      <c r="D8" s="237">
        <f>L8*0.93*0.98</f>
        <v/>
      </c>
      <c r="E8" s="87">
        <f>D8*1.3*1.105</f>
        <v/>
      </c>
      <c r="F8" s="87">
        <f>D8*1.3*1.105/0.9</f>
        <v/>
      </c>
      <c r="G8" s="87">
        <f>F8*1.21</f>
        <v/>
      </c>
      <c r="H8" s="87">
        <f>ROUND(G8/100,0)*100</f>
        <v/>
      </c>
      <c r="J8" s="87" t="n">
        <v>4032.92</v>
      </c>
      <c r="L8" s="230" t="n">
        <v>4436.21</v>
      </c>
      <c r="M8" s="128" t="n"/>
      <c r="N8" s="120">
        <f>(L8/J8)-1</f>
        <v/>
      </c>
      <c r="O8" s="237" t="n"/>
    </row>
    <row r="9">
      <c r="A9" s="124" t="n"/>
      <c r="B9" s="223" t="n"/>
      <c r="C9" s="223" t="n"/>
      <c r="D9" s="237" t="n"/>
      <c r="J9" s="87" t="n"/>
      <c r="L9" s="215" t="n"/>
      <c r="M9" s="128" t="n"/>
      <c r="N9" s="120" t="n"/>
      <c r="O9" s="237" t="n"/>
    </row>
    <row r="10">
      <c r="A10" s="117" t="inlineStr">
        <is>
          <t>TOALLAS</t>
        </is>
      </c>
      <c r="B10" s="223" t="n"/>
      <c r="C10" s="223" t="n"/>
      <c r="D10" s="237" t="n"/>
      <c r="J10" s="87" t="n"/>
      <c r="L10" s="215" t="n"/>
      <c r="M10" s="119" t="n"/>
      <c r="N10" s="120" t="n"/>
      <c r="O10" s="237" t="n"/>
    </row>
    <row r="11">
      <c r="A11" s="131" t="n"/>
      <c r="B11" s="223" t="n"/>
      <c r="C11" s="223" t="n"/>
      <c r="D11" s="237" t="n"/>
      <c r="J11" s="87" t="n"/>
      <c r="L11" s="215" t="n"/>
      <c r="M11" s="119" t="n"/>
      <c r="N11" s="120" t="n"/>
      <c r="O11" s="237" t="n"/>
    </row>
    <row r="12">
      <c r="A12" s="124" t="n">
        <v>901</v>
      </c>
      <c r="B12" s="223" t="inlineStr">
        <is>
          <t>Toallas Blancas Super 21x25</t>
        </is>
      </c>
      <c r="C12" s="223" t="n"/>
      <c r="D12" s="237">
        <f>L12*0.93*0.98</f>
        <v/>
      </c>
      <c r="E12" s="87">
        <f>D12*1.3*1.105</f>
        <v/>
      </c>
      <c r="F12" s="87">
        <f>D12*1.3*1.105/0.9</f>
        <v/>
      </c>
      <c r="G12" s="87">
        <f>F12*1.21</f>
        <v/>
      </c>
      <c r="H12" s="87">
        <f>ROUND(G12/100,0)*100</f>
        <v/>
      </c>
      <c r="J12" s="87" t="n">
        <v>4785.97</v>
      </c>
      <c r="L12" s="127" t="n">
        <v>5264.56</v>
      </c>
      <c r="M12" s="128" t="n"/>
      <c r="N12" s="120">
        <f>(L12/J12)-1</f>
        <v/>
      </c>
      <c r="O12" s="237" t="n"/>
    </row>
    <row r="13">
      <c r="A13" s="124" t="n">
        <v>902</v>
      </c>
      <c r="B13" s="223" t="inlineStr">
        <is>
          <t>Toallas Blancas Pura Simple</t>
        </is>
      </c>
      <c r="C13" s="223" t="n"/>
      <c r="D13" s="237">
        <f>L13*0.93*0.98</f>
        <v/>
      </c>
      <c r="E13" s="87">
        <f>D13*1.3*1.105</f>
        <v/>
      </c>
      <c r="F13" s="87">
        <f>D13*1.3*1.105/0.9</f>
        <v/>
      </c>
      <c r="G13" s="87">
        <f>F13*1.21</f>
        <v/>
      </c>
      <c r="H13" s="87">
        <f>ROUND(G13/100,0)*100</f>
        <v/>
      </c>
      <c r="J13" s="87" t="n">
        <v>5306.62</v>
      </c>
      <c r="L13" s="230" t="n">
        <v>5840.8</v>
      </c>
      <c r="M13" s="128" t="n"/>
      <c r="N13" s="120">
        <f>(L13/J13)-1</f>
        <v/>
      </c>
      <c r="O13" s="237" t="n"/>
    </row>
    <row r="14">
      <c r="A14" s="124" t="n">
        <v>903</v>
      </c>
      <c r="B14" s="223" t="inlineStr">
        <is>
          <t>Toallas Blancas Pura Doble</t>
        </is>
      </c>
      <c r="C14" s="223" t="n"/>
      <c r="D14" s="237">
        <f>L14*0.93*0.98</f>
        <v/>
      </c>
      <c r="E14" s="87">
        <f>D14*1.3*1.105</f>
        <v/>
      </c>
      <c r="F14" s="87">
        <f>D14*1.3*1.105/0.9</f>
        <v/>
      </c>
      <c r="G14" s="87">
        <f>F14*1.21</f>
        <v/>
      </c>
      <c r="H14" s="87">
        <f>ROUND(G14/100,0)*100</f>
        <v/>
      </c>
      <c r="J14" s="87" t="n">
        <v>6613.29</v>
      </c>
      <c r="L14" s="230" t="n">
        <v>7274.62</v>
      </c>
      <c r="M14" s="128" t="n"/>
      <c r="N14" s="120">
        <f>(L14/J14)-1</f>
        <v/>
      </c>
      <c r="O14" s="237" t="n"/>
    </row>
    <row r="15">
      <c r="A15" s="124" t="n">
        <v>914</v>
      </c>
      <c r="B15" s="223" t="inlineStr">
        <is>
          <t>Toalla Blanca Unitas (17,5x25 cm)</t>
        </is>
      </c>
      <c r="D15" s="237">
        <f>L15*0.93*0.98</f>
        <v/>
      </c>
      <c r="E15" s="87">
        <f>D15*1.3*1.105</f>
        <v/>
      </c>
      <c r="F15" s="87">
        <f>D15*1.3*1.105/0.9</f>
        <v/>
      </c>
      <c r="G15" s="87">
        <f>F15*1.21</f>
        <v/>
      </c>
      <c r="H15" s="87">
        <f>ROUND(G15/100,0)*100</f>
        <v/>
      </c>
      <c r="J15" s="87" t="n">
        <v>3646.76</v>
      </c>
      <c r="L15" s="230" t="n">
        <v>4011.43</v>
      </c>
      <c r="M15" s="128" t="n"/>
      <c r="N15" s="120">
        <f>(L15/J15)-1</f>
        <v/>
      </c>
      <c r="O15" s="237" t="n"/>
    </row>
    <row r="16">
      <c r="A16" s="124" t="n">
        <v>916</v>
      </c>
      <c r="B16" s="223" t="inlineStr">
        <is>
          <t>Toalla Blanca Especial 21 x 25 ( tiza )</t>
        </is>
      </c>
      <c r="D16" s="237">
        <f>L16*0.93*0.98</f>
        <v/>
      </c>
      <c r="E16" s="87">
        <f>D16*1.3*1.105</f>
        <v/>
      </c>
      <c r="F16" s="87">
        <f>D16*1.3*1.105/0.9</f>
        <v/>
      </c>
      <c r="G16" s="87">
        <f>F16*1.21</f>
        <v/>
      </c>
      <c r="H16" s="87">
        <f>ROUND(G16/100,0)*100</f>
        <v/>
      </c>
      <c r="J16" s="87" t="n">
        <v>4463.45</v>
      </c>
      <c r="L16" s="230" t="n">
        <v>4909.79</v>
      </c>
      <c r="M16" s="128" t="n"/>
      <c r="N16" s="120">
        <f>(L16/J16)-1</f>
        <v/>
      </c>
      <c r="O16" s="237" t="n"/>
    </row>
    <row r="17">
      <c r="A17" s="124" t="n">
        <v>920</v>
      </c>
      <c r="B17" s="223" t="inlineStr">
        <is>
          <t>Toalla Blanca Especial 21 x 37 ( tiza )</t>
        </is>
      </c>
      <c r="D17" s="237">
        <f>L17*0.93*0.98</f>
        <v/>
      </c>
      <c r="E17" s="87">
        <f>D17*1.3*1.105</f>
        <v/>
      </c>
      <c r="F17" s="87">
        <f>D17*1.3*1.105/0.9</f>
        <v/>
      </c>
      <c r="G17" s="87">
        <f>F17*1.21</f>
        <v/>
      </c>
      <c r="H17" s="87">
        <f>ROUND(G17/100,0)*100</f>
        <v/>
      </c>
      <c r="J17" s="87" t="n">
        <v>6088.81</v>
      </c>
      <c r="L17" s="230" t="n">
        <v>6697.69</v>
      </c>
      <c r="M17" s="128" t="n"/>
      <c r="N17" s="120">
        <f>(L17/J17)-1</f>
        <v/>
      </c>
      <c r="O17" s="237" t="n"/>
    </row>
    <row r="18">
      <c r="A18" s="124" t="n">
        <v>927</v>
      </c>
      <c r="B18" s="223" t="inlineStr">
        <is>
          <t>Toalla Blanca Especial 17,5 x 25 ( tiza ) Unita</t>
        </is>
      </c>
      <c r="D18" s="237">
        <f>L18*0.93*0.98</f>
        <v/>
      </c>
      <c r="E18" s="87">
        <f>D18*1.3*1.105</f>
        <v/>
      </c>
      <c r="F18" s="87">
        <f>D18*1.3*1.105/0.9</f>
        <v/>
      </c>
      <c r="G18" s="87">
        <f>F18*1.21</f>
        <v/>
      </c>
      <c r="H18" s="87">
        <f>ROUND(G18/100,0)*100</f>
        <v/>
      </c>
      <c r="J18" s="87" t="n">
        <v>3498.76</v>
      </c>
      <c r="L18" s="230" t="n">
        <v>3848.63</v>
      </c>
      <c r="M18" s="128" t="n"/>
      <c r="N18" s="120">
        <f>(L18/J18)-1</f>
        <v/>
      </c>
      <c r="O18" s="237" t="n"/>
    </row>
    <row r="19">
      <c r="A19" s="124" t="n">
        <v>928</v>
      </c>
      <c r="B19" s="223" t="inlineStr">
        <is>
          <t>Cajas x 2500 Toallas Beige 21x37</t>
        </is>
      </c>
      <c r="D19" s="237">
        <f>L19*0.93*0.98</f>
        <v/>
      </c>
      <c r="E19" s="87">
        <f>D19*1.3*1.105</f>
        <v/>
      </c>
      <c r="F19" s="87">
        <f>D19*1.3*1.105/0.9</f>
        <v/>
      </c>
      <c r="G19" s="87">
        <f>F19*1.21</f>
        <v/>
      </c>
      <c r="H19" s="87">
        <f>ROUND(G19/100,0)*100</f>
        <v/>
      </c>
      <c r="J19" s="87" t="n">
        <v>5156.72</v>
      </c>
      <c r="L19" s="230" t="n">
        <v>5672.39</v>
      </c>
      <c r="M19" s="128" t="n"/>
      <c r="N19" s="120">
        <f>(L19/J19)-1</f>
        <v/>
      </c>
      <c r="O19" s="237" t="n"/>
    </row>
    <row r="20">
      <c r="A20" s="124" t="n">
        <v>930</v>
      </c>
      <c r="B20" s="223" t="inlineStr">
        <is>
          <t>Toalla Blanca Super 21x37 cm</t>
        </is>
      </c>
      <c r="C20" s="223" t="n"/>
      <c r="D20" s="237">
        <f>L20*0.93*0.98</f>
        <v/>
      </c>
      <c r="E20" s="87">
        <f>D20*1.3*1.105</f>
        <v/>
      </c>
      <c r="F20" s="87">
        <f>D20*1.3*1.105/0.9</f>
        <v/>
      </c>
      <c r="G20" s="87">
        <f>F20*1.21</f>
        <v/>
      </c>
      <c r="H20" s="87">
        <f>ROUND(G20/100,0)*100</f>
        <v/>
      </c>
      <c r="J20" s="87" t="n">
        <v>6581.53</v>
      </c>
      <c r="L20" s="230" t="n">
        <v>7239.68</v>
      </c>
      <c r="M20" s="128" t="n"/>
      <c r="N20" s="120">
        <f>(L20/J20)-1</f>
        <v/>
      </c>
      <c r="O20" s="237" t="n"/>
    </row>
    <row r="21">
      <c r="A21" s="124" t="n">
        <v>931</v>
      </c>
      <c r="B21" s="223" t="inlineStr">
        <is>
          <t>Caja x 2500 Toallas Beige Unitas 17,5 cm x 25 cm</t>
        </is>
      </c>
      <c r="D21" s="237">
        <f>L21*0.93*0.98</f>
        <v/>
      </c>
      <c r="E21" s="87">
        <f>D21*1.3*1.105</f>
        <v/>
      </c>
      <c r="F21" s="87">
        <f>D21*1.3*1.105/0.9</f>
        <v/>
      </c>
      <c r="G21" s="87">
        <f>F21*1.21</f>
        <v/>
      </c>
      <c r="H21" s="87">
        <f>ROUND(G21/100,0)*100</f>
        <v/>
      </c>
      <c r="I21" s="87">
        <f>F21*1.1</f>
        <v/>
      </c>
      <c r="J21" s="87" t="n">
        <v>3218.89</v>
      </c>
      <c r="L21" s="230" t="n">
        <v>3540.78</v>
      </c>
      <c r="M21" s="128" t="n"/>
      <c r="N21" s="120">
        <f>(L21/J21)-1</f>
        <v/>
      </c>
      <c r="O21" s="237" t="n"/>
    </row>
    <row r="22">
      <c r="A22" s="124" t="n">
        <v>932</v>
      </c>
      <c r="B22" s="223" t="inlineStr">
        <is>
          <t>Caja x 2500 Toallas Beige 21 cm x 25 cm simple hoja</t>
        </is>
      </c>
      <c r="D22" s="237">
        <f>L22*0.93*0.98</f>
        <v/>
      </c>
      <c r="E22" s="87">
        <f>D22*1.3*1.105</f>
        <v/>
      </c>
      <c r="F22" s="87">
        <f>D22*1.3*1.105/0.9</f>
        <v/>
      </c>
      <c r="G22" s="87">
        <f>F22*1.21</f>
        <v/>
      </c>
      <c r="H22" s="87">
        <f>ROUND(G22/100,0)*100</f>
        <v/>
      </c>
      <c r="J22" s="87" t="n">
        <v>3670.08</v>
      </c>
      <c r="L22" s="230" t="n">
        <v>4037.09</v>
      </c>
      <c r="M22" s="128" t="n"/>
      <c r="N22" s="120">
        <f>(L22/J22)-1</f>
        <v/>
      </c>
      <c r="O22" s="237" t="n"/>
    </row>
    <row r="23">
      <c r="A23" s="124" t="n"/>
      <c r="B23" s="223" t="n"/>
      <c r="C23" s="223" t="n"/>
      <c r="D23" s="237" t="n"/>
      <c r="J23" s="87" t="n"/>
      <c r="L23" s="87" t="n"/>
      <c r="M23" s="128" t="n"/>
      <c r="N23" s="120" t="n"/>
      <c r="O23" s="237" t="n"/>
    </row>
    <row r="24">
      <c r="A24" s="117" t="inlineStr">
        <is>
          <t>TOALLAS EN ROLLO</t>
        </is>
      </c>
      <c r="B24" s="271" t="n"/>
      <c r="C24" s="223" t="n"/>
      <c r="D24" s="237" t="n"/>
      <c r="J24" s="87" t="n"/>
      <c r="L24" s="87" t="n"/>
      <c r="M24" s="119" t="n"/>
      <c r="O24" s="237" t="n"/>
    </row>
    <row r="25">
      <c r="A25" s="131" t="n"/>
      <c r="B25" s="111" t="n"/>
      <c r="C25" s="223" t="n"/>
      <c r="D25" s="237" t="n"/>
      <c r="J25" s="87" t="n"/>
      <c r="L25" s="87" t="n"/>
      <c r="M25" s="119" t="n"/>
      <c r="N25" s="132" t="n"/>
      <c r="O25" s="237" t="n"/>
    </row>
    <row r="26">
      <c r="A26" s="124" t="n">
        <v>204</v>
      </c>
      <c r="B26" s="223" t="inlineStr">
        <is>
          <t>Pack X 2 Rollos de toalla x 300 mts Blanca</t>
        </is>
      </c>
      <c r="D26" s="237">
        <f>L26*0.93*0.98</f>
        <v/>
      </c>
      <c r="E26" s="87">
        <f>D26*1.3*1.105</f>
        <v/>
      </c>
      <c r="F26" s="87">
        <f>D26*1.3*1.105/0.9</f>
        <v/>
      </c>
      <c r="G26" s="87">
        <f>F26*1.21</f>
        <v/>
      </c>
      <c r="H26" s="87">
        <f>ROUND(G26/100,0)*100</f>
        <v/>
      </c>
      <c r="J26" s="87" t="n">
        <v>7223.13</v>
      </c>
      <c r="L26" s="127" t="n">
        <v>7945.44</v>
      </c>
      <c r="M26" s="128" t="n"/>
      <c r="N26" s="120">
        <f>(L26/J26)-1</f>
        <v/>
      </c>
      <c r="O26" s="237" t="n"/>
    </row>
    <row r="27">
      <c r="A27" s="124" t="n">
        <v>205</v>
      </c>
      <c r="B27" s="223" t="inlineStr">
        <is>
          <t>Pack X 2 Rollos de toalla x 240 mts Blanca</t>
        </is>
      </c>
      <c r="D27" s="237">
        <f>L27*0.93*0.98</f>
        <v/>
      </c>
      <c r="E27" s="87">
        <f>D27*1.3*1.105</f>
        <v/>
      </c>
      <c r="F27" s="87">
        <f>D27*1.3*1.105/0.9</f>
        <v/>
      </c>
      <c r="G27" s="87">
        <f>F27*1.21</f>
        <v/>
      </c>
      <c r="H27" s="87">
        <f>ROUND(G27/100,0)*100</f>
        <v/>
      </c>
      <c r="J27" s="87" t="n">
        <v>9204.799999999999</v>
      </c>
      <c r="L27" s="230" t="n">
        <v>10125.28</v>
      </c>
      <c r="M27" s="128" t="n"/>
      <c r="N27" s="120">
        <f>(L27/J27)-1</f>
        <v/>
      </c>
      <c r="O27" s="237" t="n"/>
    </row>
    <row r="28">
      <c r="A28" s="133" t="n">
        <v>116</v>
      </c>
      <c r="B28" s="134" t="inlineStr">
        <is>
          <t>Pack x 6 Rollos de Toallas x 200 mts. Blanca</t>
        </is>
      </c>
      <c r="D28" s="135">
        <f>L28*0.93*0.98</f>
        <v/>
      </c>
      <c r="E28" s="87">
        <f>D28*1.3*1.105</f>
        <v/>
      </c>
      <c r="F28" s="87">
        <f>D28*1.3*1.105/0.9</f>
        <v/>
      </c>
      <c r="G28" s="87">
        <f>F28*1.21</f>
        <v/>
      </c>
      <c r="H28" s="87">
        <f>ROUND(G28/100,0)*100</f>
        <v/>
      </c>
      <c r="J28" s="87" t="n">
        <v>7282.22</v>
      </c>
      <c r="L28" s="230" t="n">
        <v>8010.43</v>
      </c>
      <c r="M28" s="128" t="n"/>
      <c r="N28" s="120">
        <f>(L28/J28)-1</f>
        <v/>
      </c>
      <c r="O28" s="135" t="n"/>
    </row>
    <row r="29">
      <c r="A29" s="124" t="n">
        <v>135</v>
      </c>
      <c r="B29" s="223" t="inlineStr">
        <is>
          <t>Recarga Original P/Dispenser Celmatic 2500 U. Dobles</t>
        </is>
      </c>
      <c r="D29" s="237">
        <f>L29*0.93*0.98</f>
        <v/>
      </c>
      <c r="E29" s="87">
        <f>D29*1.3*1.105</f>
        <v/>
      </c>
      <c r="F29" s="87">
        <f>D29*1.3*1.105/0.9</f>
        <v/>
      </c>
      <c r="G29" s="87">
        <f>F29*1.21</f>
        <v/>
      </c>
      <c r="H29" s="87">
        <f>ROUND(G29/100,0)*100</f>
        <v/>
      </c>
      <c r="J29" s="87" t="n">
        <v>3529.28</v>
      </c>
      <c r="L29" s="230" t="n">
        <v>3882.21</v>
      </c>
      <c r="M29" s="128" t="n"/>
      <c r="N29" s="120">
        <f>(L29/J29)-1</f>
        <v/>
      </c>
      <c r="O29" s="237" t="n"/>
    </row>
    <row r="30">
      <c r="A30" s="124" t="n">
        <v>136</v>
      </c>
      <c r="B30" s="223" t="inlineStr">
        <is>
          <t>Pack x 4 Recarga Celmatic Due 2400 U. Dobles</t>
        </is>
      </c>
      <c r="D30" s="237">
        <f>L30*0.93*0.98</f>
        <v/>
      </c>
      <c r="E30" s="87">
        <f>D30*1.3*1.105</f>
        <v/>
      </c>
      <c r="F30" s="87">
        <f>D30*1.3*1.105/0.9</f>
        <v/>
      </c>
      <c r="G30" s="87">
        <f>F30*1.21</f>
        <v/>
      </c>
      <c r="H30" s="87">
        <f>ROUND(G30/100,0)*100</f>
        <v/>
      </c>
      <c r="J30" s="87" t="n">
        <v>2812.7</v>
      </c>
      <c r="L30" s="230" t="n">
        <v>3093.96</v>
      </c>
      <c r="M30" s="128" t="n"/>
      <c r="N30" s="120">
        <f>(L30/J30)-1</f>
        <v/>
      </c>
      <c r="O30" s="237" t="n"/>
    </row>
    <row r="31">
      <c r="A31" s="124" t="n"/>
      <c r="B31" s="223" t="n"/>
      <c r="C31" s="223" t="n"/>
      <c r="D31" s="237" t="n"/>
      <c r="J31" s="87" t="n"/>
      <c r="L31" s="87" t="n"/>
      <c r="M31" s="128" t="n"/>
      <c r="N31" s="120" t="n"/>
      <c r="O31" s="237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 t="n"/>
      <c r="J32" s="87" t="n"/>
      <c r="L32" s="87" t="n"/>
      <c r="M32" s="119" t="n"/>
      <c r="N32" s="120" t="n"/>
      <c r="O32" s="137" t="n"/>
    </row>
    <row r="33">
      <c r="A33" s="131" t="n"/>
      <c r="B33" s="158" t="n"/>
      <c r="C33" s="223" t="n"/>
      <c r="D33" s="169" t="n"/>
      <c r="J33" s="87" t="n"/>
      <c r="L33" s="87" t="n"/>
      <c r="M33" s="119" t="n"/>
      <c r="N33" s="120" t="n"/>
      <c r="O33" s="169" t="n"/>
    </row>
    <row r="34">
      <c r="A34" s="124" t="n">
        <v>501</v>
      </c>
      <c r="B34" s="140" t="inlineStr">
        <is>
          <t>Pack x 2 rollos Cel-Soft de 22,5 x 150 mts</t>
        </is>
      </c>
      <c r="D34" s="237">
        <f>L34*0.93*0.98</f>
        <v/>
      </c>
      <c r="E34" s="87">
        <f>D34*1.3*1.105</f>
        <v/>
      </c>
      <c r="F34" s="87">
        <f>D34*1.3*1.105/0.9</f>
        <v/>
      </c>
      <c r="G34" s="87">
        <f>F34*1.21</f>
        <v/>
      </c>
      <c r="H34" s="87">
        <f>ROUND(G34/100,0)*100</f>
        <v/>
      </c>
      <c r="J34" s="87" t="n">
        <v>57</v>
      </c>
      <c r="L34" s="127" t="n">
        <v>57</v>
      </c>
      <c r="M34" s="128" t="n"/>
      <c r="N34" s="141">
        <f>(L34/J34)-1</f>
        <v/>
      </c>
      <c r="O34" s="237" t="n"/>
    </row>
    <row r="35">
      <c r="A35" s="124" t="n">
        <v>505</v>
      </c>
      <c r="B35" s="223" t="inlineStr">
        <is>
          <t>Caja x 2000 U. Servilletas Cel-Soft 30 x 40 cm</t>
        </is>
      </c>
      <c r="D35" s="237">
        <f>L35*0.93*0.98</f>
        <v/>
      </c>
      <c r="E35" s="87">
        <f>D35*1.3*1.105</f>
        <v/>
      </c>
      <c r="F35" s="87">
        <f>D35*1.3*1.105/0.9</f>
        <v/>
      </c>
      <c r="G35" s="87">
        <f>F35*1.21</f>
        <v/>
      </c>
      <c r="H35" s="87">
        <f>ROUND(G35/100,0)*100</f>
        <v/>
      </c>
      <c r="J35" s="87" t="n">
        <v>273.74</v>
      </c>
      <c r="L35" s="230" t="n">
        <v>273.74</v>
      </c>
      <c r="M35" s="128" t="n"/>
      <c r="N35" s="120">
        <f>(L35/J35)-1</f>
        <v/>
      </c>
      <c r="O35" s="237" t="n"/>
    </row>
    <row r="36">
      <c r="A36" s="124" t="n">
        <v>506</v>
      </c>
      <c r="B36" s="223" t="inlineStr">
        <is>
          <t>Caja x 3500 Toallas Cel-Soft 21 x 25 cm Blancas</t>
        </is>
      </c>
      <c r="D36" s="237">
        <f>L36*0.93*0.98</f>
        <v/>
      </c>
      <c r="E36" s="87">
        <f>D36*1.3*1.105</f>
        <v/>
      </c>
      <c r="F36" s="87">
        <f>D36*1.3*1.105/0.9</f>
        <v/>
      </c>
      <c r="G36" s="87">
        <f>F36*1.21</f>
        <v/>
      </c>
      <c r="H36" s="87">
        <f>ROUND(G36/100,0)*100</f>
        <v/>
      </c>
      <c r="J36" s="87" t="n">
        <v>153.22</v>
      </c>
      <c r="L36" s="230" t="n">
        <v>153.22</v>
      </c>
      <c r="M36" s="128" t="n"/>
      <c r="N36" s="120">
        <f>(L36/J36)-1</f>
        <v/>
      </c>
      <c r="O36" s="237" t="n"/>
    </row>
    <row r="37">
      <c r="A37" s="124" t="n">
        <v>512</v>
      </c>
      <c r="B37" s="223" t="inlineStr">
        <is>
          <t>Caja x 2000 U. Servilletas Cel-Soft 30 x 25 cm</t>
        </is>
      </c>
      <c r="D37" s="237">
        <f>L37*0.93*0.98</f>
        <v/>
      </c>
      <c r="E37" s="87">
        <f>D37*1.3*1.105</f>
        <v/>
      </c>
      <c r="F37" s="87">
        <f>D37*1.3*1.105/0.9</f>
        <v/>
      </c>
      <c r="G37" s="87">
        <f>F37*1.21</f>
        <v/>
      </c>
      <c r="H37" s="87">
        <f>ROUND(G37/100,0)*100</f>
        <v/>
      </c>
      <c r="J37" s="87" t="n">
        <v>173.66</v>
      </c>
      <c r="L37" s="230" t="n">
        <v>173.66</v>
      </c>
      <c r="M37" s="128" t="n"/>
      <c r="N37" s="120">
        <f>(L37/J37)-1</f>
        <v/>
      </c>
      <c r="O37" s="237" t="n"/>
    </row>
    <row r="38">
      <c r="A38" s="124" t="n">
        <v>514</v>
      </c>
      <c r="B38" s="223" t="inlineStr">
        <is>
          <t>Caja por 600 servilletas Celsoft 40x40 Victoria Ambra</t>
        </is>
      </c>
      <c r="D38" s="237">
        <f>L38*0.93*0.98</f>
        <v/>
      </c>
      <c r="E38" s="87">
        <f>D38*1.3*1.105</f>
        <v/>
      </c>
      <c r="F38" s="87">
        <f>D38*1.3*1.105/0.9</f>
        <v/>
      </c>
      <c r="G38" s="87">
        <f>F38*1.21</f>
        <v/>
      </c>
      <c r="H38" s="87">
        <f>ROUND(G38/100,0)*100</f>
        <v/>
      </c>
      <c r="J38" s="87" t="n">
        <v>187.2</v>
      </c>
      <c r="L38" s="230" t="n">
        <v>187.2</v>
      </c>
      <c r="M38" s="128" t="n"/>
      <c r="N38" s="120">
        <f>(L38/J38)-1</f>
        <v/>
      </c>
      <c r="O38" s="237" t="n"/>
    </row>
    <row r="39">
      <c r="A39" s="124" t="n">
        <v>515</v>
      </c>
      <c r="B39" s="223" t="inlineStr">
        <is>
          <t>Caja por 600 servilletas Celsoft 40x40 Victoria Nero</t>
        </is>
      </c>
      <c r="D39" s="237">
        <f>L39*0.93*0.98</f>
        <v/>
      </c>
      <c r="E39" s="87">
        <f>D39*1.3*1.105</f>
        <v/>
      </c>
      <c r="F39" s="87">
        <f>D39*1.3*1.105/0.9</f>
        <v/>
      </c>
      <c r="G39" s="87">
        <f>F39*1.21</f>
        <v/>
      </c>
      <c r="H39" s="87">
        <f>ROUND(G39/100,0)*100</f>
        <v/>
      </c>
      <c r="J39" s="87" t="n">
        <v>187.2</v>
      </c>
      <c r="L39" s="230" t="n">
        <v>187.2</v>
      </c>
      <c r="M39" s="128" t="n"/>
      <c r="N39" s="120">
        <f>(L39/J39)-1</f>
        <v/>
      </c>
      <c r="O39" s="237" t="n"/>
    </row>
    <row r="40">
      <c r="A40" s="124" t="n">
        <v>516</v>
      </c>
      <c r="B40" s="223" t="inlineStr">
        <is>
          <t>Caja por 600 servilletas Celsoft 40x40 Tasca Bordeaux</t>
        </is>
      </c>
      <c r="D40" s="237">
        <f>L40*0.93*0.98</f>
        <v/>
      </c>
      <c r="E40" s="87">
        <f>D40*1.3*1.105</f>
        <v/>
      </c>
      <c r="F40" s="87">
        <f>D40*1.3*1.105/0.9</f>
        <v/>
      </c>
      <c r="G40" s="87">
        <f>F40*1.21</f>
        <v/>
      </c>
      <c r="H40" s="87">
        <f>ROUND(G40/100,0)*100</f>
        <v/>
      </c>
      <c r="J40" s="87" t="n">
        <v>220.74</v>
      </c>
      <c r="L40" s="230" t="n">
        <v>220.74</v>
      </c>
      <c r="M40" s="128" t="n"/>
      <c r="N40" s="120">
        <f>(L40/J40)-1</f>
        <v/>
      </c>
      <c r="O40" s="237" t="n"/>
    </row>
    <row r="41">
      <c r="A41" s="124" t="n">
        <v>517</v>
      </c>
      <c r="B41" s="223" t="inlineStr">
        <is>
          <t>Caja por 600 servilletas Celsoft 40x40 Tasca Nero</t>
        </is>
      </c>
      <c r="D41" s="237">
        <f>L41*0.93*0.98</f>
        <v/>
      </c>
      <c r="E41" s="87">
        <f>D41*1.3*1.105</f>
        <v/>
      </c>
      <c r="F41" s="87">
        <f>D41*1.3*1.105/0.9</f>
        <v/>
      </c>
      <c r="G41" s="87">
        <f>F41*1.21</f>
        <v/>
      </c>
      <c r="H41" s="87">
        <f>ROUND(G41/100,0)*100</f>
        <v/>
      </c>
      <c r="J41" s="87" t="n">
        <v>220.74</v>
      </c>
      <c r="L41" s="230" t="n">
        <v>220.74</v>
      </c>
      <c r="M41" s="128" t="n"/>
      <c r="N41" s="120">
        <f>(L41/J41)-1</f>
        <v/>
      </c>
      <c r="O41" s="237" t="n"/>
    </row>
    <row r="42">
      <c r="A42" s="124" t="n">
        <v>518</v>
      </c>
      <c r="B42" s="223" t="inlineStr">
        <is>
          <t>Caja por 600 servilletas Celsoft 40x40 Tasca Lino Avorio</t>
        </is>
      </c>
      <c r="D42" s="237">
        <f>L42*0.93*0.98</f>
        <v/>
      </c>
      <c r="E42" s="87">
        <f>D42*1.3*1.105</f>
        <v/>
      </c>
      <c r="F42" s="87">
        <f>D42*1.3*1.105/0.9</f>
        <v/>
      </c>
      <c r="G42" s="87">
        <f>F42*1.21</f>
        <v/>
      </c>
      <c r="H42" s="87">
        <f>ROUND(G42/100,0)*100</f>
        <v/>
      </c>
      <c r="J42" s="87" t="n">
        <v>187.2</v>
      </c>
      <c r="L42" s="230" t="n">
        <v>187.2</v>
      </c>
      <c r="M42" s="128" t="n"/>
      <c r="N42" s="120">
        <f>(L42/J42)-1</f>
        <v/>
      </c>
      <c r="O42" s="237" t="n"/>
    </row>
    <row r="43">
      <c r="A43" s="124" t="n">
        <v>519</v>
      </c>
      <c r="B43" s="223" t="inlineStr">
        <is>
          <t>Caja por 600 servilletas Celsoft 40x40 Taca Iuta Grigio</t>
        </is>
      </c>
      <c r="D43" s="237">
        <f>L43*0.93*0.98</f>
        <v/>
      </c>
      <c r="E43" s="87">
        <f>D43*1.3*1.105</f>
        <v/>
      </c>
      <c r="F43" s="87">
        <f>D43*1.3*1.105/0.9</f>
        <v/>
      </c>
      <c r="G43" s="87">
        <f>F43*1.21</f>
        <v/>
      </c>
      <c r="H43" s="87">
        <f>ROUND(G43/100,0)*100</f>
        <v/>
      </c>
      <c r="J43" s="87" t="n">
        <v>187.2</v>
      </c>
      <c r="L43" s="230" t="n">
        <v>187.2</v>
      </c>
      <c r="M43" s="128" t="n"/>
      <c r="N43" s="120">
        <f>(L43/J43)-1</f>
        <v/>
      </c>
      <c r="O43" s="237" t="n"/>
    </row>
    <row r="44">
      <c r="A44" s="124" t="n">
        <v>520</v>
      </c>
      <c r="B44" s="223" t="inlineStr">
        <is>
          <t>Caja de servilletas Celsoft 40 x 40 SAMPLER 300 Unid</t>
        </is>
      </c>
      <c r="D44" s="237">
        <f>L44*0.93*0.98</f>
        <v/>
      </c>
      <c r="E44" s="87">
        <f>D44*1.3*1.105</f>
        <v/>
      </c>
      <c r="F44" s="87">
        <f>D44*1.3*1.105/0.9</f>
        <v/>
      </c>
      <c r="G44" s="87">
        <f>F44*1.21</f>
        <v/>
      </c>
      <c r="H44" s="87">
        <f>ROUND(G44/100,0)*100</f>
        <v/>
      </c>
      <c r="J44" s="87" t="n">
        <v>99.09</v>
      </c>
      <c r="L44" s="230" t="n">
        <v>99.09</v>
      </c>
      <c r="M44" s="128" t="n"/>
      <c r="N44" s="120">
        <f>(L44/J44)-1</f>
        <v/>
      </c>
      <c r="O44" s="237" t="n"/>
    </row>
    <row r="45">
      <c r="A45" s="124" t="n"/>
      <c r="B45" s="223" t="n"/>
      <c r="C45" s="223" t="n"/>
      <c r="D45" s="237" t="n"/>
      <c r="J45" s="87" t="n"/>
      <c r="L45" s="87" t="n"/>
      <c r="M45" s="128" t="n"/>
      <c r="N45" s="120" t="n"/>
      <c r="O45" s="237" t="n"/>
    </row>
    <row r="46">
      <c r="A46" s="142" t="inlineStr">
        <is>
          <t>PAPEL HIGIENICO</t>
        </is>
      </c>
      <c r="B46" s="271" t="n"/>
      <c r="C46" s="223" t="n"/>
      <c r="D46" s="237" t="n"/>
      <c r="J46" s="87" t="n"/>
      <c r="L46" s="87" t="n"/>
      <c r="M46" s="144" t="n"/>
      <c r="O46" s="237" t="n"/>
    </row>
    <row r="47">
      <c r="A47" s="111" t="n"/>
      <c r="B47" s="223" t="n"/>
      <c r="C47" s="223" t="n"/>
      <c r="D47" s="237" t="n"/>
      <c r="J47" s="87" t="n"/>
      <c r="L47" s="87" t="n"/>
      <c r="M47" s="144" t="n"/>
      <c r="N47" s="120" t="n"/>
      <c r="O47" s="237" t="n"/>
    </row>
    <row r="48">
      <c r="A48" s="124" t="n">
        <v>211</v>
      </c>
      <c r="B48" s="223" t="inlineStr">
        <is>
          <t>Pack x18 Rollos Higienico Racional D/H x 60 mts</t>
        </is>
      </c>
      <c r="D48" s="237">
        <f>L48*0.93*0.98</f>
        <v/>
      </c>
      <c r="E48" s="87">
        <f>D48*1.3*1.105</f>
        <v/>
      </c>
      <c r="F48" s="87">
        <f>D48*1.3*1.105/0.9</f>
        <v/>
      </c>
      <c r="G48" s="87">
        <f>F48*1.21</f>
        <v/>
      </c>
      <c r="H48" s="87">
        <f>ROUND(G48/100,0)*100</f>
        <v/>
      </c>
      <c r="J48" s="87" t="n">
        <v>5173.17</v>
      </c>
      <c r="L48" s="87" t="n">
        <v>5690.48</v>
      </c>
      <c r="M48" s="128" t="n"/>
      <c r="N48" s="120">
        <f>(L48/J48)-1</f>
        <v/>
      </c>
      <c r="O48" s="237" t="n"/>
    </row>
    <row r="49">
      <c r="A49" s="124" t="n">
        <v>213</v>
      </c>
      <c r="B49" s="223" t="inlineStr">
        <is>
          <t>Pack x 4 Rollos Higienico Racional x 500 mts Buje 7,5</t>
        </is>
      </c>
      <c r="D49" s="237">
        <f>L49*0.93*0.98</f>
        <v/>
      </c>
      <c r="E49" s="87">
        <f>D49*1.3*1.105</f>
        <v/>
      </c>
      <c r="F49" s="87">
        <f>D49*1.3*1.105/0.9</f>
        <v/>
      </c>
      <c r="G49" s="87">
        <f>F49*1.21</f>
        <v/>
      </c>
      <c r="H49" s="87">
        <f>ROUND(G49/100,0)*100</f>
        <v/>
      </c>
      <c r="J49" s="87" t="n">
        <v>4009.29</v>
      </c>
      <c r="L49" s="87" t="n">
        <v>4410.22</v>
      </c>
      <c r="M49" s="128" t="n"/>
      <c r="N49" s="120">
        <f>(L49/J49)-1</f>
        <v/>
      </c>
      <c r="O49" s="237" t="n"/>
    </row>
    <row r="50">
      <c r="A50" s="182" t="n">
        <v>214</v>
      </c>
      <c r="B50" s="224" t="inlineStr">
        <is>
          <t>Pack x 18 rollos Papel Higienico Racional x 122 mts</t>
        </is>
      </c>
      <c r="D50" s="184">
        <f>L50*0.93*0.98</f>
        <v/>
      </c>
      <c r="E50" s="87">
        <f>D50*1.3*1.105</f>
        <v/>
      </c>
      <c r="F50" s="87">
        <f>D50*1.3*1.105/0.9</f>
        <v/>
      </c>
      <c r="G50" s="87">
        <f>F50*1.21</f>
        <v/>
      </c>
      <c r="H50" s="87">
        <f>ROUND(G50/100,0)*100</f>
        <v/>
      </c>
      <c r="J50" s="87" t="n">
        <v>4925.66</v>
      </c>
      <c r="L50" s="87" t="n">
        <v>5418.22</v>
      </c>
      <c r="M50" s="128" t="n"/>
      <c r="N50" s="120">
        <f>(L50/J50)-1</f>
        <v/>
      </c>
      <c r="O50" s="184" t="n"/>
    </row>
    <row r="51">
      <c r="A51" s="124" t="n">
        <v>218</v>
      </c>
      <c r="B51" s="223" t="inlineStr">
        <is>
          <t>Pack x 8 rollos Higienico Racional x 265 mts buje 7,5</t>
        </is>
      </c>
      <c r="D51" s="237">
        <f>L51*0.93*0.98</f>
        <v/>
      </c>
      <c r="E51" s="87">
        <f>D51*1.3*1.105</f>
        <v/>
      </c>
      <c r="F51" s="87">
        <f>D51*1.3*1.105/0.9</f>
        <v/>
      </c>
      <c r="G51" s="87">
        <f>F51*1.21</f>
        <v/>
      </c>
      <c r="H51" s="87">
        <f>ROUND(G51/100,0)*100</f>
        <v/>
      </c>
      <c r="J51" s="87" t="n">
        <v>4533.5</v>
      </c>
      <c r="L51" s="87" t="n">
        <v>4986.84</v>
      </c>
      <c r="M51" s="128" t="n"/>
      <c r="N51" s="120">
        <f>(L51/J51)-1</f>
        <v/>
      </c>
      <c r="O51" s="237" t="n"/>
    </row>
    <row r="52">
      <c r="A52" s="133" t="n">
        <v>220</v>
      </c>
      <c r="B52" s="134" t="inlineStr">
        <is>
          <t>Pack x 8 Rollos Papel Higienico Racional x 300 mts</t>
        </is>
      </c>
      <c r="D52" s="135">
        <f>L52*0.93*0.98</f>
        <v/>
      </c>
      <c r="E52" s="87">
        <f>D52*1.3*1.105</f>
        <v/>
      </c>
      <c r="F52" s="87">
        <f>D52*1.3*1.105/0.9</f>
        <v/>
      </c>
      <c r="G52" s="87">
        <f>F52*1.21</f>
        <v/>
      </c>
      <c r="H52" s="87">
        <f>ROUND(G52/100,0)*100</f>
        <v/>
      </c>
      <c r="J52" s="87" t="n">
        <v>5166.05</v>
      </c>
      <c r="L52" s="87" t="n">
        <v>5682.66</v>
      </c>
      <c r="M52" s="128" t="n"/>
      <c r="N52" s="120">
        <f>(L52/J52)-1</f>
        <v/>
      </c>
      <c r="O52" s="135" t="n"/>
    </row>
    <row r="53">
      <c r="A53" s="124" t="n">
        <v>222</v>
      </c>
      <c r="B53" s="223" t="inlineStr">
        <is>
          <t>Pack x 8 Rollos Papel Higienico x 260 mts Buje4,5</t>
        </is>
      </c>
      <c r="D53" s="237">
        <f>L53*0.93*0.98</f>
        <v/>
      </c>
      <c r="E53" s="87">
        <f>D53*1.3*1.105</f>
        <v/>
      </c>
      <c r="F53" s="87">
        <f>D53*1.3*1.105/0.9</f>
        <v/>
      </c>
      <c r="G53" s="87">
        <f>F53*1.21</f>
        <v/>
      </c>
      <c r="H53" s="87">
        <f>ROUND(G53/100,0)*100</f>
        <v/>
      </c>
      <c r="J53" s="87" t="n">
        <v>4385.6</v>
      </c>
      <c r="L53" s="87" t="n">
        <v>4824.16</v>
      </c>
      <c r="M53" s="128" t="n"/>
      <c r="N53" s="120">
        <f>(L53/J53)-1</f>
        <v/>
      </c>
      <c r="O53" s="237" t="n"/>
    </row>
    <row r="54">
      <c r="A54" s="124" t="n">
        <v>909</v>
      </c>
      <c r="B54" s="223" t="inlineStr">
        <is>
          <t>Papel Higiénico 20 x 14,5 8000 h. 4000 usos</t>
        </is>
      </c>
      <c r="D54" s="237">
        <f>L54*0.93*0.98</f>
        <v/>
      </c>
      <c r="E54" s="87">
        <f>D54*1.3*1.105</f>
        <v/>
      </c>
      <c r="F54" s="87">
        <f>D54*1.3*1.105/0.9</f>
        <v/>
      </c>
      <c r="G54" s="87">
        <f>F54*1.21</f>
        <v/>
      </c>
      <c r="H54" s="87">
        <f>ROUND(G54/100,0)*100</f>
        <v/>
      </c>
      <c r="J54" s="87" t="n">
        <v>6773.19</v>
      </c>
      <c r="L54" s="87" t="n">
        <v>7450.51</v>
      </c>
      <c r="M54" s="128" t="n"/>
      <c r="N54" s="120">
        <f>(L54/J54)-1</f>
        <v/>
      </c>
      <c r="O54" s="237" t="n"/>
    </row>
    <row r="55">
      <c r="A55" s="124" t="n">
        <v>912</v>
      </c>
      <c r="B55" s="223" t="inlineStr">
        <is>
          <t>Papel Higienico UNITAS(18x14,5cm) 8000 h/4000 usos</t>
        </is>
      </c>
      <c r="D55" s="237">
        <f>L55*0.93*0.98</f>
        <v/>
      </c>
      <c r="E55" s="87">
        <f>D55*1.3*1.105</f>
        <v/>
      </c>
      <c r="F55" s="87">
        <f>D55*1.3*1.105/0.9</f>
        <v/>
      </c>
      <c r="G55" s="87">
        <f>F55*1.21</f>
        <v/>
      </c>
      <c r="H55" s="87">
        <f>ROUND(G55/100,0)*100</f>
        <v/>
      </c>
      <c r="I55" s="87">
        <f>F55*1.1</f>
        <v/>
      </c>
      <c r="J55" s="87" t="n">
        <v>5442.4</v>
      </c>
      <c r="L55" s="87" t="n">
        <v>5986.66</v>
      </c>
      <c r="M55" s="128" t="n"/>
      <c r="N55" s="120">
        <f>(L55/J55)-1</f>
        <v/>
      </c>
      <c r="O55" s="237" t="n"/>
    </row>
    <row r="56">
      <c r="A56" s="124" t="n"/>
      <c r="B56" s="223" t="n"/>
      <c r="C56" s="223" t="n"/>
      <c r="D56" s="237" t="n"/>
      <c r="J56" s="87" t="n"/>
      <c r="L56" s="87" t="n"/>
      <c r="M56" s="128" t="n"/>
      <c r="N56" s="120" t="n"/>
      <c r="O56" s="237" t="n"/>
    </row>
    <row r="57">
      <c r="A57" s="124" t="n"/>
      <c r="B57" s="108" t="n"/>
      <c r="C57" s="223" t="n"/>
      <c r="D57" s="237" t="n"/>
      <c r="J57" s="87" t="n"/>
      <c r="L57" s="87" t="n"/>
      <c r="M57" s="128" t="n"/>
      <c r="N57" s="156" t="n"/>
      <c r="O57" s="237" t="n"/>
    </row>
    <row r="58">
      <c r="A58" s="124" t="n"/>
      <c r="B58" s="223" t="n"/>
      <c r="C58" s="223" t="n"/>
      <c r="D58" s="237" t="n"/>
      <c r="J58" s="87" t="n"/>
      <c r="L58" s="87" t="n"/>
      <c r="M58" s="128" t="n"/>
      <c r="N58" s="120" t="n"/>
      <c r="O58" s="237" t="n"/>
    </row>
    <row r="59">
      <c r="A59" s="117" t="inlineStr">
        <is>
          <t>CAMILLEROS</t>
        </is>
      </c>
      <c r="B59" s="223" t="n"/>
      <c r="C59" s="223" t="n"/>
      <c r="D59" s="187">
        <f>L61*0.93*0.98</f>
        <v/>
      </c>
      <c r="J59" s="87" t="n"/>
      <c r="L59" s="87" t="n"/>
      <c r="M59" s="119" t="n"/>
      <c r="N59" s="120" t="n"/>
      <c r="O59" s="237" t="n"/>
    </row>
    <row r="60">
      <c r="A60" s="131" t="n"/>
      <c r="B60" s="223" t="n"/>
      <c r="C60" s="223" t="n"/>
      <c r="D60" s="237" t="n"/>
      <c r="J60" s="87" t="n"/>
      <c r="L60" s="87" t="n"/>
      <c r="M60" s="119" t="n"/>
      <c r="N60" s="120" t="n"/>
      <c r="O60" s="237" t="n"/>
    </row>
    <row r="61">
      <c r="A61" s="124" t="n">
        <v>301</v>
      </c>
      <c r="B61" s="223" t="inlineStr">
        <is>
          <t>Pack x 2 Rollos Camilleros bco s/h 54x100mts Prec</t>
        </is>
      </c>
      <c r="D61" s="87">
        <f>D59*1.1</f>
        <v/>
      </c>
      <c r="E61" s="87">
        <f>D61*1.3*1.105</f>
        <v/>
      </c>
      <c r="F61" s="87">
        <f>D61*1.3*1.105/0.9</f>
        <v/>
      </c>
      <c r="G61" s="87">
        <f>F61*1.21</f>
        <v/>
      </c>
      <c r="H61" s="87">
        <f>ROUND(G61/100,0)*100</f>
        <v/>
      </c>
      <c r="J61" s="87" t="n">
        <v>5457.1</v>
      </c>
      <c r="L61" s="87">
        <f>J61*1.1</f>
        <v/>
      </c>
      <c r="M61" s="128" t="n"/>
      <c r="N61" s="120" t="n">
        <v>0.1</v>
      </c>
      <c r="O61" s="154" t="n"/>
    </row>
    <row r="62">
      <c r="A62" s="124" t="n"/>
      <c r="B62" s="155" t="n"/>
      <c r="C62" s="223" t="n"/>
      <c r="D62" s="237" t="n"/>
      <c r="J62" s="87" t="n"/>
      <c r="L62" s="87" t="n"/>
      <c r="M62" s="128" t="n"/>
      <c r="N62" s="156" t="n"/>
      <c r="O62" s="237" t="n"/>
    </row>
    <row r="63">
      <c r="A63" s="142" t="inlineStr">
        <is>
          <t>DISPENSERS</t>
        </is>
      </c>
      <c r="B63" s="223" t="n"/>
      <c r="C63" s="223" t="n"/>
      <c r="D63" s="237" t="n"/>
      <c r="J63" s="87" t="n"/>
      <c r="L63" s="87" t="n"/>
      <c r="M63" s="144" t="n"/>
      <c r="N63" s="120" t="n"/>
      <c r="O63" s="237" t="n"/>
    </row>
    <row r="64">
      <c r="A64" s="111" t="n"/>
      <c r="B64" s="223" t="n"/>
      <c r="C64" s="223" t="n"/>
      <c r="D64" s="237" t="n"/>
      <c r="J64" s="87" t="n"/>
      <c r="L64" s="87" t="n"/>
      <c r="M64" s="144" t="n"/>
      <c r="N64" s="120" t="n"/>
      <c r="O64" s="237" t="n"/>
    </row>
    <row r="65">
      <c r="A65" s="124" t="n">
        <v>403</v>
      </c>
      <c r="B65" s="223" t="inlineStr">
        <is>
          <t>Portabobina de Pared</t>
        </is>
      </c>
      <c r="C65" s="223" t="n"/>
      <c r="D65" s="237">
        <f>L65*0.93*0.98</f>
        <v/>
      </c>
      <c r="E65" s="87">
        <f>D65*1.3*1.105</f>
        <v/>
      </c>
      <c r="F65" s="87">
        <f>D65*1.3*1.105/0.9</f>
        <v/>
      </c>
      <c r="G65" s="87">
        <f>F65*1.21</f>
        <v/>
      </c>
      <c r="H65" s="87">
        <f>ROUND(G65/100,0)*100</f>
        <v/>
      </c>
      <c r="J65" s="87" t="n">
        <v>8873.4</v>
      </c>
      <c r="L65" s="127" t="n">
        <v>9760.74</v>
      </c>
      <c r="M65" s="128" t="n"/>
      <c r="N65" s="120">
        <f>(L65/J65)-1</f>
        <v/>
      </c>
      <c r="O65" s="237" t="n"/>
    </row>
    <row r="66">
      <c r="A66" s="124" t="n">
        <v>404</v>
      </c>
      <c r="B66" s="223" t="inlineStr">
        <is>
          <t>Portarollo para Camilla</t>
        </is>
      </c>
      <c r="C66" s="223" t="n"/>
      <c r="D66" s="237">
        <f>L66*0.93*0.98</f>
        <v/>
      </c>
      <c r="E66" s="87">
        <f>D66*1.3*1.105</f>
        <v/>
      </c>
      <c r="F66" s="87">
        <f>D66*1.3*1.105/0.9</f>
        <v/>
      </c>
      <c r="G66" s="87">
        <f>F66*1.21</f>
        <v/>
      </c>
      <c r="H66" s="87">
        <f>ROUND(G66/100,0)*100</f>
        <v/>
      </c>
      <c r="J66" s="87" t="n">
        <v>0</v>
      </c>
      <c r="L66" s="230" t="n">
        <v>0</v>
      </c>
      <c r="M66" s="128" t="n"/>
      <c r="N66" s="120" t="n"/>
      <c r="O66" s="237" t="n"/>
    </row>
    <row r="67">
      <c r="A67" s="124" t="n">
        <v>418</v>
      </c>
      <c r="B67" s="223" t="inlineStr">
        <is>
          <t>Portabobina de Piso</t>
        </is>
      </c>
      <c r="C67" s="223" t="n"/>
      <c r="D67" s="237">
        <f>L67*0.93*0.98</f>
        <v/>
      </c>
      <c r="E67" s="87">
        <f>D67*1.3*1.105</f>
        <v/>
      </c>
      <c r="F67" s="87">
        <f>D67*1.3*1.105/0.9</f>
        <v/>
      </c>
      <c r="G67" s="87">
        <f>F67*1.21</f>
        <v/>
      </c>
      <c r="H67" s="87">
        <f>ROUND(G67/100,0)*100</f>
        <v/>
      </c>
      <c r="J67" s="87" t="n">
        <v>9760.52</v>
      </c>
      <c r="L67" s="230" t="n">
        <v>10736.57</v>
      </c>
      <c r="M67" s="128" t="n"/>
      <c r="N67" s="120">
        <f>(L67/J67)-1</f>
        <v/>
      </c>
      <c r="O67" s="237" t="n"/>
    </row>
    <row r="68">
      <c r="A68" s="124" t="n">
        <v>422</v>
      </c>
      <c r="B68" s="223" t="inlineStr">
        <is>
          <t>Dispenser Celmatic Due</t>
        </is>
      </c>
      <c r="C68" s="223" t="n"/>
      <c r="D68" s="237">
        <f>L68*0.93*0.98</f>
        <v/>
      </c>
      <c r="E68" s="87">
        <f>D68*1.3*1.105</f>
        <v/>
      </c>
      <c r="F68" s="87">
        <f>D68*1.3*1.105/0.9</f>
        <v/>
      </c>
      <c r="G68" s="87">
        <f>F68*1.21</f>
        <v/>
      </c>
      <c r="H68" s="87">
        <f>ROUND(G68/100,0)*100</f>
        <v/>
      </c>
      <c r="J68" s="87" t="n">
        <v>12506.47</v>
      </c>
      <c r="L68" s="230" t="n">
        <v>13757.12</v>
      </c>
      <c r="M68" s="128" t="n"/>
      <c r="N68" s="120">
        <f>(L68/J68)-1</f>
        <v/>
      </c>
      <c r="O68" s="237" t="n"/>
    </row>
    <row r="69">
      <c r="A69" s="124" t="n">
        <v>425</v>
      </c>
      <c r="B69" s="223" t="inlineStr">
        <is>
          <t>Dosificador para Jabón Líquido Recargable</t>
        </is>
      </c>
      <c r="D69" s="237">
        <f>L69*0.93*0.98</f>
        <v/>
      </c>
      <c r="E69" s="87">
        <f>D69*1.3*1.105</f>
        <v/>
      </c>
      <c r="F69" s="87">
        <f>D69*1.3*1.105/0.9</f>
        <v/>
      </c>
      <c r="G69" s="87">
        <f>F69*1.21</f>
        <v/>
      </c>
      <c r="H69" s="87">
        <f>ROUND(G69/100,0)*100</f>
        <v/>
      </c>
      <c r="J69" s="87" t="n">
        <v>4691.5</v>
      </c>
      <c r="L69" s="230" t="n">
        <v>5160.65</v>
      </c>
      <c r="M69" s="128" t="n"/>
      <c r="N69" s="120">
        <f>(L69/J69)-1</f>
        <v/>
      </c>
      <c r="O69" s="237" t="n"/>
    </row>
    <row r="70">
      <c r="A70" s="124" t="n">
        <v>427</v>
      </c>
      <c r="B70" s="223" t="inlineStr">
        <is>
          <t>Dispenser Para Papel Higienico Racional 350</t>
        </is>
      </c>
      <c r="D70" s="237">
        <f>L70*0.93*0.98</f>
        <v/>
      </c>
      <c r="E70" s="87">
        <f>D70*1.3*1.105</f>
        <v/>
      </c>
      <c r="F70" s="87">
        <f>D70*1.3*1.105/0.9</f>
        <v/>
      </c>
      <c r="G70" s="87">
        <f>F70*1.21</f>
        <v/>
      </c>
      <c r="H70" s="87">
        <f>ROUND(G70/100,0)*100</f>
        <v/>
      </c>
      <c r="J70" s="87" t="n">
        <v>5730.75</v>
      </c>
      <c r="L70" s="230" t="n">
        <v>6303.82</v>
      </c>
      <c r="M70" s="128" t="n"/>
      <c r="N70" s="120">
        <f>(L70/J70)-1</f>
        <v/>
      </c>
      <c r="O70" s="237" t="n"/>
    </row>
    <row r="71">
      <c r="A71" s="124" t="n">
        <v>428</v>
      </c>
      <c r="B71" s="223" t="inlineStr">
        <is>
          <t>Dispenser para Papel Higiénico</t>
        </is>
      </c>
      <c r="C71" s="223" t="n"/>
      <c r="D71" s="237">
        <f>L71*0.93*0.98</f>
        <v/>
      </c>
      <c r="E71" s="87">
        <f>D71*1.3*1.105</f>
        <v/>
      </c>
      <c r="F71" s="87">
        <f>D71*1.3*1.105/0.9</f>
        <v/>
      </c>
      <c r="G71" s="87">
        <f>F71*1.21</f>
        <v/>
      </c>
      <c r="H71" s="87">
        <f>ROUND(G71/100,0)*100</f>
        <v/>
      </c>
      <c r="J71" s="87" t="n">
        <v>6553.31</v>
      </c>
      <c r="L71" s="230" t="n">
        <v>7208.64</v>
      </c>
      <c r="M71" s="128" t="n"/>
      <c r="N71" s="120">
        <f>(L71/J71)-1</f>
        <v/>
      </c>
      <c r="O71" s="237" t="n"/>
    </row>
    <row r="72">
      <c r="A72" s="124" t="n">
        <v>429</v>
      </c>
      <c r="B72" s="223" t="inlineStr">
        <is>
          <t>Dispenser para Toallas de Papel</t>
        </is>
      </c>
      <c r="C72" s="223" t="n"/>
      <c r="D72" s="237">
        <f>L72*0.93*0.98</f>
        <v/>
      </c>
      <c r="E72" s="87">
        <f>D72*1.3*1.105</f>
        <v/>
      </c>
      <c r="F72" s="87">
        <f>D72*1.3*1.105/0.9</f>
        <v/>
      </c>
      <c r="G72" s="87">
        <f>F72*1.21</f>
        <v/>
      </c>
      <c r="H72" s="87">
        <f>ROUND(G72/100,0)*100</f>
        <v/>
      </c>
      <c r="J72" s="87" t="n">
        <v>4701.53</v>
      </c>
      <c r="L72" s="230" t="n">
        <v>5171.68</v>
      </c>
      <c r="M72" s="128" t="n"/>
      <c r="N72" s="120">
        <f>(L72/J72)-1</f>
        <v/>
      </c>
      <c r="O72" s="237" t="n"/>
    </row>
    <row r="73">
      <c r="A73" s="124" t="n">
        <v>430</v>
      </c>
      <c r="B73" s="223" t="inlineStr">
        <is>
          <t>Dispenser Para Papel Higienico Racional 600</t>
        </is>
      </c>
      <c r="D73" s="237">
        <f>L73*0.93*0.98</f>
        <v/>
      </c>
      <c r="E73" s="87">
        <f>D73*1.3*1.105</f>
        <v/>
      </c>
      <c r="F73" s="87">
        <f>D73*1.3*1.105/0.9</f>
        <v/>
      </c>
      <c r="G73" s="87">
        <f>F73*1.21</f>
        <v/>
      </c>
      <c r="H73" s="87">
        <f>ROUND(G73/100,0)*100</f>
        <v/>
      </c>
      <c r="J73" s="87" t="n">
        <v>9224.780000000001</v>
      </c>
      <c r="L73" s="230" t="n">
        <v>10147.26</v>
      </c>
      <c r="M73" s="128" t="n"/>
      <c r="N73" s="120">
        <f>(L73/J73)-1</f>
        <v/>
      </c>
      <c r="O73" s="237" t="n"/>
    </row>
    <row r="74">
      <c r="A74" s="124" t="n"/>
      <c r="B74" s="223" t="n"/>
      <c r="C74" s="223" t="n"/>
      <c r="D74" s="237" t="n"/>
      <c r="J74" s="87" t="n"/>
      <c r="L74" s="87" t="n"/>
      <c r="M74" s="128" t="n"/>
      <c r="N74" s="120" t="n"/>
      <c r="O74" s="237" t="n"/>
    </row>
    <row r="75">
      <c r="A75" s="124" t="n"/>
      <c r="B75" s="223" t="n"/>
      <c r="C75" s="223" t="n"/>
      <c r="D75" s="237" t="n"/>
      <c r="J75" s="87" t="n"/>
      <c r="L75" s="87" t="n"/>
      <c r="M75" s="128" t="n"/>
      <c r="N75" s="120" t="n"/>
      <c r="O75" s="237" t="n"/>
    </row>
    <row r="76">
      <c r="A76" s="124" t="n"/>
      <c r="B76" s="223" t="n"/>
      <c r="C76" s="223" t="n"/>
      <c r="D76" s="237" t="n"/>
      <c r="J76" s="87" t="n"/>
      <c r="L76" s="87" t="n"/>
      <c r="M76" s="128" t="n"/>
      <c r="N76" s="120" t="n"/>
      <c r="O76" s="237" t="n"/>
    </row>
    <row r="77">
      <c r="A77" s="117" t="inlineStr">
        <is>
          <t>LIMPIEZA INDUSTRIAL</t>
        </is>
      </c>
      <c r="B77" s="271" t="n"/>
      <c r="C77" s="223" t="n"/>
      <c r="D77" s="237" t="n"/>
      <c r="J77" s="87" t="n"/>
      <c r="L77" s="87" t="n"/>
      <c r="M77" s="119" t="n"/>
      <c r="O77" s="237" t="n"/>
    </row>
    <row r="78">
      <c r="A78" s="131" t="n"/>
      <c r="B78" s="223" t="n"/>
      <c r="C78" s="223" t="n"/>
      <c r="D78" s="237" t="n"/>
      <c r="J78" s="87" t="n"/>
      <c r="L78" s="87" t="n"/>
      <c r="M78" s="119" t="n"/>
      <c r="N78" s="120" t="n"/>
      <c r="O78" s="237" t="n"/>
    </row>
    <row r="79">
      <c r="A79" s="182" t="n">
        <v>101</v>
      </c>
      <c r="B79" s="224" t="inlineStr">
        <is>
          <t>Pack x 6 bobinas 22,5 cm x 300 porciones</t>
        </is>
      </c>
      <c r="D79" s="184">
        <f>L79*0.93*0.98</f>
        <v/>
      </c>
      <c r="E79" s="87">
        <f>D79*1.3*1.105</f>
        <v/>
      </c>
      <c r="F79" s="87">
        <f>D79*1.3*1.105/0.9</f>
        <v/>
      </c>
      <c r="G79" s="87">
        <f>F79*1.21</f>
        <v/>
      </c>
      <c r="H79" s="87">
        <f>ROUND(G79/100,0)*100</f>
        <v/>
      </c>
      <c r="J79" s="87" t="n">
        <v>7052.98</v>
      </c>
      <c r="L79" s="127" t="n">
        <v>7758.27</v>
      </c>
      <c r="M79" s="128" t="n"/>
      <c r="N79" s="120">
        <f>(L79/J79)-1</f>
        <v/>
      </c>
      <c r="O79" s="184" t="n"/>
    </row>
    <row r="80">
      <c r="A80" s="124" t="n">
        <v>109</v>
      </c>
      <c r="B80" s="223" t="inlineStr">
        <is>
          <t>Pack x 2 bobinas papel original 22,5 cm x 270 mts</t>
        </is>
      </c>
      <c r="D80" s="237">
        <f>L80*0.93*0.98</f>
        <v/>
      </c>
      <c r="E80" s="87">
        <f>D80*1.3*1.105</f>
        <v/>
      </c>
      <c r="F80" s="87">
        <f>D80*1.3*1.105/0.9</f>
        <v/>
      </c>
      <c r="G80" s="87">
        <f>F80*1.21</f>
        <v/>
      </c>
      <c r="H80" s="87">
        <f>ROUND(G80/100,0)*100</f>
        <v/>
      </c>
      <c r="J80" s="87" t="n">
        <v>5504.49</v>
      </c>
      <c r="L80" s="230" t="n">
        <v>6054.94</v>
      </c>
      <c r="M80" s="128" t="n"/>
      <c r="N80" s="120">
        <f>(L80/J80)-1</f>
        <v/>
      </c>
      <c r="O80" s="237" t="n"/>
    </row>
    <row r="81">
      <c r="A81" s="182" t="n">
        <v>123</v>
      </c>
      <c r="B81" s="224" t="inlineStr">
        <is>
          <t>Pack x 2 bobinas Papel Original 900 hjs/360 mts.</t>
        </is>
      </c>
      <c r="D81" s="184">
        <f>L81*0.93*0.98</f>
        <v/>
      </c>
      <c r="E81" s="87">
        <f>D81*1.3*1.105</f>
        <v/>
      </c>
      <c r="F81" s="87">
        <f>D81*1.3*1.105/0.9</f>
        <v/>
      </c>
      <c r="G81" s="87">
        <f>F81*1.21</f>
        <v/>
      </c>
      <c r="H81" s="87">
        <f>ROUND(G81/100,0)*100</f>
        <v/>
      </c>
      <c r="J81" s="87" t="n">
        <v>8059.48</v>
      </c>
      <c r="L81" s="230" t="n">
        <v>8865.42</v>
      </c>
      <c r="M81" s="128" t="n"/>
      <c r="N81" s="120">
        <f>(L81/J81)-1</f>
        <v/>
      </c>
      <c r="O81" s="184" t="n"/>
    </row>
    <row r="82">
      <c r="A82" s="124" t="n">
        <v>809</v>
      </c>
      <c r="B82" s="223" t="inlineStr">
        <is>
          <t>Pack x 4 Rollos 600 porc 25x25 Rep Tambo</t>
        </is>
      </c>
      <c r="D82" s="237">
        <f>L82*0.93*0.98</f>
        <v/>
      </c>
      <c r="E82" s="87">
        <f>D82*1.3*1.105</f>
        <v/>
      </c>
      <c r="F82" s="87">
        <f>D82*1.3*1.105/0.9</f>
        <v/>
      </c>
      <c r="G82" s="87">
        <f>F82*1.21</f>
        <v/>
      </c>
      <c r="H82" s="87">
        <f>ROUND(G82/100,0)*100</f>
        <v/>
      </c>
      <c r="J82" s="87" t="n">
        <v>8399.459999999999</v>
      </c>
      <c r="L82" s="230" t="n">
        <v>9239.41</v>
      </c>
      <c r="M82" s="128" t="n"/>
      <c r="N82" s="120">
        <f>(L82/J82)-1</f>
        <v/>
      </c>
      <c r="O82" s="237" t="n"/>
    </row>
    <row r="83">
      <c r="A83" s="124" t="n"/>
      <c r="B83" s="223" t="n"/>
      <c r="C83" s="223" t="n"/>
      <c r="D83" s="237" t="n"/>
      <c r="J83" s="87" t="n"/>
      <c r="L83" s="87" t="n"/>
      <c r="M83" s="128" t="n"/>
      <c r="N83" s="120" t="n"/>
      <c r="O83" s="237" t="n"/>
    </row>
    <row r="84">
      <c r="A84" s="124" t="n"/>
      <c r="B84" s="223" t="n"/>
      <c r="C84" s="223" t="n"/>
      <c r="D84" s="237" t="n"/>
      <c r="J84" s="87" t="n"/>
      <c r="L84" s="87" t="n"/>
      <c r="M84" s="128" t="n"/>
      <c r="N84" s="120" t="n"/>
      <c r="O84" s="237" t="n"/>
    </row>
    <row r="85">
      <c r="A85" s="117" t="inlineStr">
        <is>
          <t>PAÑOS DE LIMPIEZA DE ALTA PERFORMANCE</t>
        </is>
      </c>
      <c r="B85" s="223" t="n"/>
      <c r="C85" s="223" t="n"/>
      <c r="D85" s="237" t="n"/>
      <c r="J85" s="87" t="n"/>
      <c r="L85" s="87" t="n"/>
      <c r="M85" s="119" t="n"/>
      <c r="N85" s="120" t="n"/>
      <c r="O85" s="237" t="n"/>
    </row>
    <row r="86">
      <c r="A86" s="131" t="n"/>
      <c r="B86" s="223" t="n"/>
      <c r="C86" s="223" t="n"/>
      <c r="D86" s="237" t="n"/>
      <c r="J86" s="87" t="n"/>
      <c r="L86" s="87" t="n"/>
      <c r="M86" s="119" t="n"/>
      <c r="N86" s="120" t="n"/>
      <c r="O86" s="237" t="n"/>
    </row>
    <row r="87">
      <c r="A87" s="157" t="inlineStr">
        <is>
          <t>Linea Softclean</t>
        </is>
      </c>
      <c r="C87" s="158" t="n"/>
      <c r="D87" s="169" t="n"/>
      <c r="J87" s="87" t="n"/>
      <c r="L87" s="87" t="n"/>
      <c r="M87" s="119" t="n"/>
      <c r="O87" s="169" t="n"/>
    </row>
    <row r="88">
      <c r="A88" s="186" t="n">
        <v>601</v>
      </c>
      <c r="B88" s="223" t="inlineStr">
        <is>
          <t>Rollo precortado Maxi blanco 30 x 38 x 500 softclean</t>
        </is>
      </c>
      <c r="D88" s="166">
        <f>L88*0.93*0.98</f>
        <v/>
      </c>
      <c r="E88" s="87">
        <f>D88*1.3*1.105</f>
        <v/>
      </c>
      <c r="F88" s="87">
        <f>D88*1.3*1.105/0.9</f>
        <v/>
      </c>
      <c r="G88" s="87">
        <f>F88*1.21</f>
        <v/>
      </c>
      <c r="H88" s="87">
        <f>ROUND(G88/100,0)*100</f>
        <v/>
      </c>
      <c r="J88" s="87" t="n">
        <v>54.43</v>
      </c>
      <c r="L88" s="87" t="n">
        <v>54.43</v>
      </c>
      <c r="M88" s="167" t="n"/>
      <c r="N88" s="120">
        <f>(L88/J88)-1</f>
        <v/>
      </c>
      <c r="O88" s="166" t="n"/>
    </row>
    <row r="89">
      <c r="A89" s="186" t="n">
        <v>605</v>
      </c>
      <c r="B89" s="223" t="inlineStr">
        <is>
          <t>Caja x 250 Paños Ultratex de 34cm x 60cm</t>
        </is>
      </c>
      <c r="D89" s="166">
        <f>L89*0.93*0.98</f>
        <v/>
      </c>
      <c r="E89" s="87">
        <f>D89*1.3*1.105</f>
        <v/>
      </c>
      <c r="F89" s="87">
        <f>D89*1.3*1.105/0.9</f>
        <v/>
      </c>
      <c r="G89" s="87">
        <f>F89*1.21</f>
        <v/>
      </c>
      <c r="H89" s="87">
        <f>ROUND(G89/100,0)*100</f>
        <v/>
      </c>
      <c r="J89" s="87" t="n">
        <v>228.4</v>
      </c>
      <c r="L89" s="87" t="n">
        <v>228.4</v>
      </c>
      <c r="M89" s="167" t="n"/>
      <c r="N89" s="120">
        <f>(L89/J89)-1</f>
        <v/>
      </c>
      <c r="O89" s="166" t="n"/>
    </row>
    <row r="90">
      <c r="A90" s="186" t="n">
        <v>606</v>
      </c>
      <c r="B90" s="223" t="inlineStr">
        <is>
          <t>Caja x 300 Paños Ultratex de 45,7cm x 53,3cm</t>
        </is>
      </c>
      <c r="D90" s="166">
        <f>L90*0.93*0.98</f>
        <v/>
      </c>
      <c r="E90" s="87">
        <f>D90*1.3*1.105</f>
        <v/>
      </c>
      <c r="F90" s="87">
        <f>D90*1.3*1.105/0.9</f>
        <v/>
      </c>
      <c r="G90" s="87">
        <f>F90*1.21</f>
        <v/>
      </c>
      <c r="H90" s="87">
        <f>ROUND(G90/100,0)*100</f>
        <v/>
      </c>
      <c r="J90" s="87" t="n">
        <v>323.14</v>
      </c>
      <c r="L90" s="87" t="n">
        <v>323.14</v>
      </c>
      <c r="M90" s="167" t="n"/>
      <c r="N90" s="120">
        <f>(L90/J90)-1</f>
        <v/>
      </c>
      <c r="O90" s="166" t="n"/>
    </row>
    <row r="91">
      <c r="A91" s="186" t="n">
        <v>608</v>
      </c>
      <c r="B91" s="223" t="inlineStr">
        <is>
          <t>Repuesto x 2 rollos Softclean x 350 mts</t>
        </is>
      </c>
      <c r="D91" s="166">
        <f>L91*0.93*0.98</f>
        <v/>
      </c>
      <c r="E91" s="87">
        <f>D91*1.3*1.105</f>
        <v/>
      </c>
      <c r="F91" s="87">
        <f>D91*1.3*1.105/0.9</f>
        <v/>
      </c>
      <c r="G91" s="87">
        <f>F91*1.21</f>
        <v/>
      </c>
      <c r="H91" s="87">
        <f>ROUND(G91/100,0)*100</f>
        <v/>
      </c>
      <c r="J91" s="87" t="n">
        <v>49.43</v>
      </c>
      <c r="L91" s="87" t="n">
        <v>49.43</v>
      </c>
      <c r="M91" s="167" t="n"/>
      <c r="N91" s="120">
        <f>(L91/J91)-1</f>
        <v/>
      </c>
      <c r="O91" s="166" t="n"/>
    </row>
    <row r="92">
      <c r="A92" s="186" t="n">
        <v>612</v>
      </c>
      <c r="B92" s="223" t="inlineStr">
        <is>
          <t>Contenedor Mini Softclean x 150 porc. 13 x 26.5cm</t>
        </is>
      </c>
      <c r="D92" s="166">
        <f>L92*0.93*0.98</f>
        <v/>
      </c>
      <c r="E92" s="87">
        <f>D92*1.3*1.105</f>
        <v/>
      </c>
      <c r="F92" s="87">
        <f>D92*1.3*1.105/0.9</f>
        <v/>
      </c>
      <c r="G92" s="87">
        <f>F92*1.21</f>
        <v/>
      </c>
      <c r="H92" s="87">
        <f>ROUND(G92/100,0)*100</f>
        <v/>
      </c>
      <c r="J92" s="87" t="n">
        <v>7.53</v>
      </c>
      <c r="L92" s="87" t="n">
        <v>7.53</v>
      </c>
      <c r="M92" s="167" t="n"/>
      <c r="N92" s="120">
        <f>(L92/J92)-1</f>
        <v/>
      </c>
      <c r="O92" s="166" t="n"/>
    </row>
    <row r="93">
      <c r="A93" s="186" t="n">
        <v>614</v>
      </c>
      <c r="B93" s="223" t="inlineStr">
        <is>
          <t>Rollo SoftClean S 70x 875 Porciones de 30x 25</t>
        </is>
      </c>
      <c r="D93" s="166">
        <f>L93*0.93*0.98</f>
        <v/>
      </c>
      <c r="E93" s="87">
        <f>D93*1.3*1.105</f>
        <v/>
      </c>
      <c r="F93" s="87">
        <f>D93*1.3*1.105/0.9</f>
        <v/>
      </c>
      <c r="G93" s="87">
        <f>F93*1.21</f>
        <v/>
      </c>
      <c r="H93" s="87">
        <f>ROUND(G93/100,0)*100</f>
        <v/>
      </c>
      <c r="J93" s="87" t="n">
        <v>59.55</v>
      </c>
      <c r="L93" s="87" t="n">
        <v>59.55</v>
      </c>
      <c r="M93" s="167" t="n"/>
      <c r="N93" s="120">
        <f>(L93/J93)-1</f>
        <v/>
      </c>
      <c r="O93" s="166" t="n"/>
    </row>
    <row r="94">
      <c r="A94" s="186" t="n">
        <v>615</v>
      </c>
      <c r="B94" s="223" t="inlineStr">
        <is>
          <t>Contenedor Center Softclean x 350 22,5 x26,5</t>
        </is>
      </c>
      <c r="D94" s="166">
        <f>L94*0.93*0.98</f>
        <v/>
      </c>
      <c r="E94" s="87">
        <f>D94*1.3*1.105</f>
        <v/>
      </c>
      <c r="F94" s="87">
        <f>D94*1.3*1.105/0.9</f>
        <v/>
      </c>
      <c r="G94" s="87">
        <f>F94*1.21</f>
        <v/>
      </c>
      <c r="H94" s="87">
        <f>ROUND(G94/100,0)*100</f>
        <v/>
      </c>
      <c r="J94" s="87" t="n">
        <v>25.9</v>
      </c>
      <c r="L94" s="87" t="n">
        <v>25.9</v>
      </c>
      <c r="M94" s="167" t="n"/>
      <c r="N94" s="120">
        <f>(L94/J94)-1</f>
        <v/>
      </c>
      <c r="O94" s="166" t="n"/>
    </row>
    <row r="95">
      <c r="A95" s="186" t="n">
        <v>616</v>
      </c>
      <c r="B95" s="223" t="inlineStr">
        <is>
          <t>Rollo Mini Sofclean x 190 porciones de 22,5 x 26,5</t>
        </is>
      </c>
      <c r="D95" s="166">
        <f>L95*0.93*0.98</f>
        <v/>
      </c>
      <c r="E95" s="87">
        <f>D95*1.3*1.105</f>
        <v/>
      </c>
      <c r="F95" s="87">
        <f>D95*1.3*1.105/0.9</f>
        <v/>
      </c>
      <c r="G95" s="87">
        <f>F95*1.21</f>
        <v/>
      </c>
      <c r="H95" s="87">
        <f>ROUND(G95/100,0)*100</f>
        <v/>
      </c>
      <c r="J95" s="87" t="n">
        <v>12.94</v>
      </c>
      <c r="L95" s="87" t="n">
        <v>12.94</v>
      </c>
      <c r="M95" s="167" t="n"/>
      <c r="N95" s="120">
        <f>(L95/J95)-1</f>
        <v/>
      </c>
      <c r="O95" s="166" t="n"/>
    </row>
    <row r="96">
      <c r="A96" s="186" t="n">
        <v>617</v>
      </c>
      <c r="B96" s="223" t="inlineStr">
        <is>
          <t>Caja 1/4 Folded Softclean 500 30 x 30 cm Celeste</t>
        </is>
      </c>
      <c r="D96" s="166">
        <f>L96*0.93*0.98</f>
        <v/>
      </c>
      <c r="E96" s="87">
        <f>D96*1.3*1.105</f>
        <v/>
      </c>
      <c r="F96" s="87">
        <f>D96*1.3*1.105/0.9</f>
        <v/>
      </c>
      <c r="G96" s="87">
        <f>F96*1.21</f>
        <v/>
      </c>
      <c r="H96" s="87">
        <f>ROUND(G96/100,0)*100</f>
        <v/>
      </c>
      <c r="J96" s="87" t="n">
        <v>42.96</v>
      </c>
      <c r="L96" s="87" t="n">
        <v>42.96</v>
      </c>
      <c r="M96" s="167" t="n"/>
      <c r="N96" s="120">
        <f>(L96/J96)-1</f>
        <v/>
      </c>
      <c r="O96" s="166" t="n"/>
    </row>
    <row r="97">
      <c r="A97" s="186" t="n">
        <v>618</v>
      </c>
      <c r="B97" s="223" t="inlineStr">
        <is>
          <t>Rollo Precortado Softclean 600 porciones de 30x 26,5</t>
        </is>
      </c>
      <c r="D97" s="166">
        <f>L97*0.93*0.98</f>
        <v/>
      </c>
      <c r="E97" s="87">
        <f>D97*1.3*1.105</f>
        <v/>
      </c>
      <c r="F97" s="87">
        <f>D97*1.3*1.105/0.9</f>
        <v/>
      </c>
      <c r="G97" s="87">
        <f>F97*1.21</f>
        <v/>
      </c>
      <c r="H97" s="87">
        <f>ROUND(G97/100,0)*100</f>
        <v/>
      </c>
      <c r="J97" s="87" t="n">
        <v>42.96</v>
      </c>
      <c r="L97" s="87" t="n">
        <v>42.96</v>
      </c>
      <c r="M97" s="167" t="n"/>
      <c r="N97" s="120">
        <f>(L97/J97)-1</f>
        <v/>
      </c>
      <c r="O97" s="166" t="n"/>
    </row>
    <row r="98">
      <c r="A98" s="186" t="n"/>
      <c r="B98" s="223" t="n"/>
      <c r="C98" s="223" t="n"/>
      <c r="D98" s="166" t="n"/>
      <c r="J98" s="87" t="n"/>
      <c r="L98" s="87" t="n"/>
      <c r="M98" s="167" t="n"/>
      <c r="N98" s="120" t="n"/>
      <c r="O98" s="166" t="n"/>
    </row>
    <row r="99">
      <c r="A99" s="168" t="inlineStr">
        <is>
          <t>Linea Sontara</t>
        </is>
      </c>
      <c r="C99" s="158" t="n"/>
      <c r="D99" s="169" t="n"/>
      <c r="J99" s="87" t="n"/>
      <c r="L99" s="87" t="n"/>
      <c r="M99" s="170" t="n"/>
      <c r="O99" s="169" t="n"/>
    </row>
    <row r="100">
      <c r="A100" s="186" t="n">
        <v>604</v>
      </c>
      <c r="B100" s="223" t="inlineStr">
        <is>
          <t>Rollo precortado Maxi de 30 x38 blanco</t>
        </is>
      </c>
      <c r="D100" s="166">
        <f>L100*0.93*0.98</f>
        <v/>
      </c>
      <c r="E100" s="87">
        <f>D100*1.3*1.105</f>
        <v/>
      </c>
      <c r="F100" s="87">
        <f>D100*1.3*1.105/0.9</f>
        <v/>
      </c>
      <c r="G100" s="87">
        <f>F100*1.21</f>
        <v/>
      </c>
      <c r="H100" s="87">
        <f>ROUND(G100/100,0)*100</f>
        <v/>
      </c>
      <c r="J100" s="87" t="n">
        <v>113.44</v>
      </c>
      <c r="L100" s="87" t="n">
        <v>113.44</v>
      </c>
      <c r="M100" s="167" t="n"/>
      <c r="N100" s="120">
        <f>(L100/J100)-1</f>
        <v/>
      </c>
      <c r="O100" s="166" t="n"/>
    </row>
    <row r="101">
      <c r="A101" s="186" t="n">
        <v>619</v>
      </c>
      <c r="B101" s="223" t="inlineStr">
        <is>
          <t>Centerfeed Sontara Celeste 350 porc22,5 x 26,5</t>
        </is>
      </c>
      <c r="D101" s="166">
        <f>L101*0.93*0.98</f>
        <v/>
      </c>
      <c r="E101" s="87">
        <f>D101*1.3*1.105</f>
        <v/>
      </c>
      <c r="F101" s="87">
        <f>D101*1.3*1.105/0.9</f>
        <v/>
      </c>
      <c r="G101" s="87">
        <f>F101*1.21</f>
        <v/>
      </c>
      <c r="H101" s="87">
        <f>ROUND(G101/100,0)*100</f>
        <v/>
      </c>
      <c r="J101" s="87" t="n">
        <v>57.54</v>
      </c>
      <c r="L101" s="87" t="n">
        <v>57.54</v>
      </c>
      <c r="M101" s="167" t="n"/>
      <c r="N101" s="120">
        <f>(L101/J101)-1</f>
        <v/>
      </c>
      <c r="O101" s="166" t="n"/>
    </row>
    <row r="102">
      <c r="A102" s="186" t="n">
        <v>620</v>
      </c>
      <c r="B102" s="223" t="inlineStr">
        <is>
          <t>Rollo prec Sontara por 600 porc 30 x26,5 celeste</t>
        </is>
      </c>
      <c r="D102" s="166">
        <f>L102*0.93*0.98</f>
        <v/>
      </c>
      <c r="E102" s="87">
        <f>D102*1.3*1.105</f>
        <v/>
      </c>
      <c r="F102" s="87">
        <f>D102*1.3*1.105/0.9</f>
        <v/>
      </c>
      <c r="G102" s="87">
        <f>F102*1.21</f>
        <v/>
      </c>
      <c r="H102" s="87">
        <f>ROUND(G102/100,0)*100</f>
        <v/>
      </c>
      <c r="J102" s="87" t="n">
        <v>106.81</v>
      </c>
      <c r="L102" s="87" t="n">
        <v>106.81</v>
      </c>
      <c r="M102" s="167" t="n"/>
      <c r="N102" s="120">
        <f>(L102/J102)-1</f>
        <v/>
      </c>
      <c r="O102" s="166" t="n"/>
    </row>
    <row r="103">
      <c r="A103" s="186" t="n">
        <v>621</v>
      </c>
      <c r="B103" s="223" t="inlineStr">
        <is>
          <t>Rollo Sontara Mini x 190 porc 22,5 x26,5 celeste</t>
        </is>
      </c>
      <c r="D103" s="166">
        <f>L103*0.93*0.98</f>
        <v/>
      </c>
      <c r="E103" s="87">
        <f>D103*1.3*1.105</f>
        <v/>
      </c>
      <c r="F103" s="87">
        <f>D103*1.3*1.105/0.9</f>
        <v/>
      </c>
      <c r="G103" s="87">
        <f>F103*1.21</f>
        <v/>
      </c>
      <c r="H103" s="87">
        <f>ROUND(G103/100,0)*100</f>
        <v/>
      </c>
      <c r="J103" s="87" t="n">
        <v>26.14</v>
      </c>
      <c r="L103" s="87" t="n">
        <v>26.14</v>
      </c>
      <c r="M103" s="167" t="n"/>
      <c r="N103" s="120">
        <f>(L103/J103)-1</f>
        <v/>
      </c>
      <c r="O103" s="166" t="n"/>
    </row>
    <row r="104">
      <c r="A104" s="186" t="n">
        <v>627</v>
      </c>
      <c r="B104" s="223" t="inlineStr">
        <is>
          <t>SMP 300 Paños de 22,5 cm x 22,5 cm</t>
        </is>
      </c>
      <c r="D104" s="166">
        <f>L104*0.93*0.98</f>
        <v/>
      </c>
      <c r="E104" s="87">
        <f>D104*1.3*1.105</f>
        <v/>
      </c>
      <c r="F104" s="87">
        <f>D104*1.3*1.105/0.9</f>
        <v/>
      </c>
      <c r="G104" s="87">
        <f>F104*1.21</f>
        <v/>
      </c>
      <c r="H104" s="87">
        <f>ROUND(G104/100,0)*100</f>
        <v/>
      </c>
      <c r="J104" s="87" t="n">
        <v>69.04000000000001</v>
      </c>
      <c r="L104" s="87" t="n">
        <v>69.04000000000001</v>
      </c>
      <c r="M104" s="167" t="n"/>
      <c r="N104" s="120">
        <f>(L104/J104)-1</f>
        <v/>
      </c>
      <c r="O104" s="166" t="n"/>
    </row>
    <row r="105">
      <c r="A105" s="171" t="n">
        <v>645</v>
      </c>
      <c r="B105" s="175" t="inlineStr">
        <is>
          <t>Caja por 500Paños Sontara de 30 x 30 cm celeste</t>
        </is>
      </c>
      <c r="D105" s="166">
        <f>L105*0.93*0.98</f>
        <v/>
      </c>
      <c r="E105" s="87">
        <f>D105*1.3*1.105</f>
        <v/>
      </c>
      <c r="F105" s="87">
        <f>D105*1.3*1.105/0.9</f>
        <v/>
      </c>
      <c r="G105" s="87">
        <f>F105*1.21</f>
        <v/>
      </c>
      <c r="H105" s="87">
        <f>ROUND(G105/100,0)*100</f>
        <v/>
      </c>
      <c r="J105" s="87" t="n">
        <v>75.94</v>
      </c>
      <c r="L105" s="87" t="n">
        <v>75.94</v>
      </c>
      <c r="M105" s="173" t="n"/>
      <c r="N105" s="177">
        <f>(L105/J105)-1</f>
        <v/>
      </c>
      <c r="O105" s="166" t="n"/>
    </row>
    <row r="106">
      <c r="A106" s="186" t="n">
        <v>656</v>
      </c>
      <c r="B106" s="175" t="inlineStr">
        <is>
          <t>Caja por 400 Paños Sontara de 30 x 30 cm Blancos</t>
        </is>
      </c>
      <c r="D106" s="166">
        <f>L106*0.93*0.98</f>
        <v/>
      </c>
      <c r="E106" s="87">
        <f>D106*1.3*1.105</f>
        <v/>
      </c>
      <c r="F106" s="87">
        <f>D106*1.3*1.105/0.9</f>
        <v/>
      </c>
      <c r="G106" s="87">
        <f>F106*1.21</f>
        <v/>
      </c>
      <c r="H106" s="87">
        <f>ROUND(G106/100,0)*100</f>
        <v/>
      </c>
      <c r="J106" s="87" t="n">
        <v>73.48999999999999</v>
      </c>
      <c r="L106" s="87" t="n">
        <v>73.48999999999999</v>
      </c>
      <c r="M106" s="167" t="n"/>
      <c r="N106" s="177">
        <f>(L106/J106)-1</f>
        <v/>
      </c>
      <c r="O106" s="166" t="n"/>
    </row>
    <row r="107">
      <c r="A107" s="223" t="n"/>
      <c r="B107" s="175" t="n"/>
      <c r="C107" s="175" t="n"/>
      <c r="D107" s="215" t="n"/>
      <c r="J107" s="87" t="n"/>
      <c r="L107" s="87" t="n"/>
      <c r="M107" s="176" t="n"/>
      <c r="N107" s="177" t="n"/>
      <c r="O107" s="215" t="n"/>
    </row>
    <row r="108">
      <c r="A108" s="223" t="n"/>
      <c r="B108" s="175" t="n"/>
      <c r="C108" s="223" t="n"/>
      <c r="D108" s="215" t="n"/>
      <c r="J108" s="87" t="n"/>
      <c r="L108" s="87" t="n"/>
      <c r="M108" s="176" t="n"/>
      <c r="N108" s="177" t="n"/>
      <c r="O108" s="215" t="n"/>
    </row>
    <row r="109">
      <c r="A109" s="223" t="n"/>
      <c r="B109" s="175" t="n"/>
      <c r="C109" s="223" t="n"/>
      <c r="D109" s="215" t="n"/>
      <c r="J109" s="87" t="n"/>
      <c r="L109" s="87" t="n"/>
      <c r="M109" s="176" t="n"/>
      <c r="N109" s="177" t="n"/>
      <c r="O109" s="215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J110" s="87" t="n"/>
      <c r="L110" s="87" t="n"/>
      <c r="M110" s="144" t="n"/>
      <c r="O110" s="215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J111" s="87" t="n"/>
      <c r="L111" s="87" t="n"/>
      <c r="M111" s="144" t="n"/>
      <c r="O111" s="215" t="n"/>
    </row>
    <row r="112">
      <c r="J112" s="87" t="n"/>
      <c r="L112" s="87" t="n"/>
      <c r="M112" s="105" t="n"/>
      <c r="N112" s="106" t="n"/>
    </row>
    <row r="113">
      <c r="J113" s="87" t="n"/>
      <c r="L113" s="87" t="n"/>
      <c r="M113" s="105" t="n"/>
      <c r="N113" s="106" t="n"/>
    </row>
    <row r="114">
      <c r="J114" s="87" t="n"/>
      <c r="L114" s="87" t="n"/>
      <c r="M114" s="105" t="n"/>
      <c r="N114" s="106" t="n"/>
    </row>
    <row r="115">
      <c r="J115" s="87" t="n"/>
      <c r="L115" s="87" t="n"/>
      <c r="M115" s="105" t="n"/>
      <c r="N115" s="106" t="n"/>
    </row>
    <row r="116">
      <c r="J116" s="87" t="n"/>
      <c r="L116" s="87" t="n"/>
      <c r="M116" s="105" t="n"/>
      <c r="N116" s="106" t="n"/>
    </row>
    <row r="117">
      <c r="J117" s="87" t="n"/>
      <c r="L117" s="87" t="n"/>
      <c r="M117" s="105" t="n"/>
      <c r="N117" s="106" t="n"/>
    </row>
    <row r="118">
      <c r="J118" s="87" t="n"/>
      <c r="L118" s="87" t="n"/>
      <c r="M118" s="105" t="n"/>
      <c r="N118" s="106" t="n"/>
    </row>
    <row r="119">
      <c r="J119" s="87" t="n"/>
      <c r="L119" s="87" t="n"/>
      <c r="M119" s="105" t="n"/>
      <c r="N119" s="106" t="n"/>
    </row>
    <row r="120">
      <c r="J120" s="87" t="n"/>
      <c r="L120" s="87" t="n"/>
      <c r="M120" s="105" t="n"/>
      <c r="N120" s="106" t="n"/>
    </row>
    <row r="121">
      <c r="J121" s="87" t="n"/>
      <c r="L121" s="87" t="n"/>
      <c r="M121" s="105" t="n"/>
      <c r="N121" s="106" t="n"/>
    </row>
    <row r="122">
      <c r="J122" s="87" t="n"/>
      <c r="L122" s="87" t="n"/>
      <c r="M122" s="105" t="n"/>
      <c r="N122" s="106" t="n"/>
    </row>
    <row r="123">
      <c r="J123" s="87" t="n"/>
      <c r="L123" s="87" t="n"/>
      <c r="M123" s="105" t="n"/>
      <c r="N123" s="106" t="n"/>
    </row>
    <row r="124">
      <c r="J124" s="87" t="n"/>
      <c r="L124" s="87" t="n"/>
      <c r="M124" s="105" t="n"/>
      <c r="N124" s="106" t="n"/>
    </row>
    <row r="125">
      <c r="J125" s="87" t="n"/>
      <c r="L125" s="87" t="n"/>
      <c r="M125" s="105" t="n"/>
      <c r="N125" s="106" t="n"/>
    </row>
    <row r="126">
      <c r="J126" s="87" t="n"/>
      <c r="L126" s="87" t="n"/>
      <c r="M126" s="105" t="n"/>
      <c r="N126" s="106" t="n"/>
    </row>
    <row r="127">
      <c r="J127" s="87" t="n"/>
      <c r="L127" s="87" t="n"/>
      <c r="M127" s="105" t="n"/>
      <c r="N127" s="106" t="n"/>
    </row>
    <row r="128">
      <c r="J128" s="87" t="n"/>
      <c r="L128" s="87" t="n"/>
      <c r="M128" s="105" t="n"/>
      <c r="N128" s="106" t="n"/>
    </row>
    <row r="129">
      <c r="J129" s="87" t="n"/>
      <c r="L129" s="87" t="n"/>
      <c r="M129" s="105" t="n"/>
      <c r="N129" s="106" t="n"/>
    </row>
    <row r="130">
      <c r="J130" s="87" t="n"/>
      <c r="L130" s="87" t="n"/>
      <c r="M130" s="105" t="n"/>
      <c r="N130" s="106" t="n"/>
    </row>
    <row r="131">
      <c r="J131" s="87" t="n"/>
      <c r="L131" s="87" t="n"/>
      <c r="M131" s="105" t="n"/>
      <c r="N131" s="106" t="n"/>
    </row>
    <row r="132">
      <c r="J132" s="87" t="n"/>
      <c r="L132" s="87" t="n"/>
      <c r="M132" s="105" t="n"/>
      <c r="N132" s="106" t="n"/>
    </row>
    <row r="133">
      <c r="J133" s="87" t="n"/>
      <c r="L133" s="87" t="n"/>
      <c r="M133" s="105" t="n"/>
      <c r="N133" s="106" t="n"/>
    </row>
    <row r="134">
      <c r="J134" s="87" t="n"/>
      <c r="L134" s="87" t="n"/>
      <c r="M134" s="105" t="n"/>
      <c r="N134" s="106" t="n"/>
    </row>
    <row r="135">
      <c r="J135" s="87" t="n"/>
      <c r="L135" s="87" t="n"/>
      <c r="M135" s="105" t="n"/>
      <c r="N135" s="106" t="n"/>
    </row>
    <row r="136">
      <c r="J136" s="87" t="n"/>
      <c r="L136" s="87" t="n"/>
      <c r="M136" s="105" t="n"/>
      <c r="N136" s="106" t="n"/>
    </row>
    <row r="137">
      <c r="J137" s="87" t="n"/>
      <c r="L137" s="87" t="n"/>
      <c r="M137" s="105" t="n"/>
      <c r="N137" s="106" t="n"/>
    </row>
    <row r="138">
      <c r="J138" s="87" t="n"/>
      <c r="L138" s="87" t="n"/>
      <c r="M138" s="105" t="n"/>
      <c r="N138" s="106" t="n"/>
    </row>
    <row r="139">
      <c r="J139" s="87" t="n"/>
      <c r="L139" s="87" t="n"/>
      <c r="M139" s="105" t="n"/>
      <c r="N139" s="106" t="n"/>
    </row>
    <row r="140">
      <c r="J140" s="87" t="n"/>
      <c r="L140" s="87" t="n"/>
      <c r="M140" s="105" t="n"/>
      <c r="N140" s="106" t="n"/>
    </row>
    <row r="141">
      <c r="J141" s="87" t="n"/>
      <c r="L141" s="87" t="n"/>
      <c r="M141" s="105" t="n"/>
      <c r="N141" s="106" t="n"/>
    </row>
    <row r="142">
      <c r="J142" s="87" t="n"/>
      <c r="L142" s="87" t="n"/>
      <c r="M142" s="105" t="n"/>
      <c r="N142" s="106" t="n"/>
    </row>
    <row r="143">
      <c r="J143" s="87" t="n"/>
      <c r="L143" s="87" t="n"/>
      <c r="M143" s="105" t="n"/>
      <c r="N143" s="106" t="n"/>
    </row>
    <row r="144">
      <c r="J144" s="87" t="n"/>
      <c r="L144" s="87" t="n"/>
      <c r="M144" s="105" t="n"/>
      <c r="N144" s="106" t="n"/>
    </row>
    <row r="145">
      <c r="J145" s="87" t="n"/>
      <c r="L145" s="87" t="n"/>
      <c r="M145" s="105" t="n"/>
      <c r="N145" s="106" t="n"/>
    </row>
    <row r="146">
      <c r="J146" s="87" t="n"/>
      <c r="L146" s="87" t="n"/>
      <c r="M146" s="105" t="n"/>
      <c r="N146" s="106" t="n"/>
    </row>
    <row r="147">
      <c r="J147" s="87" t="n"/>
      <c r="L147" s="87" t="n"/>
      <c r="M147" s="105" t="n"/>
      <c r="N147" s="106" t="n"/>
    </row>
    <row r="148">
      <c r="J148" s="87" t="n"/>
      <c r="L148" s="87" t="n"/>
      <c r="M148" s="105" t="n"/>
      <c r="N148" s="106" t="n"/>
    </row>
    <row r="149">
      <c r="J149" s="87" t="n"/>
      <c r="L149" s="87" t="n"/>
      <c r="M149" s="105" t="n"/>
      <c r="N149" s="106" t="n"/>
    </row>
    <row r="150">
      <c r="J150" s="87" t="n"/>
      <c r="L150" s="87" t="n"/>
      <c r="M150" s="105" t="n"/>
      <c r="N150" s="106" t="n"/>
    </row>
    <row r="151">
      <c r="J151" s="87" t="n"/>
      <c r="L151" s="87" t="n"/>
      <c r="M151" s="105" t="n"/>
      <c r="N151" s="106" t="n"/>
    </row>
    <row r="152">
      <c r="J152" s="87" t="n"/>
      <c r="L152" s="87" t="n"/>
      <c r="M152" s="105" t="n"/>
      <c r="N152" s="106" t="n"/>
    </row>
    <row r="153">
      <c r="J153" s="87" t="n"/>
      <c r="L153" s="87" t="n"/>
      <c r="M153" s="105" t="n"/>
      <c r="N153" s="106" t="n"/>
    </row>
    <row r="154">
      <c r="J154" s="87" t="n"/>
      <c r="L154" s="87" t="n"/>
      <c r="M154" s="105" t="n"/>
      <c r="N154" s="106" t="n"/>
    </row>
    <row r="155">
      <c r="J155" s="87" t="n"/>
      <c r="L155" s="87" t="n"/>
      <c r="M155" s="105" t="n"/>
      <c r="N155" s="106" t="n"/>
    </row>
    <row r="156">
      <c r="J156" s="87" t="n"/>
      <c r="L156" s="87" t="n"/>
      <c r="M156" s="105" t="n"/>
      <c r="N156" s="106" t="n"/>
    </row>
    <row r="157">
      <c r="J157" s="87" t="n"/>
      <c r="L157" s="87" t="n"/>
      <c r="M157" s="105" t="n"/>
      <c r="N157" s="106" t="n"/>
    </row>
    <row r="158">
      <c r="J158" s="87" t="n"/>
      <c r="L158" s="87" t="n"/>
      <c r="M158" s="105" t="n"/>
      <c r="N158" s="106" t="n"/>
    </row>
    <row r="159">
      <c r="J159" s="87" t="n"/>
      <c r="L159" s="87" t="n"/>
      <c r="M159" s="105" t="n"/>
      <c r="N159" s="106" t="n"/>
    </row>
    <row r="160">
      <c r="J160" s="87" t="n"/>
      <c r="L160" s="87" t="n"/>
      <c r="M160" s="105" t="n"/>
      <c r="N160" s="106" t="n"/>
    </row>
    <row r="161">
      <c r="J161" s="87" t="n"/>
      <c r="L161" s="87" t="n"/>
      <c r="M161" s="105" t="n"/>
      <c r="N161" s="106" t="n"/>
    </row>
    <row r="162">
      <c r="J162" s="87" t="n"/>
      <c r="L162" s="87" t="n"/>
      <c r="M162" s="105" t="n"/>
      <c r="N162" s="106" t="n"/>
    </row>
    <row r="163">
      <c r="J163" s="87" t="n"/>
      <c r="L163" s="87" t="n"/>
      <c r="M163" s="105" t="n"/>
      <c r="N163" s="106" t="n"/>
    </row>
    <row r="164">
      <c r="J164" s="87" t="n"/>
      <c r="L164" s="87" t="n"/>
      <c r="M164" s="105" t="n"/>
      <c r="N164" s="106" t="n"/>
    </row>
    <row r="165">
      <c r="J165" s="87" t="n"/>
      <c r="L165" s="87" t="n"/>
      <c r="M165" s="105" t="n"/>
      <c r="N165" s="106" t="n"/>
    </row>
    <row r="166">
      <c r="J166" s="87" t="n"/>
      <c r="L166" s="87" t="n"/>
      <c r="M166" s="105" t="n"/>
      <c r="N166" s="106" t="n"/>
    </row>
    <row r="167">
      <c r="J167" s="87" t="n"/>
      <c r="L167" s="87" t="n"/>
      <c r="M167" s="105" t="n"/>
      <c r="N167" s="106" t="n"/>
    </row>
    <row r="168">
      <c r="J168" s="87" t="n"/>
      <c r="L168" s="87" t="n"/>
      <c r="M168" s="105" t="n"/>
      <c r="N168" s="106" t="n"/>
    </row>
    <row r="169">
      <c r="J169" s="87" t="n"/>
      <c r="L169" s="87" t="n"/>
      <c r="M169" s="105" t="n"/>
      <c r="N169" s="106" t="n"/>
    </row>
    <row r="170">
      <c r="J170" s="87" t="n"/>
      <c r="L170" s="87" t="n"/>
      <c r="M170" s="105" t="n"/>
      <c r="N170" s="106" t="n"/>
    </row>
    <row r="171">
      <c r="J171" s="87" t="n"/>
      <c r="L171" s="87" t="n"/>
      <c r="M171" s="105" t="n"/>
      <c r="N171" s="106" t="n"/>
    </row>
    <row r="172">
      <c r="J172" s="87" t="n"/>
      <c r="L172" s="87" t="n"/>
      <c r="M172" s="105" t="n"/>
      <c r="N172" s="106" t="n"/>
    </row>
    <row r="173">
      <c r="J173" s="87" t="n"/>
      <c r="L173" s="87" t="n"/>
      <c r="M173" s="105" t="n"/>
      <c r="N173" s="106" t="n"/>
    </row>
    <row r="174">
      <c r="J174" s="87" t="n"/>
      <c r="L174" s="87" t="n"/>
      <c r="M174" s="105" t="n"/>
      <c r="N174" s="106" t="n"/>
    </row>
    <row r="175">
      <c r="J175" s="87" t="n"/>
      <c r="L175" s="87" t="n"/>
      <c r="M175" s="105" t="n"/>
      <c r="N175" s="106" t="n"/>
    </row>
    <row r="176">
      <c r="J176" s="87" t="n"/>
      <c r="L176" s="87" t="n"/>
      <c r="M176" s="105" t="n"/>
      <c r="N176" s="106" t="n"/>
    </row>
    <row r="177">
      <c r="J177" s="87" t="n"/>
      <c r="L177" s="87" t="n"/>
      <c r="M177" s="105" t="n"/>
      <c r="N177" s="106" t="n"/>
    </row>
    <row r="178">
      <c r="J178" s="87" t="n"/>
      <c r="L178" s="87" t="n"/>
      <c r="M178" s="105" t="n"/>
      <c r="N178" s="106" t="n"/>
    </row>
    <row r="179">
      <c r="J179" s="87" t="n"/>
      <c r="L179" s="87" t="n"/>
      <c r="M179" s="105" t="n"/>
      <c r="N179" s="106" t="n"/>
    </row>
    <row r="180">
      <c r="J180" s="87" t="n"/>
      <c r="L180" s="87" t="n"/>
      <c r="M180" s="105" t="n"/>
      <c r="N180" s="106" t="n"/>
    </row>
    <row r="181">
      <c r="J181" s="87" t="n"/>
      <c r="L181" s="87" t="n"/>
      <c r="M181" s="105" t="n"/>
      <c r="N181" s="106" t="n"/>
    </row>
    <row r="182">
      <c r="J182" s="87" t="n"/>
      <c r="L182" s="87" t="n"/>
      <c r="M182" s="105" t="n"/>
      <c r="N182" s="106" t="n"/>
    </row>
    <row r="183">
      <c r="J183" s="87" t="n"/>
      <c r="L183" s="87" t="n"/>
      <c r="M183" s="105" t="n"/>
      <c r="N183" s="106" t="n"/>
    </row>
    <row r="184">
      <c r="J184" s="87" t="n"/>
      <c r="L184" s="87" t="n"/>
      <c r="M184" s="105" t="n"/>
      <c r="N184" s="106" t="n"/>
    </row>
    <row r="185">
      <c r="J185" s="87" t="n"/>
      <c r="L185" s="87" t="n"/>
      <c r="M185" s="105" t="n"/>
      <c r="N185" s="106" t="n"/>
    </row>
    <row r="186">
      <c r="J186" s="87" t="n"/>
      <c r="L186" s="87" t="n"/>
      <c r="M186" s="105" t="n"/>
      <c r="N186" s="106" t="n"/>
    </row>
    <row r="187">
      <c r="J187" s="87" t="n"/>
      <c r="L187" s="87" t="n"/>
      <c r="M187" s="105" t="n"/>
      <c r="N187" s="106" t="n"/>
    </row>
    <row r="188">
      <c r="J188" s="87" t="n"/>
      <c r="L188" s="87" t="n"/>
      <c r="M188" s="105" t="n"/>
      <c r="N188" s="106" t="n"/>
    </row>
    <row r="189">
      <c r="J189" s="87" t="n"/>
      <c r="L189" s="87" t="n"/>
      <c r="M189" s="105" t="n"/>
      <c r="N189" s="106" t="n"/>
    </row>
    <row r="190">
      <c r="J190" s="87" t="n"/>
      <c r="L190" s="87" t="n"/>
      <c r="M190" s="105" t="n"/>
      <c r="N190" s="106" t="n"/>
    </row>
    <row r="191">
      <c r="J191" s="87" t="n"/>
      <c r="L191" s="87" t="n"/>
      <c r="M191" s="105" t="n"/>
      <c r="N191" s="106" t="n"/>
    </row>
    <row r="192">
      <c r="J192" s="87" t="n"/>
      <c r="L192" s="87" t="n"/>
      <c r="M192" s="105" t="n"/>
      <c r="N192" s="106" t="n"/>
    </row>
    <row r="193">
      <c r="J193" s="87" t="n"/>
      <c r="L193" s="87" t="n"/>
      <c r="M193" s="105" t="n"/>
      <c r="N193" s="106" t="n"/>
    </row>
    <row r="194">
      <c r="J194" s="87" t="n"/>
      <c r="L194" s="87" t="n"/>
      <c r="M194" s="105" t="n"/>
      <c r="N194" s="106" t="n"/>
    </row>
    <row r="195">
      <c r="J195" s="87" t="n"/>
      <c r="L195" s="87" t="n"/>
      <c r="M195" s="105" t="n"/>
      <c r="N195" s="106" t="n"/>
    </row>
    <row r="196">
      <c r="J196" s="87" t="n"/>
      <c r="L196" s="87" t="n"/>
      <c r="M196" s="105" t="n"/>
      <c r="N196" s="106" t="n"/>
    </row>
    <row r="197">
      <c r="J197" s="87" t="n"/>
      <c r="L197" s="87" t="n"/>
      <c r="M197" s="105" t="n"/>
      <c r="N197" s="106" t="n"/>
    </row>
    <row r="198">
      <c r="J198" s="87" t="n"/>
      <c r="L198" s="87" t="n"/>
      <c r="M198" s="105" t="n"/>
      <c r="N198" s="106" t="n"/>
    </row>
    <row r="199">
      <c r="J199" s="87" t="n"/>
      <c r="L199" s="87" t="n"/>
      <c r="M199" s="105" t="n"/>
      <c r="N199" s="106" t="n"/>
    </row>
    <row r="200">
      <c r="J200" s="87" t="n"/>
      <c r="L200" s="87" t="n"/>
      <c r="M200" s="105" t="n"/>
      <c r="N200" s="106" t="n"/>
    </row>
    <row r="201">
      <c r="J201" s="87" t="n"/>
      <c r="L201" s="87" t="n"/>
      <c r="M201" s="105" t="n"/>
      <c r="N201" s="106" t="n"/>
    </row>
    <row r="202">
      <c r="J202" s="87" t="n"/>
      <c r="L202" s="87" t="n"/>
      <c r="M202" s="105" t="n"/>
      <c r="N202" s="106" t="n"/>
    </row>
    <row r="203">
      <c r="J203" s="87" t="n"/>
      <c r="L203" s="87" t="n"/>
      <c r="M203" s="105" t="n"/>
      <c r="N203" s="106" t="n"/>
    </row>
    <row r="204">
      <c r="J204" s="87" t="n"/>
      <c r="L204" s="87" t="n"/>
      <c r="M204" s="105" t="n"/>
      <c r="N204" s="106" t="n"/>
    </row>
    <row r="205">
      <c r="J205" s="87" t="n"/>
      <c r="L205" s="87" t="n"/>
      <c r="M205" s="105" t="n"/>
      <c r="N205" s="106" t="n"/>
    </row>
    <row r="206">
      <c r="J206" s="87" t="n"/>
      <c r="L206" s="87" t="n"/>
      <c r="M206" s="105" t="n"/>
      <c r="N206" s="106" t="n"/>
    </row>
    <row r="207">
      <c r="J207" s="87" t="n"/>
      <c r="L207" s="87" t="n"/>
      <c r="M207" s="105" t="n"/>
      <c r="N207" s="106" t="n"/>
    </row>
    <row r="208">
      <c r="J208" s="87" t="n"/>
      <c r="L208" s="87" t="n"/>
      <c r="M208" s="105" t="n"/>
      <c r="N208" s="106" t="n"/>
    </row>
    <row r="209">
      <c r="J209" s="87" t="n"/>
      <c r="L209" s="87" t="n"/>
      <c r="M209" s="105" t="n"/>
      <c r="N209" s="106" t="n"/>
    </row>
    <row r="210">
      <c r="J210" s="87" t="n"/>
      <c r="L210" s="87" t="n"/>
      <c r="M210" s="105" t="n"/>
      <c r="N210" s="106" t="n"/>
    </row>
    <row r="211">
      <c r="J211" s="87" t="n"/>
      <c r="L211" s="87" t="n"/>
      <c r="M211" s="105" t="n"/>
      <c r="N211" s="106" t="n"/>
    </row>
    <row r="212">
      <c r="J212" s="87" t="n"/>
      <c r="L212" s="87" t="n"/>
      <c r="M212" s="105" t="n"/>
      <c r="N212" s="106" t="n"/>
    </row>
    <row r="213">
      <c r="J213" s="87" t="n"/>
      <c r="L213" s="87" t="n"/>
      <c r="M213" s="105" t="n"/>
      <c r="N213" s="106" t="n"/>
    </row>
    <row r="214">
      <c r="J214" s="87" t="n"/>
      <c r="L214" s="87" t="n"/>
      <c r="M214" s="105" t="n"/>
      <c r="N214" s="106" t="n"/>
    </row>
    <row r="215">
      <c r="J215" s="87" t="n"/>
      <c r="L215" s="87" t="n"/>
      <c r="M215" s="105" t="n"/>
      <c r="N215" s="106" t="n"/>
    </row>
    <row r="216">
      <c r="J216" s="87" t="n"/>
      <c r="L216" s="87" t="n"/>
      <c r="M216" s="105" t="n"/>
      <c r="N216" s="106" t="n"/>
    </row>
    <row r="217">
      <c r="J217" s="87" t="n"/>
      <c r="L217" s="87" t="n"/>
      <c r="M217" s="105" t="n"/>
      <c r="N217" s="106" t="n"/>
    </row>
    <row r="218">
      <c r="J218" s="87" t="n"/>
      <c r="L218" s="87" t="n"/>
      <c r="M218" s="105" t="n"/>
      <c r="N218" s="106" t="n"/>
    </row>
    <row r="219">
      <c r="J219" s="87" t="n"/>
      <c r="L219" s="87" t="n"/>
      <c r="M219" s="105" t="n"/>
      <c r="N219" s="106" t="n"/>
    </row>
    <row r="220">
      <c r="J220" s="87" t="n"/>
      <c r="L220" s="87" t="n"/>
      <c r="M220" s="105" t="n"/>
      <c r="N220" s="106" t="n"/>
    </row>
    <row r="221">
      <c r="J221" s="87" t="n"/>
      <c r="L221" s="87" t="n"/>
      <c r="M221" s="105" t="n"/>
      <c r="N221" s="106" t="n"/>
    </row>
    <row r="222">
      <c r="J222" s="87" t="n"/>
      <c r="L222" s="87" t="n"/>
      <c r="M222" s="105" t="n"/>
      <c r="N222" s="106" t="n"/>
    </row>
    <row r="223">
      <c r="J223" s="87" t="n"/>
      <c r="L223" s="87" t="n"/>
      <c r="M223" s="105" t="n"/>
      <c r="N223" s="106" t="n"/>
    </row>
    <row r="224">
      <c r="J224" s="87" t="n"/>
      <c r="L224" s="87" t="n"/>
      <c r="M224" s="105" t="n"/>
      <c r="N224" s="106" t="n"/>
    </row>
    <row r="225">
      <c r="J225" s="87" t="n"/>
      <c r="L225" s="87" t="n"/>
      <c r="M225" s="105" t="n"/>
      <c r="N225" s="106" t="n"/>
    </row>
    <row r="226">
      <c r="J226" s="87" t="n"/>
      <c r="L226" s="87" t="n"/>
      <c r="M226" s="105" t="n"/>
      <c r="N226" s="106" t="n"/>
    </row>
    <row r="227">
      <c r="J227" s="87" t="n"/>
      <c r="L227" s="87" t="n"/>
      <c r="M227" s="105" t="n"/>
      <c r="N227" s="106" t="n"/>
    </row>
    <row r="228">
      <c r="J228" s="87" t="n"/>
      <c r="L228" s="87" t="n"/>
      <c r="M228" s="105" t="n"/>
      <c r="N228" s="106" t="n"/>
    </row>
    <row r="229">
      <c r="J229" s="87" t="n"/>
      <c r="L229" s="87" t="n"/>
      <c r="M229" s="105" t="n"/>
      <c r="N229" s="106" t="n"/>
    </row>
    <row r="230">
      <c r="J230" s="87" t="n"/>
      <c r="L230" s="87" t="n"/>
      <c r="M230" s="105" t="n"/>
      <c r="N230" s="106" t="n"/>
    </row>
    <row r="231">
      <c r="J231" s="87" t="n"/>
      <c r="L231" s="87" t="n"/>
      <c r="M231" s="105" t="n"/>
      <c r="N231" s="106" t="n"/>
    </row>
    <row r="232">
      <c r="J232" s="87" t="n"/>
      <c r="L232" s="87" t="n"/>
      <c r="M232" s="105" t="n"/>
      <c r="N232" s="106" t="n"/>
    </row>
    <row r="233">
      <c r="J233" s="87" t="n"/>
      <c r="L233" s="87" t="n"/>
      <c r="M233" s="105" t="n"/>
      <c r="N233" s="106" t="n"/>
    </row>
    <row r="234">
      <c r="J234" s="87" t="n"/>
      <c r="L234" s="87" t="n"/>
      <c r="M234" s="105" t="n"/>
      <c r="N234" s="106" t="n"/>
    </row>
    <row r="235">
      <c r="J235" s="87" t="n"/>
      <c r="L235" s="87" t="n"/>
      <c r="M235" s="105" t="n"/>
      <c r="N235" s="106" t="n"/>
    </row>
    <row r="236">
      <c r="J236" s="87" t="n"/>
      <c r="L236" s="87" t="n"/>
      <c r="M236" s="105" t="n"/>
      <c r="N236" s="106" t="n"/>
    </row>
    <row r="237">
      <c r="J237" s="87" t="n"/>
      <c r="L237" s="87" t="n"/>
      <c r="M237" s="105" t="n"/>
      <c r="N237" s="106" t="n"/>
    </row>
    <row r="238">
      <c r="J238" s="87" t="n"/>
      <c r="L238" s="87" t="n"/>
      <c r="M238" s="105" t="n"/>
      <c r="N238" s="106" t="n"/>
    </row>
    <row r="239">
      <c r="J239" s="87" t="n"/>
      <c r="L239" s="87" t="n"/>
      <c r="M239" s="105" t="n"/>
      <c r="N239" s="106" t="n"/>
    </row>
    <row r="240">
      <c r="J240" s="87" t="n"/>
      <c r="L240" s="87" t="n"/>
      <c r="M240" s="105" t="n"/>
      <c r="N240" s="106" t="n"/>
    </row>
    <row r="241">
      <c r="J241" s="87" t="n"/>
      <c r="L241" s="87" t="n"/>
      <c r="M241" s="105" t="n"/>
      <c r="N241" s="106" t="n"/>
    </row>
    <row r="242">
      <c r="J242" s="87" t="n"/>
      <c r="L242" s="87" t="n"/>
      <c r="M242" s="105" t="n"/>
      <c r="N242" s="106" t="n"/>
    </row>
    <row r="243">
      <c r="J243" s="87" t="n"/>
      <c r="L243" s="87" t="n"/>
      <c r="M243" s="105" t="n"/>
      <c r="N243" s="106" t="n"/>
    </row>
    <row r="244">
      <c r="J244" s="87" t="n"/>
      <c r="L244" s="87" t="n"/>
      <c r="M244" s="105" t="n"/>
      <c r="N244" s="106" t="n"/>
    </row>
    <row r="245">
      <c r="J245" s="87" t="n"/>
      <c r="L245" s="87" t="n"/>
      <c r="M245" s="105" t="n"/>
      <c r="N245" s="106" t="n"/>
    </row>
    <row r="246">
      <c r="J246" s="87" t="n"/>
      <c r="L246" s="87" t="n"/>
      <c r="M246" s="105" t="n"/>
      <c r="N246" s="106" t="n"/>
    </row>
    <row r="247">
      <c r="J247" s="87" t="n"/>
      <c r="L247" s="87" t="n"/>
      <c r="M247" s="105" t="n"/>
      <c r="N247" s="106" t="n"/>
    </row>
    <row r="248">
      <c r="J248" s="87" t="n"/>
      <c r="L248" s="87" t="n"/>
      <c r="M248" s="105" t="n"/>
      <c r="N248" s="106" t="n"/>
    </row>
    <row r="249">
      <c r="J249" s="87" t="n"/>
      <c r="L249" s="87" t="n"/>
      <c r="M249" s="105" t="n"/>
      <c r="N249" s="106" t="n"/>
    </row>
    <row r="250">
      <c r="J250" s="87" t="n"/>
      <c r="L250" s="87" t="n"/>
      <c r="M250" s="105" t="n"/>
      <c r="N250" s="106" t="n"/>
    </row>
    <row r="251">
      <c r="J251" s="87" t="n"/>
      <c r="L251" s="87" t="n"/>
      <c r="M251" s="105" t="n"/>
      <c r="N251" s="106" t="n"/>
    </row>
    <row r="252">
      <c r="J252" s="87" t="n"/>
      <c r="L252" s="87" t="n"/>
      <c r="M252" s="105" t="n"/>
      <c r="N252" s="106" t="n"/>
    </row>
    <row r="253">
      <c r="J253" s="87" t="n"/>
      <c r="L253" s="87" t="n"/>
      <c r="M253" s="105" t="n"/>
      <c r="N253" s="106" t="n"/>
    </row>
    <row r="254">
      <c r="J254" s="87" t="n"/>
      <c r="L254" s="87" t="n"/>
      <c r="M254" s="105" t="n"/>
      <c r="N254" s="106" t="n"/>
    </row>
    <row r="255">
      <c r="J255" s="87" t="n"/>
      <c r="L255" s="87" t="n"/>
      <c r="M255" s="105" t="n"/>
      <c r="N255" s="106" t="n"/>
    </row>
    <row r="256">
      <c r="J256" s="87" t="n"/>
      <c r="L256" s="87" t="n"/>
      <c r="M256" s="105" t="n"/>
      <c r="N256" s="106" t="n"/>
    </row>
    <row r="257">
      <c r="J257" s="87" t="n"/>
      <c r="L257" s="87" t="n"/>
      <c r="M257" s="105" t="n"/>
      <c r="N257" s="106" t="n"/>
    </row>
    <row r="258">
      <c r="J258" s="87" t="n"/>
      <c r="L258" s="87" t="n"/>
      <c r="M258" s="105" t="n"/>
      <c r="N258" s="106" t="n"/>
    </row>
    <row r="259">
      <c r="J259" s="87" t="n"/>
      <c r="L259" s="87" t="n"/>
      <c r="M259" s="105" t="n"/>
      <c r="N259" s="106" t="n"/>
    </row>
    <row r="260">
      <c r="J260" s="87" t="n"/>
      <c r="L260" s="87" t="n"/>
      <c r="M260" s="105" t="n"/>
      <c r="N260" s="106" t="n"/>
    </row>
    <row r="261">
      <c r="J261" s="87" t="n"/>
      <c r="L261" s="87" t="n"/>
      <c r="M261" s="105" t="n"/>
      <c r="N261" s="106" t="n"/>
    </row>
    <row r="262">
      <c r="J262" s="87" t="n"/>
      <c r="L262" s="87" t="n"/>
      <c r="M262" s="105" t="n"/>
      <c r="N262" s="106" t="n"/>
    </row>
    <row r="263">
      <c r="J263" s="87" t="n"/>
      <c r="L263" s="87" t="n"/>
      <c r="M263" s="105" t="n"/>
      <c r="N263" s="106" t="n"/>
    </row>
    <row r="264">
      <c r="J264" s="87" t="n"/>
      <c r="L264" s="87" t="n"/>
      <c r="M264" s="105" t="n"/>
      <c r="N264" s="106" t="n"/>
    </row>
    <row r="265">
      <c r="J265" s="87" t="n"/>
      <c r="L265" s="87" t="n"/>
      <c r="M265" s="105" t="n"/>
      <c r="N265" s="106" t="n"/>
    </row>
    <row r="266">
      <c r="J266" s="87" t="n"/>
      <c r="L266" s="87" t="n"/>
      <c r="M266" s="105" t="n"/>
      <c r="N266" s="106" t="n"/>
    </row>
    <row r="267">
      <c r="J267" s="87" t="n"/>
      <c r="L267" s="87" t="n"/>
      <c r="M267" s="105" t="n"/>
      <c r="N267" s="106" t="n"/>
    </row>
    <row r="268">
      <c r="J268" s="87" t="n"/>
      <c r="L268" s="87" t="n"/>
      <c r="M268" s="105" t="n"/>
      <c r="N268" s="106" t="n"/>
    </row>
    <row r="269">
      <c r="J269" s="87" t="n"/>
      <c r="L269" s="87" t="n"/>
      <c r="M269" s="105" t="n"/>
      <c r="N269" s="106" t="n"/>
    </row>
    <row r="270">
      <c r="J270" s="87" t="n"/>
      <c r="L270" s="87" t="n"/>
      <c r="M270" s="105" t="n"/>
      <c r="N270" s="106" t="n"/>
    </row>
    <row r="271">
      <c r="J271" s="87" t="n"/>
      <c r="L271" s="87" t="n"/>
      <c r="M271" s="105" t="n"/>
      <c r="N271" s="106" t="n"/>
    </row>
    <row r="272">
      <c r="J272" s="87" t="n"/>
      <c r="L272" s="87" t="n"/>
      <c r="M272" s="105" t="n"/>
      <c r="N272" s="106" t="n"/>
    </row>
    <row r="273">
      <c r="J273" s="87" t="n"/>
      <c r="L273" s="87" t="n"/>
      <c r="M273" s="105" t="n"/>
      <c r="N273" s="106" t="n"/>
    </row>
    <row r="274">
      <c r="J274" s="87" t="n"/>
      <c r="L274" s="87" t="n"/>
      <c r="M274" s="105" t="n"/>
      <c r="N274" s="106" t="n"/>
    </row>
    <row r="275">
      <c r="J275" s="87" t="n"/>
      <c r="L275" s="87" t="n"/>
      <c r="M275" s="105" t="n"/>
      <c r="N275" s="106" t="n"/>
    </row>
    <row r="276">
      <c r="J276" s="87" t="n"/>
      <c r="L276" s="87" t="n"/>
      <c r="M276" s="105" t="n"/>
      <c r="N276" s="106" t="n"/>
    </row>
    <row r="277">
      <c r="J277" s="87" t="n"/>
      <c r="L277" s="87" t="n"/>
      <c r="M277" s="105" t="n"/>
      <c r="N277" s="106" t="n"/>
    </row>
    <row r="278">
      <c r="J278" s="87" t="n"/>
      <c r="L278" s="87" t="n"/>
      <c r="M278" s="105" t="n"/>
      <c r="N278" s="106" t="n"/>
    </row>
    <row r="279">
      <c r="J279" s="87" t="n"/>
      <c r="L279" s="87" t="n"/>
      <c r="M279" s="105" t="n"/>
      <c r="N279" s="106" t="n"/>
    </row>
    <row r="280">
      <c r="J280" s="87" t="n"/>
      <c r="L280" s="87" t="n"/>
      <c r="M280" s="105" t="n"/>
      <c r="N280" s="106" t="n"/>
    </row>
    <row r="281">
      <c r="J281" s="87" t="n"/>
      <c r="L281" s="87" t="n"/>
      <c r="M281" s="105" t="n"/>
      <c r="N281" s="106" t="n"/>
    </row>
    <row r="282">
      <c r="J282" s="87" t="n"/>
      <c r="L282" s="87" t="n"/>
      <c r="M282" s="105" t="n"/>
      <c r="N282" s="106" t="n"/>
    </row>
    <row r="283">
      <c r="J283" s="87" t="n"/>
      <c r="L283" s="87" t="n"/>
      <c r="M283" s="105" t="n"/>
      <c r="N283" s="106" t="n"/>
    </row>
    <row r="284">
      <c r="J284" s="87" t="n"/>
      <c r="L284" s="87" t="n"/>
      <c r="M284" s="105" t="n"/>
      <c r="N284" s="106" t="n"/>
    </row>
    <row r="285">
      <c r="J285" s="87" t="n"/>
      <c r="L285" s="87" t="n"/>
      <c r="M285" s="105" t="n"/>
      <c r="N285" s="106" t="n"/>
    </row>
    <row r="286">
      <c r="J286" s="87" t="n"/>
      <c r="L286" s="87" t="n"/>
      <c r="M286" s="105" t="n"/>
      <c r="N286" s="106" t="n"/>
    </row>
    <row r="287">
      <c r="J287" s="87" t="n"/>
      <c r="L287" s="87" t="n"/>
      <c r="M287" s="105" t="n"/>
      <c r="N287" s="106" t="n"/>
    </row>
    <row r="288">
      <c r="J288" s="87" t="n"/>
      <c r="L288" s="87" t="n"/>
      <c r="M288" s="105" t="n"/>
      <c r="N288" s="106" t="n"/>
    </row>
    <row r="289">
      <c r="J289" s="87" t="n"/>
      <c r="L289" s="87" t="n"/>
      <c r="M289" s="105" t="n"/>
      <c r="N289" s="106" t="n"/>
    </row>
    <row r="290">
      <c r="J290" s="87" t="n"/>
      <c r="L290" s="87" t="n"/>
      <c r="M290" s="105" t="n"/>
      <c r="N290" s="106" t="n"/>
    </row>
    <row r="291">
      <c r="J291" s="87" t="n"/>
      <c r="L291" s="87" t="n"/>
      <c r="M291" s="105" t="n"/>
      <c r="N291" s="106" t="n"/>
    </row>
    <row r="292">
      <c r="J292" s="87" t="n"/>
      <c r="L292" s="87" t="n"/>
      <c r="M292" s="105" t="n"/>
      <c r="N292" s="106" t="n"/>
    </row>
    <row r="293">
      <c r="J293" s="87" t="n"/>
      <c r="L293" s="87" t="n"/>
      <c r="M293" s="105" t="n"/>
      <c r="N293" s="106" t="n"/>
    </row>
    <row r="294">
      <c r="J294" s="87" t="n"/>
      <c r="L294" s="87" t="n"/>
      <c r="M294" s="105" t="n"/>
      <c r="N294" s="106" t="n"/>
    </row>
    <row r="295">
      <c r="J295" s="87" t="n"/>
      <c r="L295" s="87" t="n"/>
      <c r="M295" s="105" t="n"/>
      <c r="N295" s="106" t="n"/>
    </row>
    <row r="296">
      <c r="J296" s="87" t="n"/>
      <c r="L296" s="87" t="n"/>
      <c r="M296" s="105" t="n"/>
      <c r="N296" s="106" t="n"/>
    </row>
    <row r="297">
      <c r="J297" s="87" t="n"/>
      <c r="L297" s="87" t="n"/>
      <c r="M297" s="105" t="n"/>
      <c r="N297" s="106" t="n"/>
    </row>
    <row r="298">
      <c r="J298" s="87" t="n"/>
      <c r="L298" s="87" t="n"/>
      <c r="M298" s="105" t="n"/>
      <c r="N298" s="106" t="n"/>
    </row>
    <row r="299">
      <c r="J299" s="87" t="n"/>
      <c r="L299" s="87" t="n"/>
      <c r="M299" s="105" t="n"/>
      <c r="N299" s="106" t="n"/>
    </row>
    <row r="300">
      <c r="J300" s="87" t="n"/>
      <c r="L300" s="87" t="n"/>
      <c r="M300" s="105" t="n"/>
      <c r="N300" s="106" t="n"/>
    </row>
    <row r="301">
      <c r="J301" s="87" t="n"/>
      <c r="L301" s="87" t="n"/>
      <c r="M301" s="105" t="n"/>
      <c r="N301" s="106" t="n"/>
    </row>
    <row r="302">
      <c r="J302" s="87" t="n"/>
      <c r="L302" s="87" t="n"/>
      <c r="M302" s="105" t="n"/>
      <c r="N302" s="106" t="n"/>
    </row>
    <row r="303">
      <c r="J303" s="87" t="n"/>
      <c r="L303" s="87" t="n"/>
      <c r="M303" s="105" t="n"/>
      <c r="N303" s="106" t="n"/>
    </row>
    <row r="304">
      <c r="J304" s="87" t="n"/>
      <c r="L304" s="87" t="n"/>
      <c r="M304" s="105" t="n"/>
      <c r="N304" s="106" t="n"/>
    </row>
    <row r="305">
      <c r="J305" s="87" t="n"/>
      <c r="L305" s="87" t="n"/>
      <c r="M305" s="105" t="n"/>
      <c r="N305" s="106" t="n"/>
    </row>
    <row r="306">
      <c r="J306" s="87" t="n"/>
      <c r="L306" s="87" t="n"/>
      <c r="M306" s="105" t="n"/>
      <c r="N306" s="106" t="n"/>
    </row>
    <row r="307">
      <c r="J307" s="87" t="n"/>
      <c r="L307" s="87" t="n"/>
      <c r="M307" s="105" t="n"/>
      <c r="N307" s="106" t="n"/>
    </row>
    <row r="308">
      <c r="J308" s="87" t="n"/>
      <c r="L308" s="87" t="n"/>
      <c r="M308" s="105" t="n"/>
      <c r="N308" s="106" t="n"/>
    </row>
    <row r="309">
      <c r="J309" s="87" t="n"/>
      <c r="L309" s="87" t="n"/>
      <c r="M309" s="105" t="n"/>
      <c r="N309" s="106" t="n"/>
    </row>
    <row r="310">
      <c r="J310" s="87" t="n"/>
      <c r="L310" s="87" t="n"/>
      <c r="M310" s="105" t="n"/>
      <c r="N310" s="106" t="n"/>
    </row>
    <row r="311">
      <c r="J311" s="87" t="n"/>
      <c r="L311" s="87" t="n"/>
      <c r="M311" s="105" t="n"/>
      <c r="N311" s="106" t="n"/>
    </row>
    <row r="312">
      <c r="J312" s="87" t="n"/>
      <c r="L312" s="87" t="n"/>
      <c r="M312" s="105" t="n"/>
      <c r="N312" s="106" t="n"/>
    </row>
    <row r="313">
      <c r="J313" s="87" t="n"/>
      <c r="L313" s="87" t="n"/>
      <c r="M313" s="105" t="n"/>
      <c r="N313" s="106" t="n"/>
    </row>
    <row r="314">
      <c r="J314" s="87" t="n"/>
      <c r="L314" s="87" t="n"/>
      <c r="M314" s="105" t="n"/>
      <c r="N314" s="106" t="n"/>
    </row>
    <row r="315">
      <c r="J315" s="87" t="n"/>
      <c r="L315" s="87" t="n"/>
      <c r="M315" s="105" t="n"/>
      <c r="N315" s="106" t="n"/>
    </row>
    <row r="316">
      <c r="J316" s="87" t="n"/>
      <c r="L316" s="87" t="n"/>
      <c r="M316" s="105" t="n"/>
      <c r="N316" s="106" t="n"/>
    </row>
    <row r="317">
      <c r="J317" s="87" t="n"/>
      <c r="L317" s="87" t="n"/>
      <c r="M317" s="105" t="n"/>
      <c r="N317" s="106" t="n"/>
    </row>
    <row r="318">
      <c r="J318" s="87" t="n"/>
      <c r="L318" s="87" t="n"/>
      <c r="M318" s="105" t="n"/>
      <c r="N318" s="106" t="n"/>
    </row>
    <row r="319">
      <c r="J319" s="87" t="n"/>
      <c r="L319" s="87" t="n"/>
      <c r="M319" s="105" t="n"/>
      <c r="N319" s="106" t="n"/>
    </row>
    <row r="320">
      <c r="J320" s="87" t="n"/>
      <c r="L320" s="87" t="n"/>
      <c r="M320" s="105" t="n"/>
      <c r="N320" s="106" t="n"/>
    </row>
    <row r="321">
      <c r="J321" s="87" t="n"/>
      <c r="L321" s="87" t="n"/>
      <c r="M321" s="105" t="n"/>
      <c r="N321" s="106" t="n"/>
    </row>
    <row r="322">
      <c r="J322" s="87" t="n"/>
      <c r="L322" s="87" t="n"/>
      <c r="M322" s="105" t="n"/>
      <c r="N322" s="106" t="n"/>
    </row>
    <row r="323">
      <c r="J323" s="87" t="n"/>
      <c r="L323" s="87" t="n"/>
      <c r="M323" s="105" t="n"/>
      <c r="N323" s="106" t="n"/>
    </row>
    <row r="324">
      <c r="J324" s="87" t="n"/>
      <c r="L324" s="87" t="n"/>
      <c r="M324" s="105" t="n"/>
      <c r="N324" s="106" t="n"/>
    </row>
    <row r="325">
      <c r="J325" s="87" t="n"/>
      <c r="L325" s="87" t="n"/>
      <c r="M325" s="105" t="n"/>
      <c r="N325" s="106" t="n"/>
    </row>
    <row r="326">
      <c r="J326" s="87" t="n"/>
      <c r="L326" s="87" t="n"/>
      <c r="M326" s="105" t="n"/>
      <c r="N326" s="106" t="n"/>
    </row>
    <row r="327">
      <c r="J327" s="87" t="n"/>
      <c r="L327" s="87" t="n"/>
      <c r="M327" s="105" t="n"/>
      <c r="N327" s="106" t="n"/>
    </row>
    <row r="328">
      <c r="J328" s="87" t="n"/>
      <c r="L328" s="87" t="n"/>
      <c r="M328" s="105" t="n"/>
      <c r="N328" s="106" t="n"/>
    </row>
    <row r="329">
      <c r="J329" s="87" t="n"/>
      <c r="L329" s="87" t="n"/>
      <c r="M329" s="105" t="n"/>
      <c r="N329" s="106" t="n"/>
    </row>
    <row r="330">
      <c r="J330" s="87" t="n"/>
      <c r="L330" s="87" t="n"/>
      <c r="M330" s="105" t="n"/>
      <c r="N330" s="106" t="n"/>
    </row>
    <row r="331">
      <c r="J331" s="87" t="n"/>
      <c r="L331" s="87" t="n"/>
      <c r="M331" s="105" t="n"/>
      <c r="N331" s="106" t="n"/>
    </row>
    <row r="332">
      <c r="J332" s="87" t="n"/>
      <c r="L332" s="87" t="n"/>
      <c r="M332" s="105" t="n"/>
      <c r="N332" s="106" t="n"/>
    </row>
    <row r="333">
      <c r="J333" s="87" t="n"/>
      <c r="L333" s="87" t="n"/>
      <c r="M333" s="105" t="n"/>
      <c r="N333" s="106" t="n"/>
    </row>
    <row r="334">
      <c r="J334" s="87" t="n"/>
      <c r="L334" s="87" t="n"/>
      <c r="M334" s="105" t="n"/>
      <c r="N334" s="106" t="n"/>
    </row>
    <row r="335">
      <c r="J335" s="87" t="n"/>
      <c r="L335" s="87" t="n"/>
      <c r="M335" s="105" t="n"/>
      <c r="N335" s="106" t="n"/>
    </row>
    <row r="336">
      <c r="J336" s="87" t="n"/>
      <c r="L336" s="87" t="n"/>
      <c r="M336" s="105" t="n"/>
      <c r="N336" s="106" t="n"/>
    </row>
    <row r="337">
      <c r="J337" s="87" t="n"/>
      <c r="L337" s="87" t="n"/>
      <c r="M337" s="105" t="n"/>
      <c r="N337" s="106" t="n"/>
    </row>
    <row r="338">
      <c r="J338" s="87" t="n"/>
      <c r="L338" s="87" t="n"/>
      <c r="M338" s="105" t="n"/>
      <c r="N338" s="106" t="n"/>
    </row>
    <row r="339">
      <c r="J339" s="87" t="n"/>
      <c r="L339" s="87" t="n"/>
      <c r="M339" s="105" t="n"/>
      <c r="N339" s="106" t="n"/>
    </row>
    <row r="340">
      <c r="J340" s="87" t="n"/>
      <c r="L340" s="87" t="n"/>
      <c r="M340" s="105" t="n"/>
      <c r="N340" s="106" t="n"/>
    </row>
    <row r="341">
      <c r="J341" s="87" t="n"/>
      <c r="L341" s="87" t="n"/>
      <c r="M341" s="105" t="n"/>
      <c r="N341" s="106" t="n"/>
    </row>
    <row r="342">
      <c r="J342" s="87" t="n"/>
      <c r="L342" s="87" t="n"/>
      <c r="M342" s="105" t="n"/>
      <c r="N342" s="106" t="n"/>
    </row>
    <row r="343">
      <c r="J343" s="87" t="n"/>
      <c r="L343" s="87" t="n"/>
      <c r="M343" s="105" t="n"/>
      <c r="N343" s="106" t="n"/>
    </row>
    <row r="344">
      <c r="J344" s="87" t="n"/>
      <c r="L344" s="87" t="n"/>
      <c r="M344" s="105" t="n"/>
      <c r="N344" s="106" t="n"/>
    </row>
    <row r="345">
      <c r="J345" s="87" t="n"/>
      <c r="L345" s="87" t="n"/>
      <c r="M345" s="105" t="n"/>
      <c r="N345" s="106" t="n"/>
    </row>
    <row r="346">
      <c r="J346" s="87" t="n"/>
      <c r="L346" s="87" t="n"/>
      <c r="M346" s="105" t="n"/>
      <c r="N346" s="106" t="n"/>
    </row>
    <row r="347">
      <c r="J347" s="87" t="n"/>
      <c r="L347" s="87" t="n"/>
      <c r="M347" s="105" t="n"/>
      <c r="N347" s="106" t="n"/>
    </row>
    <row r="348">
      <c r="J348" s="87" t="n"/>
      <c r="L348" s="87" t="n"/>
      <c r="M348" s="105" t="n"/>
      <c r="N348" s="106" t="n"/>
    </row>
    <row r="349">
      <c r="J349" s="87" t="n"/>
      <c r="L349" s="87" t="n"/>
      <c r="M349" s="105" t="n"/>
      <c r="N349" s="106" t="n"/>
    </row>
    <row r="350">
      <c r="J350" s="87" t="n"/>
      <c r="L350" s="87" t="n"/>
      <c r="M350" s="105" t="n"/>
      <c r="N350" s="106" t="n"/>
    </row>
    <row r="351">
      <c r="J351" s="87" t="n"/>
      <c r="L351" s="87" t="n"/>
      <c r="M351" s="105" t="n"/>
      <c r="N351" s="106" t="n"/>
    </row>
    <row r="352">
      <c r="J352" s="87" t="n"/>
      <c r="L352" s="87" t="n"/>
      <c r="M352" s="105" t="n"/>
      <c r="N352" s="106" t="n"/>
    </row>
    <row r="353">
      <c r="J353" s="87" t="n"/>
      <c r="L353" s="87" t="n"/>
      <c r="M353" s="105" t="n"/>
      <c r="N353" s="106" t="n"/>
    </row>
    <row r="354">
      <c r="J354" s="87" t="n"/>
      <c r="L354" s="87" t="n"/>
      <c r="M354" s="105" t="n"/>
      <c r="N354" s="106" t="n"/>
    </row>
    <row r="355">
      <c r="J355" s="87" t="n"/>
      <c r="L355" s="87" t="n"/>
      <c r="M355" s="105" t="n"/>
      <c r="N355" s="106" t="n"/>
    </row>
    <row r="356">
      <c r="J356" s="87" t="n"/>
      <c r="L356" s="87" t="n"/>
      <c r="M356" s="105" t="n"/>
      <c r="N356" s="106" t="n"/>
    </row>
    <row r="357">
      <c r="J357" s="87" t="n"/>
      <c r="L357" s="87" t="n"/>
      <c r="M357" s="105" t="n"/>
      <c r="N357" s="106" t="n"/>
    </row>
    <row r="358">
      <c r="J358" s="87" t="n"/>
      <c r="L358" s="87" t="n"/>
      <c r="M358" s="105" t="n"/>
      <c r="N358" s="106" t="n"/>
    </row>
    <row r="359">
      <c r="J359" s="87" t="n"/>
      <c r="L359" s="87" t="n"/>
      <c r="M359" s="105" t="n"/>
      <c r="N359" s="106" t="n"/>
    </row>
    <row r="360">
      <c r="J360" s="87" t="n"/>
      <c r="L360" s="87" t="n"/>
      <c r="M360" s="105" t="n"/>
      <c r="N360" s="106" t="n"/>
    </row>
    <row r="361">
      <c r="J361" s="87" t="n"/>
      <c r="L361" s="87" t="n"/>
      <c r="M361" s="105" t="n"/>
      <c r="N361" s="106" t="n"/>
    </row>
    <row r="362">
      <c r="J362" s="87" t="n"/>
      <c r="L362" s="87" t="n"/>
      <c r="M362" s="105" t="n"/>
      <c r="N362" s="106" t="n"/>
    </row>
    <row r="363">
      <c r="J363" s="87" t="n"/>
      <c r="L363" s="87" t="n"/>
      <c r="M363" s="105" t="n"/>
      <c r="N363" s="106" t="n"/>
    </row>
    <row r="364">
      <c r="J364" s="87" t="n"/>
      <c r="L364" s="87" t="n"/>
      <c r="M364" s="105" t="n"/>
      <c r="N364" s="106" t="n"/>
    </row>
    <row r="365">
      <c r="J365" s="87" t="n"/>
      <c r="L365" s="87" t="n"/>
      <c r="M365" s="105" t="n"/>
      <c r="N365" s="106" t="n"/>
    </row>
    <row r="366">
      <c r="J366" s="87" t="n"/>
      <c r="L366" s="87" t="n"/>
      <c r="M366" s="105" t="n"/>
      <c r="N366" s="106" t="n"/>
    </row>
    <row r="367">
      <c r="J367" s="87" t="n"/>
      <c r="L367" s="87" t="n"/>
      <c r="M367" s="105" t="n"/>
      <c r="N367" s="106" t="n"/>
    </row>
    <row r="368">
      <c r="J368" s="87" t="n"/>
      <c r="L368" s="87" t="n"/>
      <c r="M368" s="105" t="n"/>
      <c r="N368" s="106" t="n"/>
    </row>
    <row r="369">
      <c r="J369" s="87" t="n"/>
      <c r="L369" s="87" t="n"/>
      <c r="M369" s="105" t="n"/>
      <c r="N369" s="106" t="n"/>
    </row>
    <row r="370">
      <c r="J370" s="87" t="n"/>
      <c r="L370" s="87" t="n"/>
      <c r="M370" s="105" t="n"/>
      <c r="N370" s="106" t="n"/>
    </row>
    <row r="371">
      <c r="J371" s="87" t="n"/>
      <c r="L371" s="87" t="n"/>
      <c r="M371" s="105" t="n"/>
      <c r="N371" s="106" t="n"/>
    </row>
    <row r="372">
      <c r="J372" s="87" t="n"/>
      <c r="L372" s="87" t="n"/>
      <c r="M372" s="105" t="n"/>
      <c r="N372" s="106" t="n"/>
    </row>
    <row r="373">
      <c r="J373" s="87" t="n"/>
      <c r="L373" s="87" t="n"/>
      <c r="M373" s="105" t="n"/>
      <c r="N373" s="106" t="n"/>
    </row>
    <row r="374">
      <c r="J374" s="87" t="n"/>
      <c r="L374" s="87" t="n"/>
      <c r="M374" s="105" t="n"/>
      <c r="N374" s="106" t="n"/>
    </row>
    <row r="375">
      <c r="J375" s="87" t="n"/>
      <c r="L375" s="87" t="n"/>
      <c r="M375" s="105" t="n"/>
      <c r="N375" s="106" t="n"/>
    </row>
    <row r="376">
      <c r="J376" s="87" t="n"/>
      <c r="L376" s="87" t="n"/>
      <c r="M376" s="105" t="n"/>
      <c r="N376" s="106" t="n"/>
    </row>
    <row r="377">
      <c r="J377" s="87" t="n"/>
      <c r="L377" s="87" t="n"/>
      <c r="M377" s="105" t="n"/>
      <c r="N377" s="106" t="n"/>
    </row>
    <row r="378">
      <c r="J378" s="87" t="n"/>
      <c r="L378" s="87" t="n"/>
      <c r="M378" s="105" t="n"/>
      <c r="N378" s="106" t="n"/>
    </row>
    <row r="379">
      <c r="J379" s="87" t="n"/>
      <c r="L379" s="87" t="n"/>
      <c r="M379" s="105" t="n"/>
      <c r="N379" s="106" t="n"/>
    </row>
    <row r="380">
      <c r="J380" s="87" t="n"/>
      <c r="L380" s="87" t="n"/>
      <c r="M380" s="105" t="n"/>
      <c r="N380" s="106" t="n"/>
    </row>
    <row r="381">
      <c r="J381" s="87" t="n"/>
      <c r="L381" s="87" t="n"/>
      <c r="M381" s="105" t="n"/>
      <c r="N381" s="106" t="n"/>
    </row>
    <row r="382">
      <c r="J382" s="87" t="n"/>
      <c r="L382" s="87" t="n"/>
      <c r="M382" s="105" t="n"/>
      <c r="N382" s="106" t="n"/>
    </row>
    <row r="383">
      <c r="J383" s="87" t="n"/>
      <c r="L383" s="87" t="n"/>
      <c r="M383" s="105" t="n"/>
      <c r="N383" s="106" t="n"/>
    </row>
    <row r="384">
      <c r="J384" s="87" t="n"/>
      <c r="L384" s="87" t="n"/>
      <c r="M384" s="105" t="n"/>
      <c r="N384" s="106" t="n"/>
    </row>
    <row r="385">
      <c r="J385" s="87" t="n"/>
      <c r="L385" s="87" t="n"/>
      <c r="M385" s="105" t="n"/>
      <c r="N385" s="106" t="n"/>
    </row>
    <row r="386">
      <c r="J386" s="87" t="n"/>
      <c r="L386" s="87" t="n"/>
      <c r="M386" s="105" t="n"/>
      <c r="N386" s="106" t="n"/>
    </row>
    <row r="387">
      <c r="J387" s="87" t="n"/>
      <c r="L387" s="87" t="n"/>
      <c r="M387" s="105" t="n"/>
      <c r="N387" s="106" t="n"/>
    </row>
    <row r="388">
      <c r="J388" s="87" t="n"/>
      <c r="L388" s="87" t="n"/>
      <c r="M388" s="105" t="n"/>
      <c r="N388" s="106" t="n"/>
    </row>
    <row r="389">
      <c r="J389" s="87" t="n"/>
      <c r="L389" s="87" t="n"/>
      <c r="M389" s="105" t="n"/>
      <c r="N389" s="106" t="n"/>
    </row>
    <row r="390">
      <c r="J390" s="87" t="n"/>
      <c r="L390" s="87" t="n"/>
      <c r="M390" s="105" t="n"/>
      <c r="N390" s="106" t="n"/>
    </row>
    <row r="391">
      <c r="J391" s="87" t="n"/>
      <c r="L391" s="87" t="n"/>
      <c r="M391" s="105" t="n"/>
      <c r="N391" s="106" t="n"/>
    </row>
    <row r="392">
      <c r="J392" s="87" t="n"/>
      <c r="L392" s="87" t="n"/>
      <c r="M392" s="105" t="n"/>
      <c r="N392" s="106" t="n"/>
    </row>
    <row r="393">
      <c r="J393" s="87" t="n"/>
      <c r="L393" s="87" t="n"/>
      <c r="M393" s="105" t="n"/>
      <c r="N393" s="106" t="n"/>
    </row>
    <row r="394">
      <c r="J394" s="87" t="n"/>
      <c r="L394" s="87" t="n"/>
      <c r="M394" s="105" t="n"/>
      <c r="N394" s="106" t="n"/>
    </row>
    <row r="395">
      <c r="J395" s="87" t="n"/>
      <c r="L395" s="87" t="n"/>
      <c r="M395" s="105" t="n"/>
      <c r="N395" s="106" t="n"/>
    </row>
    <row r="396">
      <c r="J396" s="87" t="n"/>
      <c r="L396" s="87" t="n"/>
      <c r="M396" s="105" t="n"/>
      <c r="N396" s="106" t="n"/>
    </row>
    <row r="397">
      <c r="J397" s="87" t="n"/>
      <c r="L397" s="87" t="n"/>
      <c r="M397" s="105" t="n"/>
      <c r="N397" s="106" t="n"/>
    </row>
    <row r="398">
      <c r="J398" s="87" t="n"/>
      <c r="L398" s="87" t="n"/>
      <c r="M398" s="105" t="n"/>
      <c r="N398" s="106" t="n"/>
    </row>
    <row r="399">
      <c r="J399" s="87" t="n"/>
      <c r="L399" s="87" t="n"/>
      <c r="M399" s="105" t="n"/>
      <c r="N399" s="106" t="n"/>
    </row>
    <row r="400">
      <c r="J400" s="87" t="n"/>
      <c r="L400" s="87" t="n"/>
      <c r="M400" s="105" t="n"/>
      <c r="N400" s="106" t="n"/>
    </row>
    <row r="401">
      <c r="J401" s="87" t="n"/>
      <c r="L401" s="87" t="n"/>
      <c r="M401" s="105" t="n"/>
      <c r="N401" s="106" t="n"/>
    </row>
    <row r="402">
      <c r="J402" s="87" t="n"/>
      <c r="L402" s="87" t="n"/>
      <c r="M402" s="105" t="n"/>
      <c r="N402" s="106" t="n"/>
    </row>
    <row r="403">
      <c r="J403" s="87" t="n"/>
      <c r="L403" s="87" t="n"/>
      <c r="M403" s="105" t="n"/>
      <c r="N403" s="106" t="n"/>
    </row>
    <row r="404">
      <c r="J404" s="87" t="n"/>
      <c r="L404" s="87" t="n"/>
      <c r="M404" s="105" t="n"/>
      <c r="N404" s="106" t="n"/>
    </row>
    <row r="405">
      <c r="J405" s="87" t="n"/>
      <c r="L405" s="87" t="n"/>
      <c r="M405" s="105" t="n"/>
      <c r="N405" s="106" t="n"/>
    </row>
    <row r="406">
      <c r="J406" s="87" t="n"/>
      <c r="L406" s="87" t="n"/>
      <c r="M406" s="105" t="n"/>
      <c r="N406" s="106" t="n"/>
    </row>
    <row r="407">
      <c r="J407" s="87" t="n"/>
      <c r="L407" s="87" t="n"/>
      <c r="M407" s="105" t="n"/>
      <c r="N407" s="106" t="n"/>
    </row>
    <row r="408">
      <c r="J408" s="87" t="n"/>
      <c r="L408" s="87" t="n"/>
      <c r="M408" s="105" t="n"/>
      <c r="N408" s="106" t="n"/>
    </row>
    <row r="409">
      <c r="J409" s="87" t="n"/>
      <c r="L409" s="87" t="n"/>
      <c r="M409" s="105" t="n"/>
      <c r="N409" s="106" t="n"/>
    </row>
    <row r="410">
      <c r="J410" s="87" t="n"/>
      <c r="L410" s="87" t="n"/>
      <c r="M410" s="105" t="n"/>
      <c r="N410" s="106" t="n"/>
    </row>
    <row r="411">
      <c r="J411" s="87" t="n"/>
      <c r="L411" s="87" t="n"/>
      <c r="M411" s="105" t="n"/>
      <c r="N411" s="106" t="n"/>
    </row>
    <row r="412">
      <c r="J412" s="87" t="n"/>
      <c r="L412" s="87" t="n"/>
      <c r="M412" s="105" t="n"/>
      <c r="N412" s="106" t="n"/>
    </row>
    <row r="413">
      <c r="J413" s="87" t="n"/>
      <c r="L413" s="87" t="n"/>
      <c r="M413" s="105" t="n"/>
      <c r="N413" s="106" t="n"/>
    </row>
    <row r="414">
      <c r="J414" s="87" t="n"/>
      <c r="L414" s="87" t="n"/>
      <c r="M414" s="105" t="n"/>
      <c r="N414" s="106" t="n"/>
    </row>
    <row r="415">
      <c r="J415" s="87" t="n"/>
      <c r="L415" s="87" t="n"/>
      <c r="M415" s="105" t="n"/>
      <c r="N415" s="106" t="n"/>
    </row>
    <row r="416">
      <c r="J416" s="87" t="n"/>
      <c r="L416" s="87" t="n"/>
      <c r="M416" s="105" t="n"/>
      <c r="N416" s="106" t="n"/>
    </row>
    <row r="417">
      <c r="J417" s="87" t="n"/>
      <c r="L417" s="87" t="n"/>
      <c r="M417" s="105" t="n"/>
      <c r="N417" s="106" t="n"/>
    </row>
    <row r="418">
      <c r="J418" s="87" t="n"/>
      <c r="L418" s="87" t="n"/>
      <c r="M418" s="105" t="n"/>
      <c r="N418" s="106" t="n"/>
    </row>
    <row r="419">
      <c r="J419" s="87" t="n"/>
      <c r="L419" s="87" t="n"/>
      <c r="M419" s="105" t="n"/>
      <c r="N419" s="106" t="n"/>
    </row>
    <row r="420">
      <c r="J420" s="87" t="n"/>
      <c r="L420" s="87" t="n"/>
      <c r="M420" s="105" t="n"/>
      <c r="N420" s="106" t="n"/>
    </row>
    <row r="421">
      <c r="J421" s="87" t="n"/>
      <c r="L421" s="87" t="n"/>
      <c r="M421" s="105" t="n"/>
      <c r="N421" s="106" t="n"/>
    </row>
    <row r="422">
      <c r="J422" s="87" t="n"/>
      <c r="L422" s="87" t="n"/>
      <c r="M422" s="105" t="n"/>
      <c r="N422" s="106" t="n"/>
    </row>
    <row r="423">
      <c r="J423" s="87" t="n"/>
      <c r="L423" s="87" t="n"/>
      <c r="M423" s="105" t="n"/>
      <c r="N423" s="106" t="n"/>
    </row>
    <row r="424">
      <c r="J424" s="87" t="n"/>
      <c r="L424" s="87" t="n"/>
      <c r="M424" s="105" t="n"/>
      <c r="N424" s="106" t="n"/>
    </row>
    <row r="425">
      <c r="J425" s="87" t="n"/>
      <c r="L425" s="87" t="n"/>
      <c r="M425" s="105" t="n"/>
      <c r="N425" s="106" t="n"/>
    </row>
    <row r="426">
      <c r="J426" s="87" t="n"/>
      <c r="L426" s="87" t="n"/>
      <c r="M426" s="105" t="n"/>
      <c r="N426" s="106" t="n"/>
    </row>
    <row r="427">
      <c r="J427" s="87" t="n"/>
      <c r="L427" s="87" t="n"/>
      <c r="M427" s="105" t="n"/>
      <c r="N427" s="106" t="n"/>
    </row>
    <row r="428">
      <c r="J428" s="87" t="n"/>
      <c r="L428" s="87" t="n"/>
      <c r="M428" s="105" t="n"/>
      <c r="N428" s="106" t="n"/>
    </row>
    <row r="429">
      <c r="J429" s="87" t="n"/>
      <c r="L429" s="87" t="n"/>
      <c r="M429" s="105" t="n"/>
      <c r="N429" s="106" t="n"/>
    </row>
    <row r="430">
      <c r="J430" s="87" t="n"/>
      <c r="L430" s="87" t="n"/>
      <c r="M430" s="105" t="n"/>
      <c r="N430" s="106" t="n"/>
    </row>
    <row r="431">
      <c r="J431" s="87" t="n"/>
      <c r="L431" s="87" t="n"/>
      <c r="M431" s="105" t="n"/>
      <c r="N431" s="106" t="n"/>
    </row>
    <row r="432">
      <c r="J432" s="87" t="n"/>
      <c r="L432" s="87" t="n"/>
      <c r="M432" s="105" t="n"/>
      <c r="N432" s="106" t="n"/>
    </row>
    <row r="433">
      <c r="J433" s="87" t="n"/>
      <c r="L433" s="87" t="n"/>
      <c r="M433" s="105" t="n"/>
      <c r="N433" s="106" t="n"/>
    </row>
    <row r="434">
      <c r="J434" s="87" t="n"/>
      <c r="L434" s="87" t="n"/>
      <c r="M434" s="105" t="n"/>
      <c r="N434" s="106" t="n"/>
    </row>
    <row r="435">
      <c r="J435" s="87" t="n"/>
      <c r="L435" s="87" t="n"/>
      <c r="M435" s="105" t="n"/>
      <c r="N435" s="106" t="n"/>
    </row>
    <row r="436">
      <c r="J436" s="87" t="n"/>
      <c r="L436" s="87" t="n"/>
      <c r="M436" s="105" t="n"/>
      <c r="N436" s="106" t="n"/>
    </row>
    <row r="437">
      <c r="J437" s="87" t="n"/>
      <c r="L437" s="87" t="n"/>
      <c r="M437" s="105" t="n"/>
      <c r="N437" s="106" t="n"/>
    </row>
    <row r="438">
      <c r="J438" s="87" t="n"/>
      <c r="L438" s="87" t="n"/>
      <c r="M438" s="105" t="n"/>
      <c r="N438" s="106" t="n"/>
    </row>
    <row r="439">
      <c r="J439" s="87" t="n"/>
      <c r="L439" s="87" t="n"/>
      <c r="M439" s="105" t="n"/>
      <c r="N439" s="106" t="n"/>
    </row>
    <row r="440">
      <c r="J440" s="87" t="n"/>
      <c r="L440" s="87" t="n"/>
      <c r="M440" s="105" t="n"/>
      <c r="N440" s="106" t="n"/>
    </row>
    <row r="441">
      <c r="J441" s="87" t="n"/>
      <c r="L441" s="87" t="n"/>
      <c r="M441" s="105" t="n"/>
      <c r="N441" s="106" t="n"/>
    </row>
    <row r="442">
      <c r="J442" s="87" t="n"/>
      <c r="L442" s="87" t="n"/>
      <c r="M442" s="105" t="n"/>
      <c r="N442" s="106" t="n"/>
    </row>
    <row r="443">
      <c r="J443" s="87" t="n"/>
      <c r="L443" s="87" t="n"/>
      <c r="M443" s="105" t="n"/>
      <c r="N443" s="106" t="n"/>
    </row>
    <row r="444">
      <c r="J444" s="87" t="n"/>
      <c r="L444" s="87" t="n"/>
      <c r="M444" s="105" t="n"/>
      <c r="N444" s="106" t="n"/>
    </row>
    <row r="445">
      <c r="J445" s="87" t="n"/>
      <c r="L445" s="87" t="n"/>
      <c r="M445" s="105" t="n"/>
      <c r="N445" s="106" t="n"/>
    </row>
    <row r="446">
      <c r="J446" s="87" t="n"/>
      <c r="L446" s="87" t="n"/>
      <c r="M446" s="105" t="n"/>
      <c r="N446" s="106" t="n"/>
    </row>
    <row r="447">
      <c r="J447" s="87" t="n"/>
      <c r="L447" s="87" t="n"/>
      <c r="M447" s="105" t="n"/>
      <c r="N447" s="106" t="n"/>
    </row>
    <row r="448">
      <c r="J448" s="87" t="n"/>
      <c r="L448" s="87" t="n"/>
      <c r="M448" s="105" t="n"/>
      <c r="N448" s="106" t="n"/>
    </row>
    <row r="449">
      <c r="J449" s="87" t="n"/>
      <c r="L449" s="87" t="n"/>
      <c r="M449" s="105" t="n"/>
      <c r="N449" s="106" t="n"/>
    </row>
    <row r="450">
      <c r="J450" s="87" t="n"/>
      <c r="L450" s="87" t="n"/>
      <c r="M450" s="105" t="n"/>
      <c r="N450" s="106" t="n"/>
    </row>
    <row r="451">
      <c r="J451" s="87" t="n"/>
      <c r="L451" s="87" t="n"/>
      <c r="M451" s="105" t="n"/>
      <c r="N451" s="106" t="n"/>
    </row>
    <row r="452">
      <c r="J452" s="87" t="n"/>
      <c r="L452" s="87" t="n"/>
      <c r="M452" s="105" t="n"/>
      <c r="N452" s="106" t="n"/>
    </row>
    <row r="453">
      <c r="J453" s="87" t="n"/>
      <c r="L453" s="87" t="n"/>
      <c r="M453" s="105" t="n"/>
      <c r="N453" s="106" t="n"/>
    </row>
    <row r="454">
      <c r="J454" s="87" t="n"/>
      <c r="L454" s="87" t="n"/>
      <c r="M454" s="105" t="n"/>
      <c r="N454" s="106" t="n"/>
    </row>
    <row r="455">
      <c r="J455" s="87" t="n"/>
      <c r="L455" s="87" t="n"/>
      <c r="M455" s="105" t="n"/>
      <c r="N455" s="106" t="n"/>
    </row>
    <row r="456">
      <c r="J456" s="87" t="n"/>
      <c r="L456" s="87" t="n"/>
      <c r="M456" s="105" t="n"/>
      <c r="N456" s="106" t="n"/>
    </row>
    <row r="457">
      <c r="J457" s="87" t="n"/>
      <c r="L457" s="87" t="n"/>
      <c r="M457" s="105" t="n"/>
      <c r="N457" s="106" t="n"/>
    </row>
    <row r="458">
      <c r="J458" s="87" t="n"/>
      <c r="L458" s="87" t="n"/>
      <c r="M458" s="105" t="n"/>
      <c r="N458" s="106" t="n"/>
    </row>
    <row r="459">
      <c r="J459" s="87" t="n"/>
      <c r="L459" s="87" t="n"/>
      <c r="M459" s="105" t="n"/>
      <c r="N459" s="106" t="n"/>
    </row>
    <row r="460">
      <c r="J460" s="87" t="n"/>
      <c r="L460" s="87" t="n"/>
      <c r="M460" s="105" t="n"/>
      <c r="N460" s="106" t="n"/>
    </row>
    <row r="461">
      <c r="J461" s="87" t="n"/>
      <c r="L461" s="87" t="n"/>
      <c r="M461" s="105" t="n"/>
      <c r="N461" s="106" t="n"/>
    </row>
    <row r="462">
      <c r="J462" s="87" t="n"/>
      <c r="L462" s="87" t="n"/>
      <c r="M462" s="105" t="n"/>
      <c r="N462" s="106" t="n"/>
    </row>
    <row r="463">
      <c r="J463" s="87" t="n"/>
      <c r="L463" s="87" t="n"/>
      <c r="M463" s="105" t="n"/>
      <c r="N463" s="106" t="n"/>
    </row>
    <row r="464">
      <c r="J464" s="87" t="n"/>
      <c r="L464" s="87" t="n"/>
      <c r="M464" s="105" t="n"/>
      <c r="N464" s="106" t="n"/>
    </row>
    <row r="465">
      <c r="J465" s="87" t="n"/>
      <c r="L465" s="87" t="n"/>
      <c r="M465" s="105" t="n"/>
      <c r="N465" s="106" t="n"/>
    </row>
    <row r="466">
      <c r="J466" s="87" t="n"/>
      <c r="L466" s="87" t="n"/>
      <c r="M466" s="105" t="n"/>
      <c r="N466" s="106" t="n"/>
    </row>
    <row r="467">
      <c r="J467" s="87" t="n"/>
      <c r="L467" s="87" t="n"/>
      <c r="M467" s="105" t="n"/>
      <c r="N467" s="106" t="n"/>
    </row>
    <row r="468">
      <c r="J468" s="87" t="n"/>
      <c r="L468" s="87" t="n"/>
      <c r="M468" s="105" t="n"/>
      <c r="N468" s="106" t="n"/>
    </row>
    <row r="469">
      <c r="J469" s="87" t="n"/>
      <c r="L469" s="87" t="n"/>
      <c r="M469" s="105" t="n"/>
      <c r="N469" s="106" t="n"/>
    </row>
    <row r="470">
      <c r="J470" s="87" t="n"/>
      <c r="L470" s="87" t="n"/>
      <c r="M470" s="105" t="n"/>
      <c r="N470" s="106" t="n"/>
    </row>
    <row r="471">
      <c r="J471" s="87" t="n"/>
      <c r="L471" s="87" t="n"/>
      <c r="M471" s="105" t="n"/>
      <c r="N471" s="106" t="n"/>
    </row>
    <row r="472">
      <c r="J472" s="87" t="n"/>
      <c r="L472" s="87" t="n"/>
      <c r="M472" s="105" t="n"/>
      <c r="N472" s="106" t="n"/>
    </row>
    <row r="473">
      <c r="J473" s="87" t="n"/>
      <c r="L473" s="87" t="n"/>
      <c r="M473" s="105" t="n"/>
      <c r="N473" s="106" t="n"/>
    </row>
    <row r="474">
      <c r="J474" s="87" t="n"/>
      <c r="L474" s="87" t="n"/>
      <c r="M474" s="105" t="n"/>
      <c r="N474" s="106" t="n"/>
    </row>
    <row r="475">
      <c r="J475" s="87" t="n"/>
      <c r="L475" s="87" t="n"/>
      <c r="M475" s="105" t="n"/>
      <c r="N475" s="106" t="n"/>
    </row>
    <row r="476">
      <c r="J476" s="87" t="n"/>
      <c r="L476" s="87" t="n"/>
      <c r="M476" s="105" t="n"/>
      <c r="N476" s="106" t="n"/>
    </row>
    <row r="477">
      <c r="J477" s="87" t="n"/>
      <c r="L477" s="87" t="n"/>
      <c r="M477" s="105" t="n"/>
      <c r="N477" s="106" t="n"/>
    </row>
    <row r="478">
      <c r="J478" s="87" t="n"/>
      <c r="L478" s="87" t="n"/>
      <c r="M478" s="105" t="n"/>
      <c r="N478" s="106" t="n"/>
    </row>
    <row r="479">
      <c r="J479" s="87" t="n"/>
      <c r="L479" s="87" t="n"/>
      <c r="M479" s="105" t="n"/>
      <c r="N479" s="106" t="n"/>
    </row>
    <row r="480">
      <c r="J480" s="87" t="n"/>
      <c r="L480" s="87" t="n"/>
      <c r="M480" s="105" t="n"/>
      <c r="N480" s="106" t="n"/>
    </row>
    <row r="481">
      <c r="J481" s="87" t="n"/>
      <c r="L481" s="87" t="n"/>
      <c r="M481" s="105" t="n"/>
      <c r="N481" s="106" t="n"/>
    </row>
    <row r="482">
      <c r="J482" s="87" t="n"/>
      <c r="L482" s="87" t="n"/>
      <c r="M482" s="105" t="n"/>
      <c r="N482" s="106" t="n"/>
    </row>
    <row r="483">
      <c r="J483" s="87" t="n"/>
      <c r="L483" s="87" t="n"/>
      <c r="M483" s="105" t="n"/>
      <c r="N483" s="106" t="n"/>
    </row>
    <row r="484">
      <c r="J484" s="87" t="n"/>
      <c r="L484" s="87" t="n"/>
      <c r="M484" s="105" t="n"/>
      <c r="N484" s="106" t="n"/>
    </row>
    <row r="485">
      <c r="J485" s="87" t="n"/>
      <c r="L485" s="87" t="n"/>
      <c r="M485" s="105" t="n"/>
      <c r="N485" s="106" t="n"/>
    </row>
    <row r="486">
      <c r="J486" s="87" t="n"/>
      <c r="L486" s="87" t="n"/>
      <c r="M486" s="105" t="n"/>
      <c r="N486" s="106" t="n"/>
    </row>
    <row r="487">
      <c r="J487" s="87" t="n"/>
      <c r="L487" s="87" t="n"/>
      <c r="M487" s="105" t="n"/>
      <c r="N487" s="106" t="n"/>
    </row>
    <row r="488">
      <c r="J488" s="87" t="n"/>
      <c r="L488" s="87" t="n"/>
      <c r="M488" s="105" t="n"/>
      <c r="N488" s="106" t="n"/>
    </row>
    <row r="489">
      <c r="J489" s="87" t="n"/>
      <c r="L489" s="87" t="n"/>
      <c r="M489" s="105" t="n"/>
      <c r="N489" s="106" t="n"/>
    </row>
    <row r="490">
      <c r="J490" s="87" t="n"/>
      <c r="L490" s="87" t="n"/>
      <c r="M490" s="105" t="n"/>
      <c r="N490" s="106" t="n"/>
    </row>
    <row r="491">
      <c r="J491" s="87" t="n"/>
      <c r="L491" s="87" t="n"/>
      <c r="M491" s="105" t="n"/>
      <c r="N491" s="106" t="n"/>
    </row>
    <row r="492">
      <c r="J492" s="87" t="n"/>
      <c r="L492" s="87" t="n"/>
      <c r="M492" s="105" t="n"/>
      <c r="N492" s="106" t="n"/>
    </row>
    <row r="493">
      <c r="J493" s="87" t="n"/>
      <c r="L493" s="87" t="n"/>
      <c r="M493" s="105" t="n"/>
      <c r="N493" s="106" t="n"/>
    </row>
    <row r="494">
      <c r="J494" s="87" t="n"/>
      <c r="L494" s="87" t="n"/>
      <c r="M494" s="105" t="n"/>
      <c r="N494" s="106" t="n"/>
    </row>
    <row r="495">
      <c r="J495" s="87" t="n"/>
      <c r="L495" s="87" t="n"/>
      <c r="M495" s="105" t="n"/>
      <c r="N495" s="106" t="n"/>
    </row>
    <row r="496">
      <c r="J496" s="87" t="n"/>
      <c r="L496" s="87" t="n"/>
      <c r="M496" s="105" t="n"/>
      <c r="N496" s="106" t="n"/>
    </row>
    <row r="497">
      <c r="J497" s="87" t="n"/>
      <c r="L497" s="87" t="n"/>
      <c r="M497" s="105" t="n"/>
      <c r="N497" s="106" t="n"/>
    </row>
    <row r="498">
      <c r="J498" s="87" t="n"/>
      <c r="L498" s="87" t="n"/>
      <c r="M498" s="105" t="n"/>
      <c r="N498" s="106" t="n"/>
    </row>
    <row r="499">
      <c r="J499" s="87" t="n"/>
      <c r="L499" s="87" t="n"/>
      <c r="M499" s="105" t="n"/>
      <c r="N499" s="106" t="n"/>
    </row>
    <row r="500">
      <c r="J500" s="87" t="n"/>
      <c r="L500" s="87" t="n"/>
      <c r="M500" s="105" t="n"/>
      <c r="N500" s="106" t="n"/>
    </row>
    <row r="501">
      <c r="J501" s="87" t="n"/>
      <c r="L501" s="87" t="n"/>
      <c r="M501" s="105" t="n"/>
      <c r="N501" s="106" t="n"/>
    </row>
    <row r="502">
      <c r="J502" s="87" t="n"/>
      <c r="L502" s="87" t="n"/>
      <c r="M502" s="105" t="n"/>
      <c r="N502" s="106" t="n"/>
    </row>
    <row r="503">
      <c r="J503" s="87" t="n"/>
      <c r="L503" s="87" t="n"/>
      <c r="M503" s="105" t="n"/>
      <c r="N503" s="106" t="n"/>
    </row>
    <row r="504">
      <c r="J504" s="87" t="n"/>
      <c r="L504" s="87" t="n"/>
      <c r="M504" s="105" t="n"/>
      <c r="N504" s="106" t="n"/>
    </row>
    <row r="505">
      <c r="J505" s="87" t="n"/>
      <c r="L505" s="87" t="n"/>
      <c r="M505" s="105" t="n"/>
      <c r="N505" s="106" t="n"/>
    </row>
    <row r="506">
      <c r="J506" s="87" t="n"/>
      <c r="L506" s="87" t="n"/>
      <c r="M506" s="105" t="n"/>
      <c r="N506" s="106" t="n"/>
    </row>
    <row r="507">
      <c r="J507" s="87" t="n"/>
      <c r="L507" s="87" t="n"/>
      <c r="M507" s="105" t="n"/>
      <c r="N507" s="106" t="n"/>
    </row>
    <row r="508">
      <c r="J508" s="87" t="n"/>
      <c r="L508" s="87" t="n"/>
      <c r="M508" s="105" t="n"/>
      <c r="N508" s="106" t="n"/>
    </row>
    <row r="509">
      <c r="J509" s="87" t="n"/>
      <c r="L509" s="87" t="n"/>
      <c r="M509" s="105" t="n"/>
      <c r="N509" s="106" t="n"/>
    </row>
    <row r="510">
      <c r="J510" s="87" t="n"/>
      <c r="L510" s="87" t="n"/>
      <c r="M510" s="105" t="n"/>
      <c r="N510" s="106" t="n"/>
    </row>
    <row r="511">
      <c r="J511" s="87" t="n"/>
      <c r="L511" s="87" t="n"/>
      <c r="M511" s="105" t="n"/>
      <c r="N511" s="106" t="n"/>
    </row>
    <row r="512">
      <c r="J512" s="87" t="n"/>
      <c r="L512" s="87" t="n"/>
      <c r="M512" s="105" t="n"/>
      <c r="N512" s="106" t="n"/>
    </row>
    <row r="513">
      <c r="J513" s="87" t="n"/>
      <c r="L513" s="87" t="n"/>
      <c r="M513" s="105" t="n"/>
      <c r="N513" s="106" t="n"/>
    </row>
    <row r="514">
      <c r="J514" s="87" t="n"/>
      <c r="L514" s="87" t="n"/>
      <c r="M514" s="105" t="n"/>
      <c r="N514" s="106" t="n"/>
    </row>
    <row r="515">
      <c r="J515" s="87" t="n"/>
      <c r="L515" s="87" t="n"/>
      <c r="M515" s="105" t="n"/>
      <c r="N515" s="106" t="n"/>
    </row>
    <row r="516">
      <c r="J516" s="87" t="n"/>
      <c r="L516" s="87" t="n"/>
      <c r="M516" s="105" t="n"/>
      <c r="N516" s="106" t="n"/>
    </row>
    <row r="517">
      <c r="J517" s="87" t="n"/>
      <c r="L517" s="87" t="n"/>
      <c r="M517" s="105" t="n"/>
      <c r="N517" s="106" t="n"/>
    </row>
    <row r="518">
      <c r="J518" s="87" t="n"/>
      <c r="L518" s="87" t="n"/>
      <c r="M518" s="105" t="n"/>
      <c r="N518" s="106" t="n"/>
    </row>
    <row r="519">
      <c r="J519" s="87" t="n"/>
      <c r="L519" s="87" t="n"/>
      <c r="M519" s="105" t="n"/>
      <c r="N519" s="106" t="n"/>
    </row>
    <row r="520">
      <c r="J520" s="87" t="n"/>
      <c r="L520" s="87" t="n"/>
      <c r="M520" s="105" t="n"/>
      <c r="N520" s="106" t="n"/>
    </row>
    <row r="521">
      <c r="J521" s="87" t="n"/>
      <c r="L521" s="87" t="n"/>
      <c r="M521" s="105" t="n"/>
      <c r="N521" s="106" t="n"/>
    </row>
    <row r="522">
      <c r="J522" s="87" t="n"/>
      <c r="L522" s="87" t="n"/>
      <c r="M522" s="105" t="n"/>
      <c r="N522" s="106" t="n"/>
    </row>
    <row r="523">
      <c r="J523" s="87" t="n"/>
      <c r="L523" s="87" t="n"/>
      <c r="M523" s="105" t="n"/>
      <c r="N523" s="106" t="n"/>
    </row>
    <row r="524">
      <c r="J524" s="87" t="n"/>
      <c r="L524" s="87" t="n"/>
      <c r="M524" s="105" t="n"/>
      <c r="N524" s="106" t="n"/>
    </row>
    <row r="525">
      <c r="J525" s="87" t="n"/>
      <c r="L525" s="87" t="n"/>
      <c r="M525" s="105" t="n"/>
      <c r="N525" s="106" t="n"/>
    </row>
    <row r="526">
      <c r="J526" s="87" t="n"/>
      <c r="L526" s="87" t="n"/>
      <c r="M526" s="105" t="n"/>
      <c r="N526" s="106" t="n"/>
    </row>
    <row r="527">
      <c r="J527" s="87" t="n"/>
      <c r="L527" s="87" t="n"/>
      <c r="M527" s="105" t="n"/>
      <c r="N527" s="106" t="n"/>
    </row>
    <row r="528">
      <c r="J528" s="87" t="n"/>
      <c r="L528" s="87" t="n"/>
      <c r="M528" s="105" t="n"/>
      <c r="N528" s="106" t="n"/>
    </row>
    <row r="529">
      <c r="J529" s="87" t="n"/>
      <c r="L529" s="87" t="n"/>
      <c r="M529" s="105" t="n"/>
      <c r="N529" s="106" t="n"/>
    </row>
    <row r="530">
      <c r="J530" s="87" t="n"/>
      <c r="L530" s="87" t="n"/>
      <c r="M530" s="105" t="n"/>
      <c r="N530" s="106" t="n"/>
    </row>
    <row r="531">
      <c r="J531" s="87" t="n"/>
      <c r="L531" s="87" t="n"/>
      <c r="M531" s="105" t="n"/>
      <c r="N531" s="106" t="n"/>
    </row>
    <row r="532">
      <c r="J532" s="87" t="n"/>
      <c r="L532" s="87" t="n"/>
      <c r="M532" s="105" t="n"/>
      <c r="N532" s="106" t="n"/>
    </row>
    <row r="533">
      <c r="J533" s="87" t="n"/>
      <c r="L533" s="87" t="n"/>
      <c r="M533" s="105" t="n"/>
      <c r="N533" s="106" t="n"/>
    </row>
    <row r="534">
      <c r="J534" s="87" t="n"/>
      <c r="L534" s="87" t="n"/>
      <c r="M534" s="105" t="n"/>
      <c r="N534" s="106" t="n"/>
    </row>
    <row r="535">
      <c r="J535" s="87" t="n"/>
      <c r="L535" s="87" t="n"/>
      <c r="M535" s="105" t="n"/>
      <c r="N535" s="106" t="n"/>
    </row>
    <row r="536">
      <c r="J536" s="87" t="n"/>
      <c r="L536" s="87" t="n"/>
      <c r="M536" s="105" t="n"/>
      <c r="N536" s="106" t="n"/>
    </row>
    <row r="537">
      <c r="J537" s="87" t="n"/>
      <c r="L537" s="87" t="n"/>
      <c r="M537" s="105" t="n"/>
      <c r="N537" s="106" t="n"/>
    </row>
    <row r="538">
      <c r="J538" s="87" t="n"/>
      <c r="L538" s="87" t="n"/>
      <c r="M538" s="105" t="n"/>
      <c r="N538" s="106" t="n"/>
    </row>
    <row r="539">
      <c r="J539" s="87" t="n"/>
      <c r="L539" s="87" t="n"/>
      <c r="M539" s="105" t="n"/>
      <c r="N539" s="106" t="n"/>
    </row>
    <row r="540">
      <c r="J540" s="87" t="n"/>
      <c r="L540" s="87" t="n"/>
      <c r="M540" s="105" t="n"/>
      <c r="N540" s="106" t="n"/>
    </row>
    <row r="541">
      <c r="J541" s="87" t="n"/>
      <c r="L541" s="87" t="n"/>
      <c r="M541" s="105" t="n"/>
      <c r="N541" s="106" t="n"/>
    </row>
    <row r="542">
      <c r="J542" s="87" t="n"/>
      <c r="L542" s="87" t="n"/>
      <c r="M542" s="105" t="n"/>
      <c r="N542" s="106" t="n"/>
    </row>
    <row r="543">
      <c r="J543" s="87" t="n"/>
      <c r="L543" s="87" t="n"/>
      <c r="M543" s="105" t="n"/>
      <c r="N543" s="106" t="n"/>
    </row>
    <row r="544">
      <c r="J544" s="87" t="n"/>
      <c r="L544" s="87" t="n"/>
      <c r="M544" s="105" t="n"/>
      <c r="N544" s="106" t="n"/>
    </row>
    <row r="545">
      <c r="J545" s="87" t="n"/>
      <c r="L545" s="87" t="n"/>
      <c r="M545" s="105" t="n"/>
      <c r="N545" s="106" t="n"/>
    </row>
    <row r="546">
      <c r="J546" s="87" t="n"/>
      <c r="L546" s="87" t="n"/>
      <c r="M546" s="105" t="n"/>
      <c r="N546" s="106" t="n"/>
    </row>
    <row r="547">
      <c r="J547" s="87" t="n"/>
      <c r="L547" s="87" t="n"/>
      <c r="M547" s="105" t="n"/>
      <c r="N547" s="106" t="n"/>
    </row>
    <row r="548">
      <c r="J548" s="87" t="n"/>
      <c r="L548" s="87" t="n"/>
      <c r="M548" s="105" t="n"/>
      <c r="N548" s="106" t="n"/>
    </row>
    <row r="549">
      <c r="J549" s="87" t="n"/>
      <c r="L549" s="87" t="n"/>
      <c r="M549" s="105" t="n"/>
      <c r="N549" s="106" t="n"/>
    </row>
    <row r="550">
      <c r="J550" s="87" t="n"/>
      <c r="L550" s="87" t="n"/>
      <c r="M550" s="105" t="n"/>
      <c r="N550" s="106" t="n"/>
    </row>
    <row r="551">
      <c r="J551" s="87" t="n"/>
      <c r="L551" s="87" t="n"/>
      <c r="M551" s="105" t="n"/>
      <c r="N551" s="106" t="n"/>
    </row>
    <row r="552">
      <c r="J552" s="87" t="n"/>
      <c r="L552" s="87" t="n"/>
      <c r="M552" s="105" t="n"/>
      <c r="N552" s="106" t="n"/>
    </row>
    <row r="553">
      <c r="J553" s="87" t="n"/>
      <c r="L553" s="87" t="n"/>
      <c r="M553" s="105" t="n"/>
      <c r="N553" s="106" t="n"/>
    </row>
    <row r="554">
      <c r="J554" s="87" t="n"/>
      <c r="L554" s="87" t="n"/>
      <c r="M554" s="105" t="n"/>
      <c r="N554" s="106" t="n"/>
    </row>
    <row r="555">
      <c r="J555" s="87" t="n"/>
      <c r="L555" s="87" t="n"/>
      <c r="M555" s="105" t="n"/>
      <c r="N555" s="106" t="n"/>
    </row>
    <row r="556">
      <c r="J556" s="87" t="n"/>
      <c r="L556" s="87" t="n"/>
      <c r="M556" s="105" t="n"/>
      <c r="N556" s="106" t="n"/>
    </row>
    <row r="557">
      <c r="J557" s="87" t="n"/>
      <c r="L557" s="87" t="n"/>
      <c r="M557" s="105" t="n"/>
      <c r="N557" s="106" t="n"/>
    </row>
    <row r="558">
      <c r="J558" s="87" t="n"/>
      <c r="L558" s="87" t="n"/>
      <c r="M558" s="105" t="n"/>
      <c r="N558" s="106" t="n"/>
    </row>
    <row r="559">
      <c r="J559" s="87" t="n"/>
      <c r="L559" s="87" t="n"/>
      <c r="M559" s="105" t="n"/>
      <c r="N559" s="106" t="n"/>
    </row>
    <row r="560">
      <c r="J560" s="87" t="n"/>
      <c r="L560" s="87" t="n"/>
      <c r="M560" s="105" t="n"/>
      <c r="N560" s="106" t="n"/>
    </row>
    <row r="561">
      <c r="J561" s="87" t="n"/>
      <c r="L561" s="87" t="n"/>
      <c r="M561" s="105" t="n"/>
      <c r="N561" s="106" t="n"/>
    </row>
    <row r="562">
      <c r="J562" s="87" t="n"/>
      <c r="L562" s="87" t="n"/>
      <c r="M562" s="105" t="n"/>
      <c r="N562" s="106" t="n"/>
    </row>
    <row r="563">
      <c r="J563" s="87" t="n"/>
      <c r="L563" s="87" t="n"/>
      <c r="M563" s="105" t="n"/>
      <c r="N563" s="106" t="n"/>
    </row>
    <row r="564">
      <c r="J564" s="87" t="n"/>
      <c r="L564" s="87" t="n"/>
      <c r="M564" s="105" t="n"/>
      <c r="N564" s="106" t="n"/>
    </row>
    <row r="565">
      <c r="J565" s="87" t="n"/>
      <c r="L565" s="87" t="n"/>
      <c r="M565" s="105" t="n"/>
      <c r="N565" s="106" t="n"/>
    </row>
    <row r="566">
      <c r="J566" s="87" t="n"/>
      <c r="L566" s="87" t="n"/>
      <c r="M566" s="105" t="n"/>
      <c r="N566" s="106" t="n"/>
    </row>
    <row r="567">
      <c r="J567" s="87" t="n"/>
      <c r="L567" s="87" t="n"/>
      <c r="M567" s="105" t="n"/>
      <c r="N567" s="106" t="n"/>
    </row>
    <row r="568">
      <c r="J568" s="87" t="n"/>
      <c r="L568" s="87" t="n"/>
      <c r="M568" s="105" t="n"/>
      <c r="N568" s="106" t="n"/>
    </row>
    <row r="569">
      <c r="J569" s="87" t="n"/>
      <c r="L569" s="87" t="n"/>
      <c r="M569" s="105" t="n"/>
      <c r="N569" s="106" t="n"/>
    </row>
    <row r="570">
      <c r="J570" s="87" t="n"/>
      <c r="L570" s="87" t="n"/>
      <c r="M570" s="105" t="n"/>
      <c r="N570" s="106" t="n"/>
    </row>
    <row r="571">
      <c r="J571" s="87" t="n"/>
      <c r="L571" s="87" t="n"/>
      <c r="M571" s="105" t="n"/>
      <c r="N571" s="106" t="n"/>
    </row>
    <row r="572">
      <c r="J572" s="87" t="n"/>
      <c r="L572" s="87" t="n"/>
      <c r="M572" s="105" t="n"/>
      <c r="N572" s="106" t="n"/>
    </row>
    <row r="573">
      <c r="J573" s="87" t="n"/>
      <c r="L573" s="87" t="n"/>
      <c r="M573" s="105" t="n"/>
      <c r="N573" s="106" t="n"/>
    </row>
    <row r="574">
      <c r="J574" s="87" t="n"/>
      <c r="L574" s="87" t="n"/>
      <c r="M574" s="105" t="n"/>
      <c r="N574" s="106" t="n"/>
    </row>
    <row r="575">
      <c r="J575" s="87" t="n"/>
      <c r="L575" s="87" t="n"/>
      <c r="M575" s="105" t="n"/>
      <c r="N575" s="106" t="n"/>
    </row>
    <row r="576">
      <c r="J576" s="87" t="n"/>
      <c r="L576" s="87" t="n"/>
      <c r="M576" s="105" t="n"/>
      <c r="N576" s="106" t="n"/>
    </row>
    <row r="577">
      <c r="J577" s="87" t="n"/>
      <c r="L577" s="87" t="n"/>
      <c r="M577" s="105" t="n"/>
      <c r="N577" s="106" t="n"/>
    </row>
    <row r="578">
      <c r="J578" s="87" t="n"/>
      <c r="L578" s="87" t="n"/>
      <c r="M578" s="105" t="n"/>
      <c r="N578" s="106" t="n"/>
    </row>
    <row r="579">
      <c r="J579" s="87" t="n"/>
      <c r="L579" s="87" t="n"/>
      <c r="M579" s="105" t="n"/>
      <c r="N579" s="106" t="n"/>
    </row>
    <row r="580">
      <c r="J580" s="87" t="n"/>
      <c r="L580" s="87" t="n"/>
      <c r="M580" s="105" t="n"/>
      <c r="N580" s="106" t="n"/>
    </row>
    <row r="581">
      <c r="J581" s="87" t="n"/>
      <c r="L581" s="87" t="n"/>
      <c r="M581" s="105" t="n"/>
      <c r="N581" s="106" t="n"/>
    </row>
    <row r="582">
      <c r="J582" s="87" t="n"/>
      <c r="L582" s="87" t="n"/>
      <c r="M582" s="105" t="n"/>
      <c r="N582" s="106" t="n"/>
    </row>
    <row r="583">
      <c r="J583" s="87" t="n"/>
      <c r="L583" s="87" t="n"/>
      <c r="M583" s="105" t="n"/>
      <c r="N583" s="106" t="n"/>
    </row>
    <row r="584">
      <c r="J584" s="87" t="n"/>
      <c r="L584" s="87" t="n"/>
      <c r="M584" s="105" t="n"/>
      <c r="N584" s="106" t="n"/>
    </row>
    <row r="585">
      <c r="J585" s="87" t="n"/>
      <c r="L585" s="87" t="n"/>
      <c r="M585" s="105" t="n"/>
      <c r="N585" s="106" t="n"/>
    </row>
    <row r="586">
      <c r="J586" s="87" t="n"/>
      <c r="L586" s="87" t="n"/>
      <c r="M586" s="105" t="n"/>
      <c r="N586" s="106" t="n"/>
    </row>
    <row r="587">
      <c r="J587" s="87" t="n"/>
      <c r="L587" s="87" t="n"/>
      <c r="M587" s="105" t="n"/>
      <c r="N587" s="106" t="n"/>
    </row>
    <row r="588">
      <c r="J588" s="87" t="n"/>
      <c r="L588" s="87" t="n"/>
      <c r="M588" s="105" t="n"/>
      <c r="N588" s="106" t="n"/>
    </row>
    <row r="589">
      <c r="J589" s="87" t="n"/>
      <c r="L589" s="87" t="n"/>
      <c r="M589" s="105" t="n"/>
      <c r="N589" s="106" t="n"/>
    </row>
    <row r="590">
      <c r="J590" s="87" t="n"/>
      <c r="L590" s="87" t="n"/>
      <c r="M590" s="105" t="n"/>
      <c r="N590" s="106" t="n"/>
    </row>
    <row r="591">
      <c r="J591" s="87" t="n"/>
      <c r="L591" s="87" t="n"/>
      <c r="M591" s="105" t="n"/>
      <c r="N591" s="106" t="n"/>
    </row>
    <row r="592">
      <c r="J592" s="87" t="n"/>
      <c r="L592" s="87" t="n"/>
      <c r="M592" s="105" t="n"/>
      <c r="N592" s="106" t="n"/>
    </row>
    <row r="593">
      <c r="J593" s="87" t="n"/>
      <c r="L593" s="87" t="n"/>
      <c r="M593" s="105" t="n"/>
      <c r="N593" s="106" t="n"/>
    </row>
    <row r="594">
      <c r="J594" s="87" t="n"/>
      <c r="L594" s="87" t="n"/>
      <c r="M594" s="105" t="n"/>
      <c r="N594" s="106" t="n"/>
    </row>
    <row r="595">
      <c r="J595" s="87" t="n"/>
      <c r="L595" s="87" t="n"/>
      <c r="M595" s="105" t="n"/>
      <c r="N595" s="106" t="n"/>
    </row>
    <row r="596">
      <c r="J596" s="87" t="n"/>
      <c r="L596" s="87" t="n"/>
      <c r="M596" s="105" t="n"/>
      <c r="N596" s="106" t="n"/>
    </row>
    <row r="597">
      <c r="J597" s="87" t="n"/>
      <c r="L597" s="87" t="n"/>
      <c r="M597" s="105" t="n"/>
      <c r="N597" s="106" t="n"/>
    </row>
    <row r="598">
      <c r="J598" s="87" t="n"/>
      <c r="L598" s="87" t="n"/>
      <c r="M598" s="105" t="n"/>
      <c r="N598" s="106" t="n"/>
    </row>
    <row r="599">
      <c r="J599" s="87" t="n"/>
      <c r="L599" s="87" t="n"/>
      <c r="M599" s="105" t="n"/>
      <c r="N599" s="106" t="n"/>
    </row>
    <row r="600">
      <c r="J600" s="87" t="n"/>
      <c r="L600" s="87" t="n"/>
      <c r="M600" s="105" t="n"/>
      <c r="N600" s="106" t="n"/>
    </row>
    <row r="601">
      <c r="J601" s="87" t="n"/>
      <c r="L601" s="87" t="n"/>
      <c r="M601" s="105" t="n"/>
      <c r="N601" s="106" t="n"/>
    </row>
    <row r="602">
      <c r="J602" s="87" t="n"/>
      <c r="L602" s="87" t="n"/>
      <c r="M602" s="105" t="n"/>
      <c r="N602" s="106" t="n"/>
    </row>
    <row r="603">
      <c r="J603" s="87" t="n"/>
      <c r="L603" s="87" t="n"/>
      <c r="M603" s="105" t="n"/>
      <c r="N603" s="106" t="n"/>
    </row>
    <row r="604">
      <c r="J604" s="87" t="n"/>
      <c r="L604" s="87" t="n"/>
      <c r="M604" s="105" t="n"/>
      <c r="N604" s="106" t="n"/>
    </row>
    <row r="605">
      <c r="J605" s="87" t="n"/>
      <c r="L605" s="87" t="n"/>
      <c r="M605" s="105" t="n"/>
      <c r="N605" s="106" t="n"/>
    </row>
    <row r="606">
      <c r="J606" s="87" t="n"/>
      <c r="L606" s="87" t="n"/>
      <c r="M606" s="105" t="n"/>
      <c r="N606" s="106" t="n"/>
    </row>
    <row r="607">
      <c r="J607" s="87" t="n"/>
      <c r="L607" s="87" t="n"/>
      <c r="M607" s="105" t="n"/>
      <c r="N607" s="106" t="n"/>
    </row>
    <row r="608">
      <c r="J608" s="87" t="n"/>
      <c r="L608" s="87" t="n"/>
      <c r="M608" s="105" t="n"/>
      <c r="N608" s="106" t="n"/>
    </row>
    <row r="609">
      <c r="J609" s="87" t="n"/>
      <c r="L609" s="87" t="n"/>
      <c r="M609" s="105" t="n"/>
      <c r="N609" s="106" t="n"/>
    </row>
    <row r="610">
      <c r="J610" s="87" t="n"/>
      <c r="L610" s="87" t="n"/>
      <c r="M610" s="105" t="n"/>
      <c r="N610" s="106" t="n"/>
    </row>
    <row r="611">
      <c r="J611" s="87" t="n"/>
      <c r="L611" s="87" t="n"/>
      <c r="M611" s="105" t="n"/>
      <c r="N611" s="106" t="n"/>
    </row>
    <row r="612">
      <c r="J612" s="87" t="n"/>
      <c r="L612" s="87" t="n"/>
      <c r="M612" s="105" t="n"/>
      <c r="N612" s="106" t="n"/>
    </row>
    <row r="613">
      <c r="J613" s="87" t="n"/>
      <c r="L613" s="87" t="n"/>
      <c r="M613" s="105" t="n"/>
      <c r="N613" s="106" t="n"/>
    </row>
    <row r="614">
      <c r="J614" s="87" t="n"/>
      <c r="L614" s="87" t="n"/>
      <c r="M614" s="105" t="n"/>
      <c r="N614" s="106" t="n"/>
    </row>
    <row r="615">
      <c r="J615" s="87" t="n"/>
      <c r="L615" s="87" t="n"/>
      <c r="M615" s="105" t="n"/>
      <c r="N615" s="106" t="n"/>
    </row>
    <row r="616">
      <c r="J616" s="87" t="n"/>
      <c r="L616" s="87" t="n"/>
      <c r="M616" s="105" t="n"/>
      <c r="N616" s="106" t="n"/>
    </row>
    <row r="617">
      <c r="J617" s="87" t="n"/>
      <c r="L617" s="87" t="n"/>
      <c r="M617" s="105" t="n"/>
      <c r="N617" s="106" t="n"/>
    </row>
    <row r="618">
      <c r="J618" s="87" t="n"/>
      <c r="L618" s="87" t="n"/>
      <c r="M618" s="105" t="n"/>
      <c r="N618" s="106" t="n"/>
    </row>
    <row r="619">
      <c r="J619" s="87" t="n"/>
      <c r="L619" s="87" t="n"/>
      <c r="M619" s="105" t="n"/>
      <c r="N619" s="106" t="n"/>
    </row>
    <row r="620">
      <c r="J620" s="87" t="n"/>
      <c r="L620" s="87" t="n"/>
      <c r="M620" s="105" t="n"/>
      <c r="N620" s="106" t="n"/>
    </row>
    <row r="621">
      <c r="J621" s="87" t="n"/>
      <c r="L621" s="87" t="n"/>
      <c r="M621" s="105" t="n"/>
      <c r="N621" s="106" t="n"/>
    </row>
    <row r="622">
      <c r="J622" s="87" t="n"/>
      <c r="L622" s="87" t="n"/>
      <c r="M622" s="105" t="n"/>
      <c r="N622" s="106" t="n"/>
    </row>
    <row r="623">
      <c r="J623" s="87" t="n"/>
      <c r="L623" s="87" t="n"/>
      <c r="M623" s="105" t="n"/>
      <c r="N623" s="106" t="n"/>
    </row>
    <row r="624">
      <c r="J624" s="87" t="n"/>
      <c r="L624" s="87" t="n"/>
      <c r="M624" s="105" t="n"/>
      <c r="N624" s="106" t="n"/>
    </row>
    <row r="625">
      <c r="J625" s="87" t="n"/>
      <c r="L625" s="87" t="n"/>
      <c r="M625" s="105" t="n"/>
      <c r="N625" s="106" t="n"/>
    </row>
    <row r="626">
      <c r="J626" s="87" t="n"/>
      <c r="L626" s="87" t="n"/>
      <c r="M626" s="105" t="n"/>
      <c r="N626" s="106" t="n"/>
    </row>
    <row r="627">
      <c r="J627" s="87" t="n"/>
      <c r="L627" s="87" t="n"/>
      <c r="M627" s="105" t="n"/>
      <c r="N627" s="106" t="n"/>
    </row>
    <row r="628">
      <c r="J628" s="87" t="n"/>
      <c r="L628" s="87" t="n"/>
      <c r="M628" s="105" t="n"/>
      <c r="N628" s="106" t="n"/>
    </row>
    <row r="629">
      <c r="J629" s="87" t="n"/>
      <c r="L629" s="87" t="n"/>
      <c r="M629" s="105" t="n"/>
      <c r="N629" s="106" t="n"/>
    </row>
    <row r="630">
      <c r="J630" s="87" t="n"/>
      <c r="L630" s="87" t="n"/>
      <c r="M630" s="105" t="n"/>
      <c r="N630" s="106" t="n"/>
    </row>
    <row r="631">
      <c r="J631" s="87" t="n"/>
      <c r="L631" s="87" t="n"/>
      <c r="M631" s="105" t="n"/>
      <c r="N631" s="106" t="n"/>
    </row>
    <row r="632">
      <c r="J632" s="87" t="n"/>
      <c r="L632" s="87" t="n"/>
      <c r="M632" s="105" t="n"/>
      <c r="N632" s="106" t="n"/>
    </row>
    <row r="633">
      <c r="J633" s="87" t="n"/>
      <c r="L633" s="87" t="n"/>
      <c r="M633" s="105" t="n"/>
      <c r="N633" s="106" t="n"/>
    </row>
    <row r="634">
      <c r="J634" s="87" t="n"/>
      <c r="L634" s="87" t="n"/>
      <c r="M634" s="105" t="n"/>
      <c r="N634" s="106" t="n"/>
    </row>
    <row r="635">
      <c r="J635" s="87" t="n"/>
      <c r="L635" s="87" t="n"/>
      <c r="M635" s="105" t="n"/>
      <c r="N635" s="106" t="n"/>
    </row>
    <row r="636">
      <c r="J636" s="87" t="n"/>
      <c r="L636" s="87" t="n"/>
      <c r="M636" s="105" t="n"/>
      <c r="N636" s="106" t="n"/>
    </row>
    <row r="637">
      <c r="J637" s="87" t="n"/>
      <c r="L637" s="87" t="n"/>
      <c r="M637" s="105" t="n"/>
      <c r="N637" s="106" t="n"/>
    </row>
    <row r="638">
      <c r="J638" s="87" t="n"/>
      <c r="L638" s="87" t="n"/>
      <c r="M638" s="105" t="n"/>
      <c r="N638" s="106" t="n"/>
    </row>
    <row r="639">
      <c r="J639" s="87" t="n"/>
      <c r="L639" s="87" t="n"/>
      <c r="M639" s="105" t="n"/>
      <c r="N639" s="106" t="n"/>
    </row>
    <row r="640">
      <c r="J640" s="87" t="n"/>
      <c r="L640" s="87" t="n"/>
      <c r="M640" s="105" t="n"/>
      <c r="N640" s="106" t="n"/>
    </row>
    <row r="641">
      <c r="J641" s="87" t="n"/>
      <c r="L641" s="87" t="n"/>
      <c r="M641" s="105" t="n"/>
      <c r="N641" s="106" t="n"/>
    </row>
    <row r="642">
      <c r="J642" s="87" t="n"/>
      <c r="L642" s="87" t="n"/>
      <c r="M642" s="105" t="n"/>
      <c r="N642" s="106" t="n"/>
    </row>
    <row r="643">
      <c r="J643" s="87" t="n"/>
      <c r="L643" s="87" t="n"/>
      <c r="M643" s="105" t="n"/>
      <c r="N643" s="106" t="n"/>
    </row>
    <row r="644">
      <c r="J644" s="87" t="n"/>
      <c r="L644" s="87" t="n"/>
      <c r="M644" s="105" t="n"/>
      <c r="N644" s="106" t="n"/>
    </row>
    <row r="645">
      <c r="J645" s="87" t="n"/>
      <c r="L645" s="87" t="n"/>
      <c r="M645" s="105" t="n"/>
      <c r="N645" s="106" t="n"/>
    </row>
    <row r="646">
      <c r="J646" s="87" t="n"/>
      <c r="L646" s="87" t="n"/>
      <c r="M646" s="105" t="n"/>
      <c r="N646" s="106" t="n"/>
    </row>
    <row r="647">
      <c r="J647" s="87" t="n"/>
      <c r="L647" s="87" t="n"/>
      <c r="M647" s="105" t="n"/>
      <c r="N647" s="106" t="n"/>
    </row>
    <row r="648">
      <c r="J648" s="87" t="n"/>
      <c r="L648" s="87" t="n"/>
      <c r="M648" s="105" t="n"/>
      <c r="N648" s="106" t="n"/>
    </row>
    <row r="649">
      <c r="J649" s="87" t="n"/>
      <c r="L649" s="87" t="n"/>
      <c r="M649" s="105" t="n"/>
      <c r="N649" s="106" t="n"/>
    </row>
    <row r="650">
      <c r="J650" s="87" t="n"/>
      <c r="L650" s="87" t="n"/>
      <c r="M650" s="105" t="n"/>
      <c r="N650" s="106" t="n"/>
    </row>
    <row r="651">
      <c r="J651" s="87" t="n"/>
      <c r="L651" s="87" t="n"/>
      <c r="M651" s="105" t="n"/>
      <c r="N651" s="106" t="n"/>
    </row>
    <row r="652">
      <c r="J652" s="87" t="n"/>
      <c r="L652" s="87" t="n"/>
      <c r="M652" s="105" t="n"/>
      <c r="N652" s="106" t="n"/>
    </row>
    <row r="653">
      <c r="J653" s="87" t="n"/>
      <c r="L653" s="87" t="n"/>
      <c r="M653" s="105" t="n"/>
      <c r="N653" s="106" t="n"/>
    </row>
    <row r="654">
      <c r="J654" s="87" t="n"/>
      <c r="L654" s="87" t="n"/>
      <c r="M654" s="105" t="n"/>
      <c r="N654" s="106" t="n"/>
    </row>
    <row r="655">
      <c r="J655" s="87" t="n"/>
      <c r="L655" s="87" t="n"/>
      <c r="M655" s="105" t="n"/>
      <c r="N655" s="106" t="n"/>
    </row>
    <row r="656">
      <c r="J656" s="87" t="n"/>
      <c r="L656" s="87" t="n"/>
      <c r="M656" s="105" t="n"/>
      <c r="N656" s="106" t="n"/>
    </row>
    <row r="657">
      <c r="J657" s="87" t="n"/>
      <c r="L657" s="87" t="n"/>
      <c r="M657" s="105" t="n"/>
      <c r="N657" s="106" t="n"/>
    </row>
    <row r="658">
      <c r="J658" s="87" t="n"/>
      <c r="L658" s="87" t="n"/>
      <c r="M658" s="105" t="n"/>
      <c r="N658" s="106" t="n"/>
    </row>
    <row r="659">
      <c r="J659" s="87" t="n"/>
      <c r="L659" s="87" t="n"/>
      <c r="M659" s="105" t="n"/>
      <c r="N659" s="106" t="n"/>
    </row>
    <row r="660">
      <c r="J660" s="87" t="n"/>
      <c r="L660" s="87" t="n"/>
      <c r="M660" s="105" t="n"/>
      <c r="N660" s="106" t="n"/>
    </row>
    <row r="661">
      <c r="J661" s="87" t="n"/>
      <c r="L661" s="87" t="n"/>
      <c r="M661" s="105" t="n"/>
      <c r="N661" s="106" t="n"/>
    </row>
    <row r="662">
      <c r="J662" s="87" t="n"/>
      <c r="L662" s="87" t="n"/>
      <c r="M662" s="105" t="n"/>
      <c r="N662" s="106" t="n"/>
    </row>
    <row r="663">
      <c r="J663" s="87" t="n"/>
      <c r="L663" s="87" t="n"/>
      <c r="M663" s="105" t="n"/>
      <c r="N663" s="106" t="n"/>
    </row>
    <row r="664">
      <c r="J664" s="87" t="n"/>
      <c r="L664" s="87" t="n"/>
      <c r="M664" s="105" t="n"/>
      <c r="N664" s="106" t="n"/>
    </row>
    <row r="665">
      <c r="J665" s="87" t="n"/>
      <c r="L665" s="87" t="n"/>
      <c r="M665" s="105" t="n"/>
      <c r="N665" s="106" t="n"/>
    </row>
    <row r="666">
      <c r="J666" s="87" t="n"/>
      <c r="L666" s="87" t="n"/>
      <c r="M666" s="105" t="n"/>
      <c r="N666" s="106" t="n"/>
    </row>
    <row r="667">
      <c r="J667" s="87" t="n"/>
      <c r="L667" s="87" t="n"/>
      <c r="M667" s="105" t="n"/>
      <c r="N667" s="106" t="n"/>
    </row>
    <row r="668">
      <c r="J668" s="87" t="n"/>
      <c r="L668" s="87" t="n"/>
      <c r="M668" s="105" t="n"/>
      <c r="N668" s="106" t="n"/>
    </row>
    <row r="669">
      <c r="J669" s="87" t="n"/>
      <c r="L669" s="87" t="n"/>
      <c r="M669" s="105" t="n"/>
      <c r="N669" s="106" t="n"/>
    </row>
    <row r="670">
      <c r="J670" s="87" t="n"/>
      <c r="L670" s="87" t="n"/>
      <c r="M670" s="105" t="n"/>
      <c r="N670" s="106" t="n"/>
    </row>
    <row r="671">
      <c r="J671" s="87" t="n"/>
      <c r="L671" s="87" t="n"/>
      <c r="M671" s="105" t="n"/>
      <c r="N671" s="106" t="n"/>
    </row>
    <row r="672">
      <c r="J672" s="87" t="n"/>
      <c r="L672" s="87" t="n"/>
      <c r="M672" s="105" t="n"/>
      <c r="N672" s="106" t="n"/>
    </row>
    <row r="673">
      <c r="J673" s="87" t="n"/>
      <c r="L673" s="87" t="n"/>
      <c r="M673" s="105" t="n"/>
      <c r="N673" s="106" t="n"/>
    </row>
    <row r="674">
      <c r="J674" s="87" t="n"/>
      <c r="L674" s="87" t="n"/>
      <c r="M674" s="105" t="n"/>
      <c r="N674" s="106" t="n"/>
    </row>
    <row r="675">
      <c r="J675" s="87" t="n"/>
      <c r="L675" s="87" t="n"/>
      <c r="M675" s="105" t="n"/>
      <c r="N675" s="106" t="n"/>
    </row>
    <row r="676">
      <c r="J676" s="87" t="n"/>
      <c r="L676" s="87" t="n"/>
      <c r="M676" s="105" t="n"/>
      <c r="N676" s="106" t="n"/>
    </row>
    <row r="677">
      <c r="J677" s="87" t="n"/>
      <c r="L677" s="87" t="n"/>
      <c r="M677" s="105" t="n"/>
      <c r="N677" s="106" t="n"/>
    </row>
    <row r="678">
      <c r="J678" s="87" t="n"/>
      <c r="L678" s="87" t="n"/>
      <c r="M678" s="105" t="n"/>
      <c r="N678" s="106" t="n"/>
    </row>
    <row r="679">
      <c r="J679" s="87" t="n"/>
      <c r="L679" s="87" t="n"/>
      <c r="M679" s="105" t="n"/>
      <c r="N679" s="106" t="n"/>
    </row>
    <row r="680">
      <c r="J680" s="87" t="n"/>
      <c r="L680" s="87" t="n"/>
      <c r="M680" s="105" t="n"/>
      <c r="N680" s="106" t="n"/>
    </row>
    <row r="681">
      <c r="J681" s="87" t="n"/>
      <c r="L681" s="87" t="n"/>
      <c r="M681" s="105" t="n"/>
      <c r="N681" s="106" t="n"/>
    </row>
    <row r="682">
      <c r="J682" s="87" t="n"/>
      <c r="L682" s="87" t="n"/>
      <c r="M682" s="105" t="n"/>
      <c r="N682" s="106" t="n"/>
    </row>
    <row r="683">
      <c r="J683" s="87" t="n"/>
      <c r="L683" s="87" t="n"/>
      <c r="M683" s="105" t="n"/>
      <c r="N683" s="106" t="n"/>
    </row>
    <row r="684">
      <c r="J684" s="87" t="n"/>
      <c r="L684" s="87" t="n"/>
      <c r="M684" s="105" t="n"/>
      <c r="N684" s="106" t="n"/>
    </row>
    <row r="685">
      <c r="J685" s="87" t="n"/>
      <c r="L685" s="87" t="n"/>
      <c r="M685" s="105" t="n"/>
      <c r="N685" s="106" t="n"/>
    </row>
    <row r="686">
      <c r="J686" s="87" t="n"/>
      <c r="L686" s="87" t="n"/>
      <c r="M686" s="105" t="n"/>
      <c r="N686" s="106" t="n"/>
    </row>
    <row r="687">
      <c r="J687" s="87" t="n"/>
      <c r="L687" s="87" t="n"/>
      <c r="M687" s="105" t="n"/>
      <c r="N687" s="106" t="n"/>
    </row>
    <row r="688">
      <c r="J688" s="87" t="n"/>
      <c r="L688" s="87" t="n"/>
      <c r="M688" s="105" t="n"/>
      <c r="N688" s="106" t="n"/>
    </row>
    <row r="689">
      <c r="J689" s="87" t="n"/>
      <c r="L689" s="87" t="n"/>
      <c r="M689" s="105" t="n"/>
      <c r="N689" s="106" t="n"/>
    </row>
    <row r="690">
      <c r="J690" s="87" t="n"/>
      <c r="L690" s="87" t="n"/>
      <c r="M690" s="105" t="n"/>
      <c r="N690" s="106" t="n"/>
    </row>
    <row r="691">
      <c r="J691" s="87" t="n"/>
      <c r="L691" s="87" t="n"/>
      <c r="M691" s="105" t="n"/>
      <c r="N691" s="106" t="n"/>
    </row>
    <row r="692">
      <c r="J692" s="87" t="n"/>
      <c r="L692" s="87" t="n"/>
      <c r="M692" s="105" t="n"/>
      <c r="N692" s="106" t="n"/>
    </row>
    <row r="693">
      <c r="J693" s="87" t="n"/>
      <c r="L693" s="87" t="n"/>
      <c r="M693" s="105" t="n"/>
      <c r="N693" s="106" t="n"/>
    </row>
    <row r="694">
      <c r="J694" s="87" t="n"/>
      <c r="L694" s="87" t="n"/>
      <c r="M694" s="105" t="n"/>
      <c r="N694" s="106" t="n"/>
    </row>
    <row r="695">
      <c r="J695" s="87" t="n"/>
      <c r="L695" s="87" t="n"/>
      <c r="M695" s="105" t="n"/>
      <c r="N695" s="106" t="n"/>
    </row>
    <row r="696">
      <c r="J696" s="87" t="n"/>
      <c r="L696" s="87" t="n"/>
      <c r="M696" s="105" t="n"/>
      <c r="N696" s="106" t="n"/>
    </row>
    <row r="697">
      <c r="J697" s="87" t="n"/>
      <c r="L697" s="87" t="n"/>
      <c r="M697" s="105" t="n"/>
      <c r="N697" s="106" t="n"/>
    </row>
    <row r="698">
      <c r="J698" s="87" t="n"/>
      <c r="L698" s="87" t="n"/>
      <c r="M698" s="105" t="n"/>
      <c r="N698" s="106" t="n"/>
    </row>
    <row r="699">
      <c r="J699" s="87" t="n"/>
      <c r="L699" s="87" t="n"/>
      <c r="M699" s="105" t="n"/>
      <c r="N699" s="106" t="n"/>
    </row>
    <row r="700">
      <c r="J700" s="87" t="n"/>
      <c r="L700" s="87" t="n"/>
      <c r="M700" s="105" t="n"/>
      <c r="N700" s="106" t="n"/>
    </row>
    <row r="701">
      <c r="J701" s="87" t="n"/>
      <c r="L701" s="87" t="n"/>
      <c r="M701" s="105" t="n"/>
      <c r="N701" s="106" t="n"/>
    </row>
    <row r="702">
      <c r="J702" s="87" t="n"/>
      <c r="L702" s="87" t="n"/>
      <c r="M702" s="105" t="n"/>
      <c r="N702" s="106" t="n"/>
    </row>
    <row r="703">
      <c r="J703" s="87" t="n"/>
      <c r="L703" s="87" t="n"/>
      <c r="M703" s="105" t="n"/>
      <c r="N703" s="106" t="n"/>
    </row>
    <row r="704">
      <c r="J704" s="87" t="n"/>
      <c r="L704" s="87" t="n"/>
      <c r="M704" s="105" t="n"/>
      <c r="N704" s="106" t="n"/>
    </row>
    <row r="705">
      <c r="J705" s="87" t="n"/>
      <c r="L705" s="87" t="n"/>
      <c r="M705" s="105" t="n"/>
      <c r="N705" s="106" t="n"/>
    </row>
    <row r="706">
      <c r="J706" s="87" t="n"/>
      <c r="L706" s="87" t="n"/>
      <c r="M706" s="105" t="n"/>
      <c r="N706" s="106" t="n"/>
    </row>
    <row r="707">
      <c r="J707" s="87" t="n"/>
      <c r="L707" s="87" t="n"/>
      <c r="M707" s="105" t="n"/>
      <c r="N707" s="106" t="n"/>
    </row>
    <row r="708">
      <c r="J708" s="87" t="n"/>
      <c r="L708" s="87" t="n"/>
      <c r="M708" s="105" t="n"/>
      <c r="N708" s="106" t="n"/>
    </row>
    <row r="709">
      <c r="J709" s="87" t="n"/>
      <c r="L709" s="87" t="n"/>
      <c r="M709" s="105" t="n"/>
      <c r="N709" s="106" t="n"/>
    </row>
    <row r="710">
      <c r="J710" s="87" t="n"/>
      <c r="L710" s="87" t="n"/>
      <c r="M710" s="105" t="n"/>
      <c r="N710" s="106" t="n"/>
    </row>
    <row r="711">
      <c r="J711" s="87" t="n"/>
      <c r="L711" s="87" t="n"/>
      <c r="M711" s="105" t="n"/>
      <c r="N711" s="106" t="n"/>
    </row>
    <row r="712">
      <c r="J712" s="87" t="n"/>
      <c r="L712" s="87" t="n"/>
      <c r="M712" s="105" t="n"/>
      <c r="N712" s="106" t="n"/>
    </row>
    <row r="713">
      <c r="J713" s="87" t="n"/>
      <c r="L713" s="87" t="n"/>
      <c r="M713" s="105" t="n"/>
      <c r="N713" s="106" t="n"/>
    </row>
    <row r="714">
      <c r="J714" s="87" t="n"/>
      <c r="L714" s="87" t="n"/>
      <c r="M714" s="105" t="n"/>
      <c r="N714" s="106" t="n"/>
    </row>
    <row r="715">
      <c r="J715" s="87" t="n"/>
      <c r="L715" s="87" t="n"/>
      <c r="M715" s="105" t="n"/>
      <c r="N715" s="106" t="n"/>
    </row>
    <row r="716">
      <c r="J716" s="87" t="n"/>
      <c r="L716" s="87" t="n"/>
      <c r="M716" s="105" t="n"/>
      <c r="N716" s="106" t="n"/>
    </row>
    <row r="717">
      <c r="J717" s="87" t="n"/>
      <c r="L717" s="87" t="n"/>
      <c r="M717" s="105" t="n"/>
      <c r="N717" s="106" t="n"/>
    </row>
    <row r="718">
      <c r="J718" s="87" t="n"/>
      <c r="L718" s="87" t="n"/>
      <c r="M718" s="105" t="n"/>
      <c r="N718" s="106" t="n"/>
    </row>
    <row r="719">
      <c r="J719" s="87" t="n"/>
      <c r="L719" s="87" t="n"/>
      <c r="M719" s="105" t="n"/>
      <c r="N719" s="106" t="n"/>
    </row>
    <row r="720">
      <c r="J720" s="87" t="n"/>
      <c r="L720" s="87" t="n"/>
      <c r="M720" s="105" t="n"/>
      <c r="N720" s="106" t="n"/>
    </row>
    <row r="721">
      <c r="J721" s="87" t="n"/>
      <c r="L721" s="87" t="n"/>
      <c r="M721" s="105" t="n"/>
      <c r="N721" s="106" t="n"/>
    </row>
    <row r="722">
      <c r="J722" s="87" t="n"/>
      <c r="L722" s="87" t="n"/>
      <c r="M722" s="105" t="n"/>
      <c r="N722" s="106" t="n"/>
    </row>
    <row r="723">
      <c r="J723" s="87" t="n"/>
      <c r="L723" s="87" t="n"/>
      <c r="M723" s="105" t="n"/>
      <c r="N723" s="106" t="n"/>
    </row>
    <row r="724">
      <c r="J724" s="87" t="n"/>
      <c r="L724" s="87" t="n"/>
      <c r="M724" s="105" t="n"/>
      <c r="N724" s="106" t="n"/>
    </row>
    <row r="725">
      <c r="J725" s="87" t="n"/>
      <c r="L725" s="87" t="n"/>
      <c r="M725" s="105" t="n"/>
      <c r="N725" s="106" t="n"/>
    </row>
    <row r="726">
      <c r="J726" s="87" t="n"/>
      <c r="L726" s="87" t="n"/>
      <c r="M726" s="105" t="n"/>
      <c r="N726" s="106" t="n"/>
    </row>
    <row r="727">
      <c r="J727" s="87" t="n"/>
      <c r="L727" s="87" t="n"/>
      <c r="M727" s="105" t="n"/>
      <c r="N727" s="106" t="n"/>
    </row>
    <row r="728">
      <c r="J728" s="87" t="n"/>
      <c r="L728" s="87" t="n"/>
      <c r="M728" s="105" t="n"/>
      <c r="N728" s="106" t="n"/>
    </row>
    <row r="729">
      <c r="J729" s="87" t="n"/>
      <c r="L729" s="87" t="n"/>
      <c r="M729" s="105" t="n"/>
      <c r="N729" s="106" t="n"/>
    </row>
    <row r="730">
      <c r="J730" s="87" t="n"/>
      <c r="L730" s="87" t="n"/>
      <c r="M730" s="105" t="n"/>
      <c r="N730" s="106" t="n"/>
    </row>
    <row r="731">
      <c r="J731" s="87" t="n"/>
      <c r="L731" s="87" t="n"/>
      <c r="M731" s="105" t="n"/>
      <c r="N731" s="106" t="n"/>
    </row>
    <row r="732">
      <c r="J732" s="87" t="n"/>
      <c r="L732" s="87" t="n"/>
      <c r="M732" s="105" t="n"/>
      <c r="N732" s="106" t="n"/>
    </row>
    <row r="733">
      <c r="J733" s="87" t="n"/>
      <c r="L733" s="87" t="n"/>
      <c r="M733" s="105" t="n"/>
      <c r="N733" s="106" t="n"/>
    </row>
    <row r="734">
      <c r="J734" s="87" t="n"/>
      <c r="L734" s="87" t="n"/>
      <c r="M734" s="105" t="n"/>
      <c r="N734" s="106" t="n"/>
    </row>
    <row r="735">
      <c r="J735" s="87" t="n"/>
      <c r="L735" s="87" t="n"/>
      <c r="M735" s="105" t="n"/>
      <c r="N735" s="106" t="n"/>
    </row>
    <row r="736">
      <c r="J736" s="87" t="n"/>
      <c r="L736" s="87" t="n"/>
      <c r="M736" s="105" t="n"/>
      <c r="N736" s="106" t="n"/>
    </row>
    <row r="737">
      <c r="J737" s="87" t="n"/>
      <c r="L737" s="87" t="n"/>
      <c r="M737" s="105" t="n"/>
      <c r="N737" s="106" t="n"/>
    </row>
    <row r="738">
      <c r="J738" s="87" t="n"/>
      <c r="L738" s="87" t="n"/>
      <c r="M738" s="105" t="n"/>
      <c r="N738" s="106" t="n"/>
    </row>
    <row r="739">
      <c r="J739" s="87" t="n"/>
      <c r="L739" s="87" t="n"/>
      <c r="M739" s="105" t="n"/>
      <c r="N739" s="106" t="n"/>
    </row>
    <row r="740">
      <c r="J740" s="87" t="n"/>
      <c r="L740" s="87" t="n"/>
      <c r="M740" s="105" t="n"/>
      <c r="N740" s="106" t="n"/>
    </row>
    <row r="741">
      <c r="J741" s="87" t="n"/>
      <c r="L741" s="87" t="n"/>
      <c r="M741" s="105" t="n"/>
      <c r="N741" s="106" t="n"/>
    </row>
    <row r="742">
      <c r="J742" s="87" t="n"/>
      <c r="L742" s="87" t="n"/>
      <c r="M742" s="105" t="n"/>
      <c r="N742" s="106" t="n"/>
    </row>
    <row r="743">
      <c r="J743" s="87" t="n"/>
      <c r="L743" s="87" t="n"/>
      <c r="M743" s="105" t="n"/>
      <c r="N743" s="106" t="n"/>
    </row>
    <row r="744">
      <c r="J744" s="87" t="n"/>
      <c r="L744" s="87" t="n"/>
      <c r="M744" s="105" t="n"/>
      <c r="N744" s="106" t="n"/>
    </row>
    <row r="745">
      <c r="J745" s="87" t="n"/>
      <c r="L745" s="87" t="n"/>
      <c r="M745" s="105" t="n"/>
      <c r="N745" s="106" t="n"/>
    </row>
    <row r="746">
      <c r="J746" s="87" t="n"/>
      <c r="L746" s="87" t="n"/>
      <c r="M746" s="105" t="n"/>
      <c r="N746" s="106" t="n"/>
    </row>
    <row r="747">
      <c r="J747" s="87" t="n"/>
      <c r="L747" s="87" t="n"/>
      <c r="M747" s="105" t="n"/>
      <c r="N747" s="106" t="n"/>
    </row>
    <row r="748">
      <c r="J748" s="87" t="n"/>
      <c r="L748" s="87" t="n"/>
      <c r="M748" s="105" t="n"/>
      <c r="N748" s="106" t="n"/>
    </row>
    <row r="749">
      <c r="J749" s="87" t="n"/>
      <c r="L749" s="87" t="n"/>
      <c r="M749" s="105" t="n"/>
      <c r="N749" s="106" t="n"/>
    </row>
    <row r="750">
      <c r="J750" s="87" t="n"/>
      <c r="L750" s="87" t="n"/>
      <c r="M750" s="105" t="n"/>
      <c r="N750" s="106" t="n"/>
    </row>
    <row r="751">
      <c r="J751" s="87" t="n"/>
      <c r="L751" s="87" t="n"/>
      <c r="M751" s="105" t="n"/>
      <c r="N751" s="106" t="n"/>
    </row>
    <row r="752">
      <c r="J752" s="87" t="n"/>
      <c r="L752" s="87" t="n"/>
      <c r="M752" s="105" t="n"/>
      <c r="N752" s="106" t="n"/>
    </row>
    <row r="753">
      <c r="J753" s="87" t="n"/>
      <c r="L753" s="87" t="n"/>
      <c r="M753" s="105" t="n"/>
      <c r="N753" s="106" t="n"/>
    </row>
    <row r="754">
      <c r="J754" s="87" t="n"/>
      <c r="L754" s="87" t="n"/>
      <c r="M754" s="105" t="n"/>
      <c r="N754" s="106" t="n"/>
    </row>
    <row r="755">
      <c r="J755" s="87" t="n"/>
      <c r="L755" s="87" t="n"/>
      <c r="M755" s="105" t="n"/>
      <c r="N755" s="106" t="n"/>
    </row>
    <row r="756">
      <c r="J756" s="87" t="n"/>
      <c r="L756" s="87" t="n"/>
      <c r="M756" s="105" t="n"/>
      <c r="N756" s="106" t="n"/>
    </row>
    <row r="757">
      <c r="J757" s="87" t="n"/>
      <c r="L757" s="87" t="n"/>
      <c r="M757" s="105" t="n"/>
      <c r="N757" s="106" t="n"/>
    </row>
    <row r="758">
      <c r="J758" s="87" t="n"/>
      <c r="L758" s="87" t="n"/>
      <c r="M758" s="105" t="n"/>
      <c r="N758" s="106" t="n"/>
    </row>
    <row r="759">
      <c r="J759" s="87" t="n"/>
      <c r="L759" s="87" t="n"/>
      <c r="M759" s="105" t="n"/>
      <c r="N759" s="106" t="n"/>
    </row>
    <row r="760">
      <c r="J760" s="87" t="n"/>
      <c r="L760" s="87" t="n"/>
      <c r="M760" s="105" t="n"/>
      <c r="N760" s="106" t="n"/>
    </row>
    <row r="761">
      <c r="J761" s="87" t="n"/>
      <c r="L761" s="87" t="n"/>
      <c r="M761" s="105" t="n"/>
      <c r="N761" s="106" t="n"/>
    </row>
    <row r="762">
      <c r="J762" s="87" t="n"/>
      <c r="L762" s="87" t="n"/>
      <c r="M762" s="105" t="n"/>
      <c r="N762" s="106" t="n"/>
    </row>
    <row r="763">
      <c r="J763" s="87" t="n"/>
      <c r="L763" s="87" t="n"/>
      <c r="M763" s="105" t="n"/>
      <c r="N763" s="106" t="n"/>
    </row>
    <row r="764">
      <c r="J764" s="87" t="n"/>
      <c r="L764" s="87" t="n"/>
      <c r="M764" s="105" t="n"/>
      <c r="N764" s="106" t="n"/>
    </row>
    <row r="765">
      <c r="J765" s="87" t="n"/>
      <c r="L765" s="87" t="n"/>
      <c r="M765" s="105" t="n"/>
      <c r="N765" s="106" t="n"/>
    </row>
    <row r="766">
      <c r="J766" s="87" t="n"/>
      <c r="L766" s="87" t="n"/>
      <c r="M766" s="105" t="n"/>
      <c r="N766" s="106" t="n"/>
    </row>
    <row r="767">
      <c r="J767" s="87" t="n"/>
      <c r="L767" s="87" t="n"/>
      <c r="M767" s="105" t="n"/>
      <c r="N767" s="106" t="n"/>
    </row>
    <row r="768">
      <c r="J768" s="87" t="n"/>
      <c r="L768" s="87" t="n"/>
      <c r="M768" s="105" t="n"/>
      <c r="N768" s="106" t="n"/>
    </row>
    <row r="769">
      <c r="J769" s="87" t="n"/>
      <c r="L769" s="87" t="n"/>
      <c r="M769" s="105" t="n"/>
      <c r="N769" s="106" t="n"/>
    </row>
    <row r="770">
      <c r="J770" s="87" t="n"/>
      <c r="L770" s="87" t="n"/>
      <c r="M770" s="105" t="n"/>
      <c r="N770" s="106" t="n"/>
    </row>
    <row r="771">
      <c r="J771" s="87" t="n"/>
      <c r="L771" s="87" t="n"/>
      <c r="M771" s="105" t="n"/>
      <c r="N771" s="106" t="n"/>
    </row>
    <row r="772">
      <c r="J772" s="87" t="n"/>
      <c r="L772" s="87" t="n"/>
      <c r="M772" s="105" t="n"/>
      <c r="N772" s="106" t="n"/>
    </row>
    <row r="773">
      <c r="J773" s="87" t="n"/>
      <c r="L773" s="87" t="n"/>
      <c r="M773" s="105" t="n"/>
      <c r="N773" s="106" t="n"/>
    </row>
    <row r="774">
      <c r="J774" s="87" t="n"/>
      <c r="L774" s="87" t="n"/>
      <c r="M774" s="105" t="n"/>
      <c r="N774" s="106" t="n"/>
    </row>
    <row r="775">
      <c r="J775" s="87" t="n"/>
      <c r="L775" s="87" t="n"/>
      <c r="M775" s="105" t="n"/>
      <c r="N775" s="106" t="n"/>
    </row>
    <row r="776">
      <c r="J776" s="87" t="n"/>
      <c r="L776" s="87" t="n"/>
      <c r="M776" s="105" t="n"/>
      <c r="N776" s="106" t="n"/>
    </row>
    <row r="777">
      <c r="J777" s="87" t="n"/>
      <c r="L777" s="87" t="n"/>
      <c r="M777" s="105" t="n"/>
      <c r="N777" s="106" t="n"/>
    </row>
    <row r="778">
      <c r="J778" s="87" t="n"/>
      <c r="L778" s="87" t="n"/>
      <c r="M778" s="105" t="n"/>
      <c r="N778" s="106" t="n"/>
    </row>
    <row r="779">
      <c r="J779" s="87" t="n"/>
      <c r="L779" s="87" t="n"/>
      <c r="M779" s="105" t="n"/>
      <c r="N779" s="106" t="n"/>
    </row>
    <row r="780">
      <c r="J780" s="87" t="n"/>
      <c r="L780" s="87" t="n"/>
      <c r="M780" s="105" t="n"/>
      <c r="N780" s="106" t="n"/>
    </row>
    <row r="781">
      <c r="J781" s="87" t="n"/>
      <c r="L781" s="87" t="n"/>
      <c r="M781" s="105" t="n"/>
      <c r="N781" s="106" t="n"/>
    </row>
    <row r="782">
      <c r="J782" s="87" t="n"/>
      <c r="L782" s="87" t="n"/>
      <c r="M782" s="105" t="n"/>
      <c r="N782" s="106" t="n"/>
    </row>
    <row r="783">
      <c r="J783" s="87" t="n"/>
      <c r="L783" s="87" t="n"/>
      <c r="M783" s="105" t="n"/>
      <c r="N783" s="106" t="n"/>
    </row>
    <row r="784">
      <c r="J784" s="87" t="n"/>
      <c r="L784" s="87" t="n"/>
      <c r="M784" s="105" t="n"/>
      <c r="N784" s="106" t="n"/>
    </row>
    <row r="785">
      <c r="J785" s="87" t="n"/>
      <c r="L785" s="87" t="n"/>
      <c r="M785" s="105" t="n"/>
      <c r="N785" s="106" t="n"/>
    </row>
    <row r="786">
      <c r="J786" s="87" t="n"/>
      <c r="L786" s="87" t="n"/>
      <c r="M786" s="105" t="n"/>
      <c r="N786" s="106" t="n"/>
    </row>
    <row r="787">
      <c r="J787" s="87" t="n"/>
      <c r="L787" s="87" t="n"/>
      <c r="M787" s="105" t="n"/>
      <c r="N787" s="106" t="n"/>
    </row>
    <row r="788">
      <c r="J788" s="87" t="n"/>
      <c r="L788" s="87" t="n"/>
      <c r="M788" s="105" t="n"/>
      <c r="N788" s="106" t="n"/>
    </row>
    <row r="789">
      <c r="J789" s="87" t="n"/>
      <c r="L789" s="87" t="n"/>
      <c r="M789" s="105" t="n"/>
      <c r="N789" s="106" t="n"/>
    </row>
    <row r="790">
      <c r="J790" s="87" t="n"/>
      <c r="L790" s="87" t="n"/>
      <c r="M790" s="105" t="n"/>
      <c r="N790" s="106" t="n"/>
    </row>
    <row r="791">
      <c r="J791" s="87" t="n"/>
      <c r="L791" s="87" t="n"/>
      <c r="M791" s="105" t="n"/>
      <c r="N791" s="106" t="n"/>
    </row>
    <row r="792">
      <c r="J792" s="87" t="n"/>
      <c r="L792" s="87" t="n"/>
      <c r="M792" s="105" t="n"/>
      <c r="N792" s="106" t="n"/>
    </row>
    <row r="793">
      <c r="J793" s="87" t="n"/>
      <c r="L793" s="87" t="n"/>
      <c r="M793" s="105" t="n"/>
      <c r="N793" s="106" t="n"/>
    </row>
    <row r="794">
      <c r="J794" s="87" t="n"/>
      <c r="L794" s="87" t="n"/>
      <c r="M794" s="105" t="n"/>
      <c r="N794" s="106" t="n"/>
    </row>
    <row r="795">
      <c r="J795" s="87" t="n"/>
      <c r="L795" s="87" t="n"/>
      <c r="M795" s="105" t="n"/>
      <c r="N795" s="106" t="n"/>
    </row>
    <row r="796">
      <c r="J796" s="87" t="n"/>
      <c r="L796" s="87" t="n"/>
      <c r="M796" s="105" t="n"/>
      <c r="N796" s="106" t="n"/>
    </row>
    <row r="797">
      <c r="J797" s="87" t="n"/>
      <c r="L797" s="87" t="n"/>
      <c r="M797" s="105" t="n"/>
      <c r="N797" s="106" t="n"/>
    </row>
    <row r="798">
      <c r="J798" s="87" t="n"/>
      <c r="L798" s="87" t="n"/>
      <c r="M798" s="105" t="n"/>
      <c r="N798" s="106" t="n"/>
    </row>
    <row r="799">
      <c r="J799" s="87" t="n"/>
      <c r="L799" s="87" t="n"/>
      <c r="M799" s="105" t="n"/>
      <c r="N799" s="106" t="n"/>
    </row>
    <row r="800">
      <c r="J800" s="87" t="n"/>
      <c r="L800" s="87" t="n"/>
      <c r="M800" s="105" t="n"/>
      <c r="N800" s="106" t="n"/>
    </row>
    <row r="801">
      <c r="J801" s="87" t="n"/>
      <c r="L801" s="87" t="n"/>
      <c r="M801" s="105" t="n"/>
      <c r="N801" s="106" t="n"/>
    </row>
    <row r="802">
      <c r="J802" s="87" t="n"/>
      <c r="L802" s="87" t="n"/>
      <c r="M802" s="105" t="n"/>
      <c r="N802" s="106" t="n"/>
    </row>
    <row r="803">
      <c r="J803" s="87" t="n"/>
      <c r="L803" s="87" t="n"/>
      <c r="M803" s="105" t="n"/>
      <c r="N803" s="106" t="n"/>
    </row>
    <row r="804">
      <c r="J804" s="87" t="n"/>
      <c r="L804" s="87" t="n"/>
      <c r="M804" s="105" t="n"/>
      <c r="N804" s="106" t="n"/>
    </row>
    <row r="805">
      <c r="J805" s="87" t="n"/>
      <c r="L805" s="87" t="n"/>
      <c r="M805" s="105" t="n"/>
      <c r="N805" s="106" t="n"/>
    </row>
    <row r="806">
      <c r="J806" s="87" t="n"/>
      <c r="L806" s="87" t="n"/>
      <c r="M806" s="105" t="n"/>
      <c r="N806" s="106" t="n"/>
    </row>
    <row r="807">
      <c r="J807" s="87" t="n"/>
      <c r="L807" s="87" t="n"/>
      <c r="M807" s="105" t="n"/>
      <c r="N807" s="106" t="n"/>
    </row>
    <row r="808">
      <c r="J808" s="87" t="n"/>
      <c r="L808" s="87" t="n"/>
      <c r="M808" s="105" t="n"/>
      <c r="N808" s="106" t="n"/>
    </row>
    <row r="809">
      <c r="J809" s="87" t="n"/>
      <c r="L809" s="87" t="n"/>
      <c r="M809" s="105" t="n"/>
      <c r="N809" s="106" t="n"/>
    </row>
    <row r="810">
      <c r="J810" s="87" t="n"/>
      <c r="L810" s="87" t="n"/>
      <c r="M810" s="105" t="n"/>
      <c r="N810" s="106" t="n"/>
    </row>
    <row r="811">
      <c r="J811" s="87" t="n"/>
      <c r="L811" s="87" t="n"/>
      <c r="M811" s="105" t="n"/>
      <c r="N811" s="106" t="n"/>
    </row>
    <row r="812">
      <c r="J812" s="87" t="n"/>
      <c r="L812" s="87" t="n"/>
      <c r="M812" s="105" t="n"/>
      <c r="N812" s="106" t="n"/>
    </row>
    <row r="813">
      <c r="J813" s="87" t="n"/>
      <c r="L813" s="87" t="n"/>
      <c r="M813" s="105" t="n"/>
      <c r="N813" s="106" t="n"/>
    </row>
    <row r="814">
      <c r="J814" s="87" t="n"/>
      <c r="L814" s="87" t="n"/>
      <c r="M814" s="105" t="n"/>
      <c r="N814" s="106" t="n"/>
    </row>
    <row r="815">
      <c r="J815" s="87" t="n"/>
      <c r="L815" s="87" t="n"/>
      <c r="M815" s="105" t="n"/>
      <c r="N815" s="106" t="n"/>
    </row>
    <row r="816">
      <c r="J816" s="87" t="n"/>
      <c r="L816" s="87" t="n"/>
      <c r="M816" s="105" t="n"/>
      <c r="N816" s="106" t="n"/>
    </row>
    <row r="817">
      <c r="J817" s="87" t="n"/>
      <c r="L817" s="87" t="n"/>
      <c r="M817" s="105" t="n"/>
      <c r="N817" s="106" t="n"/>
    </row>
    <row r="818">
      <c r="J818" s="87" t="n"/>
      <c r="L818" s="87" t="n"/>
      <c r="M818" s="105" t="n"/>
      <c r="N818" s="106" t="n"/>
    </row>
    <row r="819">
      <c r="J819" s="87" t="n"/>
      <c r="L819" s="87" t="n"/>
      <c r="M819" s="105" t="n"/>
      <c r="N819" s="106" t="n"/>
    </row>
    <row r="820">
      <c r="J820" s="87" t="n"/>
      <c r="L820" s="87" t="n"/>
      <c r="M820" s="105" t="n"/>
      <c r="N820" s="106" t="n"/>
    </row>
    <row r="821">
      <c r="J821" s="87" t="n"/>
      <c r="L821" s="87" t="n"/>
      <c r="M821" s="105" t="n"/>
      <c r="N821" s="106" t="n"/>
    </row>
    <row r="822">
      <c r="J822" s="87" t="n"/>
      <c r="L822" s="87" t="n"/>
      <c r="M822" s="105" t="n"/>
      <c r="N822" s="106" t="n"/>
    </row>
    <row r="823">
      <c r="J823" s="87" t="n"/>
      <c r="L823" s="87" t="n"/>
      <c r="M823" s="105" t="n"/>
      <c r="N823" s="106" t="n"/>
    </row>
    <row r="824">
      <c r="J824" s="87" t="n"/>
      <c r="L824" s="87" t="n"/>
      <c r="M824" s="105" t="n"/>
      <c r="N824" s="106" t="n"/>
    </row>
    <row r="825">
      <c r="J825" s="87" t="n"/>
      <c r="L825" s="87" t="n"/>
      <c r="M825" s="105" t="n"/>
      <c r="N825" s="106" t="n"/>
    </row>
    <row r="826">
      <c r="J826" s="87" t="n"/>
      <c r="L826" s="87" t="n"/>
      <c r="M826" s="105" t="n"/>
      <c r="N826" s="106" t="n"/>
    </row>
    <row r="827">
      <c r="J827" s="87" t="n"/>
      <c r="L827" s="87" t="n"/>
      <c r="M827" s="105" t="n"/>
      <c r="N827" s="106" t="n"/>
    </row>
    <row r="828">
      <c r="J828" s="87" t="n"/>
      <c r="L828" s="87" t="n"/>
      <c r="M828" s="105" t="n"/>
      <c r="N828" s="106" t="n"/>
    </row>
    <row r="829">
      <c r="J829" s="87" t="n"/>
      <c r="L829" s="87" t="n"/>
      <c r="M829" s="105" t="n"/>
      <c r="N829" s="106" t="n"/>
    </row>
    <row r="830">
      <c r="J830" s="87" t="n"/>
      <c r="L830" s="87" t="n"/>
      <c r="M830" s="105" t="n"/>
      <c r="N830" s="106" t="n"/>
    </row>
    <row r="831">
      <c r="J831" s="87" t="n"/>
      <c r="L831" s="87" t="n"/>
      <c r="M831" s="105" t="n"/>
      <c r="N831" s="106" t="n"/>
    </row>
    <row r="832">
      <c r="J832" s="87" t="n"/>
      <c r="L832" s="87" t="n"/>
      <c r="M832" s="105" t="n"/>
      <c r="N832" s="106" t="n"/>
    </row>
    <row r="833">
      <c r="J833" s="87" t="n"/>
      <c r="L833" s="87" t="n"/>
      <c r="M833" s="105" t="n"/>
      <c r="N833" s="106" t="n"/>
    </row>
    <row r="834">
      <c r="J834" s="87" t="n"/>
      <c r="L834" s="87" t="n"/>
      <c r="M834" s="105" t="n"/>
      <c r="N834" s="106" t="n"/>
    </row>
    <row r="835">
      <c r="J835" s="87" t="n"/>
      <c r="L835" s="87" t="n"/>
      <c r="M835" s="105" t="n"/>
      <c r="N835" s="106" t="n"/>
    </row>
    <row r="836">
      <c r="J836" s="87" t="n"/>
      <c r="L836" s="87" t="n"/>
      <c r="M836" s="105" t="n"/>
      <c r="N836" s="106" t="n"/>
    </row>
    <row r="837">
      <c r="J837" s="87" t="n"/>
      <c r="L837" s="87" t="n"/>
      <c r="M837" s="105" t="n"/>
      <c r="N837" s="106" t="n"/>
    </row>
    <row r="838">
      <c r="J838" s="87" t="n"/>
      <c r="L838" s="87" t="n"/>
      <c r="M838" s="105" t="n"/>
      <c r="N838" s="106" t="n"/>
    </row>
    <row r="839">
      <c r="J839" s="87" t="n"/>
      <c r="L839" s="87" t="n"/>
      <c r="M839" s="105" t="n"/>
      <c r="N839" s="106" t="n"/>
    </row>
    <row r="840">
      <c r="J840" s="87" t="n"/>
      <c r="L840" s="87" t="n"/>
      <c r="M840" s="105" t="n"/>
      <c r="N840" s="106" t="n"/>
    </row>
    <row r="841">
      <c r="J841" s="87" t="n"/>
      <c r="L841" s="87" t="n"/>
      <c r="M841" s="105" t="n"/>
      <c r="N841" s="106" t="n"/>
    </row>
    <row r="842">
      <c r="J842" s="87" t="n"/>
      <c r="L842" s="87" t="n"/>
      <c r="M842" s="105" t="n"/>
      <c r="N842" s="106" t="n"/>
    </row>
    <row r="843">
      <c r="J843" s="87" t="n"/>
      <c r="L843" s="87" t="n"/>
      <c r="M843" s="105" t="n"/>
      <c r="N843" s="106" t="n"/>
    </row>
    <row r="844">
      <c r="J844" s="87" t="n"/>
      <c r="L844" s="87" t="n"/>
      <c r="M844" s="105" t="n"/>
      <c r="N844" s="106" t="n"/>
    </row>
    <row r="845">
      <c r="J845" s="87" t="n"/>
      <c r="L845" s="87" t="n"/>
      <c r="M845" s="105" t="n"/>
      <c r="N845" s="106" t="n"/>
    </row>
    <row r="846">
      <c r="J846" s="87" t="n"/>
      <c r="L846" s="87" t="n"/>
      <c r="M846" s="105" t="n"/>
      <c r="N846" s="106" t="n"/>
    </row>
    <row r="847">
      <c r="J847" s="87" t="n"/>
      <c r="L847" s="87" t="n"/>
      <c r="M847" s="105" t="n"/>
      <c r="N847" s="106" t="n"/>
    </row>
    <row r="848">
      <c r="J848" s="87" t="n"/>
      <c r="L848" s="87" t="n"/>
      <c r="M848" s="105" t="n"/>
      <c r="N848" s="106" t="n"/>
    </row>
    <row r="849">
      <c r="J849" s="87" t="n"/>
      <c r="L849" s="87" t="n"/>
      <c r="M849" s="105" t="n"/>
      <c r="N849" s="106" t="n"/>
    </row>
    <row r="850">
      <c r="J850" s="87" t="n"/>
      <c r="L850" s="87" t="n"/>
      <c r="M850" s="105" t="n"/>
      <c r="N850" s="106" t="n"/>
    </row>
    <row r="851">
      <c r="J851" s="87" t="n"/>
      <c r="L851" s="87" t="n"/>
      <c r="M851" s="105" t="n"/>
      <c r="N851" s="106" t="n"/>
    </row>
    <row r="852">
      <c r="J852" s="87" t="n"/>
      <c r="L852" s="87" t="n"/>
      <c r="M852" s="105" t="n"/>
      <c r="N852" s="106" t="n"/>
    </row>
    <row r="853">
      <c r="J853" s="87" t="n"/>
      <c r="L853" s="87" t="n"/>
      <c r="M853" s="105" t="n"/>
      <c r="N853" s="106" t="n"/>
    </row>
    <row r="854">
      <c r="J854" s="87" t="n"/>
      <c r="L854" s="87" t="n"/>
      <c r="M854" s="105" t="n"/>
      <c r="N854" s="106" t="n"/>
    </row>
    <row r="855">
      <c r="J855" s="87" t="n"/>
      <c r="L855" s="87" t="n"/>
      <c r="M855" s="105" t="n"/>
      <c r="N855" s="106" t="n"/>
    </row>
    <row r="856">
      <c r="J856" s="87" t="n"/>
      <c r="L856" s="87" t="n"/>
      <c r="M856" s="105" t="n"/>
      <c r="N856" s="106" t="n"/>
    </row>
    <row r="857">
      <c r="J857" s="87" t="n"/>
      <c r="L857" s="87" t="n"/>
      <c r="M857" s="105" t="n"/>
      <c r="N857" s="106" t="n"/>
    </row>
    <row r="858">
      <c r="J858" s="87" t="n"/>
      <c r="L858" s="87" t="n"/>
      <c r="M858" s="105" t="n"/>
      <c r="N858" s="106" t="n"/>
    </row>
    <row r="859">
      <c r="J859" s="87" t="n"/>
      <c r="L859" s="87" t="n"/>
      <c r="M859" s="105" t="n"/>
      <c r="N859" s="106" t="n"/>
    </row>
    <row r="860">
      <c r="J860" s="87" t="n"/>
      <c r="L860" s="87" t="n"/>
      <c r="M860" s="105" t="n"/>
      <c r="N860" s="106" t="n"/>
    </row>
    <row r="861">
      <c r="J861" s="87" t="n"/>
      <c r="L861" s="87" t="n"/>
      <c r="M861" s="105" t="n"/>
      <c r="N861" s="106" t="n"/>
    </row>
    <row r="862">
      <c r="J862" s="87" t="n"/>
      <c r="L862" s="87" t="n"/>
      <c r="M862" s="105" t="n"/>
      <c r="N862" s="106" t="n"/>
    </row>
    <row r="863">
      <c r="J863" s="87" t="n"/>
      <c r="L863" s="87" t="n"/>
      <c r="M863" s="105" t="n"/>
      <c r="N863" s="106" t="n"/>
    </row>
    <row r="864">
      <c r="J864" s="87" t="n"/>
      <c r="L864" s="87" t="n"/>
      <c r="M864" s="105" t="n"/>
      <c r="N864" s="106" t="n"/>
    </row>
    <row r="865">
      <c r="J865" s="87" t="n"/>
      <c r="L865" s="87" t="n"/>
      <c r="M865" s="105" t="n"/>
      <c r="N865" s="106" t="n"/>
    </row>
    <row r="866">
      <c r="J866" s="87" t="n"/>
      <c r="L866" s="87" t="n"/>
      <c r="M866" s="105" t="n"/>
      <c r="N866" s="106" t="n"/>
    </row>
    <row r="867">
      <c r="J867" s="87" t="n"/>
      <c r="L867" s="87" t="n"/>
      <c r="M867" s="105" t="n"/>
      <c r="N867" s="106" t="n"/>
    </row>
    <row r="868">
      <c r="J868" s="87" t="n"/>
      <c r="L868" s="87" t="n"/>
      <c r="M868" s="105" t="n"/>
      <c r="N868" s="106" t="n"/>
    </row>
    <row r="869">
      <c r="J869" s="87" t="n"/>
      <c r="L869" s="87" t="n"/>
      <c r="M869" s="105" t="n"/>
      <c r="N869" s="106" t="n"/>
    </row>
    <row r="870">
      <c r="J870" s="87" t="n"/>
      <c r="L870" s="87" t="n"/>
      <c r="M870" s="105" t="n"/>
      <c r="N870" s="106" t="n"/>
    </row>
    <row r="871">
      <c r="J871" s="87" t="n"/>
      <c r="L871" s="87" t="n"/>
      <c r="M871" s="105" t="n"/>
      <c r="N871" s="106" t="n"/>
    </row>
    <row r="872">
      <c r="J872" s="87" t="n"/>
      <c r="L872" s="87" t="n"/>
      <c r="M872" s="105" t="n"/>
      <c r="N872" s="106" t="n"/>
    </row>
    <row r="873">
      <c r="J873" s="87" t="n"/>
      <c r="L873" s="87" t="n"/>
      <c r="M873" s="105" t="n"/>
      <c r="N873" s="106" t="n"/>
    </row>
    <row r="874">
      <c r="J874" s="87" t="n"/>
      <c r="L874" s="87" t="n"/>
      <c r="M874" s="105" t="n"/>
      <c r="N874" s="106" t="n"/>
    </row>
    <row r="875">
      <c r="J875" s="87" t="n"/>
      <c r="L875" s="87" t="n"/>
      <c r="M875" s="105" t="n"/>
      <c r="N875" s="106" t="n"/>
    </row>
    <row r="876">
      <c r="J876" s="87" t="n"/>
      <c r="L876" s="87" t="n"/>
      <c r="M876" s="105" t="n"/>
      <c r="N876" s="106" t="n"/>
    </row>
    <row r="877">
      <c r="J877" s="87" t="n"/>
      <c r="L877" s="87" t="n"/>
      <c r="M877" s="105" t="n"/>
      <c r="N877" s="106" t="n"/>
    </row>
    <row r="878">
      <c r="J878" s="87" t="n"/>
      <c r="L878" s="87" t="n"/>
      <c r="M878" s="105" t="n"/>
      <c r="N878" s="106" t="n"/>
    </row>
    <row r="879">
      <c r="J879" s="87" t="n"/>
      <c r="L879" s="87" t="n"/>
      <c r="M879" s="105" t="n"/>
      <c r="N879" s="106" t="n"/>
    </row>
    <row r="880">
      <c r="J880" s="87" t="n"/>
      <c r="L880" s="87" t="n"/>
      <c r="M880" s="105" t="n"/>
      <c r="N880" s="106" t="n"/>
    </row>
    <row r="881">
      <c r="J881" s="87" t="n"/>
      <c r="L881" s="87" t="n"/>
      <c r="M881" s="105" t="n"/>
      <c r="N881" s="106" t="n"/>
    </row>
    <row r="882">
      <c r="J882" s="87" t="n"/>
      <c r="L882" s="87" t="n"/>
      <c r="M882" s="105" t="n"/>
      <c r="N882" s="106" t="n"/>
    </row>
    <row r="883">
      <c r="J883" s="87" t="n"/>
      <c r="L883" s="87" t="n"/>
      <c r="M883" s="105" t="n"/>
      <c r="N883" s="106" t="n"/>
    </row>
    <row r="884">
      <c r="J884" s="87" t="n"/>
      <c r="L884" s="87" t="n"/>
      <c r="M884" s="105" t="n"/>
      <c r="N884" s="106" t="n"/>
    </row>
    <row r="885">
      <c r="J885" s="87" t="n"/>
      <c r="L885" s="87" t="n"/>
      <c r="M885" s="105" t="n"/>
      <c r="N885" s="106" t="n"/>
    </row>
    <row r="886">
      <c r="J886" s="87" t="n"/>
      <c r="L886" s="87" t="n"/>
      <c r="M886" s="105" t="n"/>
      <c r="N886" s="106" t="n"/>
    </row>
    <row r="887">
      <c r="J887" s="87" t="n"/>
      <c r="L887" s="87" t="n"/>
      <c r="M887" s="105" t="n"/>
      <c r="N887" s="106" t="n"/>
    </row>
    <row r="888">
      <c r="J888" s="87" t="n"/>
      <c r="L888" s="87" t="n"/>
      <c r="M888" s="105" t="n"/>
      <c r="N888" s="106" t="n"/>
    </row>
    <row r="889">
      <c r="J889" s="87" t="n"/>
      <c r="L889" s="87" t="n"/>
      <c r="M889" s="105" t="n"/>
      <c r="N889" s="106" t="n"/>
    </row>
    <row r="890">
      <c r="J890" s="87" t="n"/>
      <c r="L890" s="87" t="n"/>
      <c r="M890" s="105" t="n"/>
      <c r="N890" s="106" t="n"/>
    </row>
    <row r="891">
      <c r="J891" s="87" t="n"/>
      <c r="L891" s="87" t="n"/>
      <c r="M891" s="105" t="n"/>
      <c r="N891" s="106" t="n"/>
    </row>
    <row r="892">
      <c r="J892" s="87" t="n"/>
      <c r="L892" s="87" t="n"/>
      <c r="M892" s="105" t="n"/>
      <c r="N892" s="106" t="n"/>
    </row>
    <row r="893">
      <c r="J893" s="87" t="n"/>
      <c r="L893" s="87" t="n"/>
      <c r="M893" s="105" t="n"/>
      <c r="N893" s="106" t="n"/>
    </row>
    <row r="894">
      <c r="J894" s="87" t="n"/>
      <c r="L894" s="87" t="n"/>
      <c r="M894" s="105" t="n"/>
      <c r="N894" s="106" t="n"/>
    </row>
    <row r="895">
      <c r="J895" s="87" t="n"/>
      <c r="L895" s="87" t="n"/>
      <c r="M895" s="105" t="n"/>
      <c r="N895" s="106" t="n"/>
    </row>
    <row r="896">
      <c r="J896" s="87" t="n"/>
      <c r="L896" s="87" t="n"/>
      <c r="M896" s="105" t="n"/>
      <c r="N896" s="106" t="n"/>
    </row>
    <row r="897">
      <c r="J897" s="87" t="n"/>
      <c r="L897" s="87" t="n"/>
      <c r="M897" s="105" t="n"/>
      <c r="N897" s="106" t="n"/>
    </row>
    <row r="898">
      <c r="J898" s="87" t="n"/>
      <c r="L898" s="87" t="n"/>
      <c r="M898" s="105" t="n"/>
      <c r="N898" s="106" t="n"/>
    </row>
    <row r="899">
      <c r="J899" s="87" t="n"/>
      <c r="L899" s="87" t="n"/>
      <c r="M899" s="105" t="n"/>
      <c r="N899" s="106" t="n"/>
    </row>
    <row r="900">
      <c r="J900" s="87" t="n"/>
      <c r="L900" s="87" t="n"/>
      <c r="M900" s="105" t="n"/>
      <c r="N900" s="106" t="n"/>
    </row>
    <row r="901">
      <c r="J901" s="87" t="n"/>
      <c r="L901" s="87" t="n"/>
      <c r="M901" s="105" t="n"/>
      <c r="N901" s="106" t="n"/>
    </row>
    <row r="902">
      <c r="J902" s="87" t="n"/>
      <c r="L902" s="87" t="n"/>
      <c r="M902" s="105" t="n"/>
      <c r="N902" s="106" t="n"/>
    </row>
    <row r="903">
      <c r="J903" s="87" t="n"/>
      <c r="L903" s="87" t="n"/>
      <c r="M903" s="105" t="n"/>
      <c r="N903" s="106" t="n"/>
    </row>
    <row r="904">
      <c r="J904" s="87" t="n"/>
      <c r="L904" s="87" t="n"/>
      <c r="M904" s="105" t="n"/>
      <c r="N904" s="106" t="n"/>
    </row>
    <row r="905">
      <c r="J905" s="87" t="n"/>
      <c r="L905" s="87" t="n"/>
      <c r="M905" s="105" t="n"/>
      <c r="N905" s="106" t="n"/>
    </row>
    <row r="906">
      <c r="J906" s="87" t="n"/>
      <c r="L906" s="87" t="n"/>
      <c r="M906" s="105" t="n"/>
      <c r="N906" s="106" t="n"/>
    </row>
    <row r="907">
      <c r="J907" s="87" t="n"/>
      <c r="L907" s="87" t="n"/>
      <c r="M907" s="105" t="n"/>
      <c r="N907" s="106" t="n"/>
    </row>
    <row r="908">
      <c r="J908" s="87" t="n"/>
      <c r="L908" s="87" t="n"/>
      <c r="M908" s="105" t="n"/>
      <c r="N908" s="106" t="n"/>
    </row>
    <row r="909">
      <c r="J909" s="87" t="n"/>
      <c r="L909" s="87" t="n"/>
      <c r="M909" s="105" t="n"/>
      <c r="N909" s="106" t="n"/>
    </row>
    <row r="910">
      <c r="J910" s="87" t="n"/>
      <c r="L910" s="87" t="n"/>
      <c r="M910" s="105" t="n"/>
      <c r="N910" s="106" t="n"/>
    </row>
    <row r="911">
      <c r="J911" s="87" t="n"/>
      <c r="L911" s="87" t="n"/>
      <c r="M911" s="105" t="n"/>
      <c r="N911" s="106" t="n"/>
    </row>
    <row r="912">
      <c r="J912" s="87" t="n"/>
      <c r="L912" s="87" t="n"/>
      <c r="M912" s="105" t="n"/>
      <c r="N912" s="106" t="n"/>
    </row>
    <row r="913">
      <c r="J913" s="87" t="n"/>
      <c r="L913" s="87" t="n"/>
      <c r="M913" s="105" t="n"/>
      <c r="N913" s="106" t="n"/>
    </row>
    <row r="914">
      <c r="J914" s="87" t="n"/>
      <c r="L914" s="87" t="n"/>
      <c r="M914" s="105" t="n"/>
      <c r="N914" s="106" t="n"/>
    </row>
    <row r="915">
      <c r="J915" s="87" t="n"/>
      <c r="L915" s="87" t="n"/>
      <c r="M915" s="105" t="n"/>
      <c r="N915" s="106" t="n"/>
    </row>
    <row r="916">
      <c r="J916" s="87" t="n"/>
      <c r="L916" s="87" t="n"/>
      <c r="M916" s="105" t="n"/>
      <c r="N916" s="106" t="n"/>
    </row>
    <row r="917">
      <c r="J917" s="87" t="n"/>
      <c r="L917" s="87" t="n"/>
      <c r="M917" s="105" t="n"/>
      <c r="N917" s="106" t="n"/>
    </row>
    <row r="918">
      <c r="J918" s="87" t="n"/>
      <c r="L918" s="87" t="n"/>
      <c r="M918" s="105" t="n"/>
      <c r="N918" s="106" t="n"/>
    </row>
    <row r="919">
      <c r="J919" s="87" t="n"/>
      <c r="L919" s="87" t="n"/>
      <c r="M919" s="105" t="n"/>
      <c r="N919" s="106" t="n"/>
    </row>
    <row r="920">
      <c r="J920" s="87" t="n"/>
      <c r="L920" s="87" t="n"/>
      <c r="M920" s="105" t="n"/>
      <c r="N920" s="106" t="n"/>
    </row>
    <row r="921">
      <c r="J921" s="87" t="n"/>
      <c r="L921" s="87" t="n"/>
      <c r="M921" s="105" t="n"/>
      <c r="N921" s="106" t="n"/>
    </row>
    <row r="922">
      <c r="J922" s="87" t="n"/>
      <c r="L922" s="87" t="n"/>
      <c r="M922" s="105" t="n"/>
      <c r="N922" s="106" t="n"/>
    </row>
    <row r="923">
      <c r="J923" s="87" t="n"/>
      <c r="L923" s="87" t="n"/>
      <c r="M923" s="105" t="n"/>
      <c r="N923" s="106" t="n"/>
    </row>
    <row r="924">
      <c r="J924" s="87" t="n"/>
      <c r="L924" s="87" t="n"/>
      <c r="M924" s="105" t="n"/>
      <c r="N924" s="106" t="n"/>
    </row>
    <row r="925">
      <c r="J925" s="87" t="n"/>
      <c r="L925" s="87" t="n"/>
      <c r="M925" s="105" t="n"/>
      <c r="N925" s="106" t="n"/>
    </row>
    <row r="926">
      <c r="J926" s="87" t="n"/>
      <c r="L926" s="87" t="n"/>
      <c r="M926" s="105" t="n"/>
      <c r="N926" s="106" t="n"/>
    </row>
    <row r="927">
      <c r="J927" s="87" t="n"/>
      <c r="L927" s="87" t="n"/>
      <c r="M927" s="105" t="n"/>
      <c r="N927" s="106" t="n"/>
    </row>
    <row r="928">
      <c r="J928" s="87" t="n"/>
      <c r="L928" s="87" t="n"/>
      <c r="M928" s="105" t="n"/>
      <c r="N928" s="106" t="n"/>
    </row>
    <row r="929">
      <c r="J929" s="87" t="n"/>
      <c r="L929" s="87" t="n"/>
      <c r="M929" s="105" t="n"/>
      <c r="N929" s="106" t="n"/>
    </row>
    <row r="930">
      <c r="J930" s="87" t="n"/>
      <c r="L930" s="87" t="n"/>
      <c r="M930" s="105" t="n"/>
      <c r="N930" s="106" t="n"/>
    </row>
    <row r="931">
      <c r="J931" s="87" t="n"/>
      <c r="L931" s="87" t="n"/>
      <c r="M931" s="105" t="n"/>
      <c r="N931" s="106" t="n"/>
    </row>
    <row r="932">
      <c r="J932" s="87" t="n"/>
      <c r="L932" s="87" t="n"/>
      <c r="M932" s="105" t="n"/>
      <c r="N932" s="106" t="n"/>
    </row>
    <row r="933">
      <c r="J933" s="87" t="n"/>
      <c r="L933" s="87" t="n"/>
      <c r="M933" s="105" t="n"/>
      <c r="N933" s="106" t="n"/>
    </row>
    <row r="934">
      <c r="J934" s="87" t="n"/>
      <c r="L934" s="87" t="n"/>
      <c r="M934" s="105" t="n"/>
      <c r="N934" s="106" t="n"/>
    </row>
    <row r="935">
      <c r="J935" s="87" t="n"/>
      <c r="L935" s="87" t="n"/>
      <c r="M935" s="105" t="n"/>
      <c r="N935" s="106" t="n"/>
    </row>
    <row r="936">
      <c r="J936" s="87" t="n"/>
      <c r="L936" s="87" t="n"/>
      <c r="M936" s="105" t="n"/>
      <c r="N936" s="106" t="n"/>
    </row>
    <row r="937">
      <c r="J937" s="87" t="n"/>
      <c r="L937" s="87" t="n"/>
      <c r="M937" s="105" t="n"/>
      <c r="N937" s="106" t="n"/>
    </row>
    <row r="938">
      <c r="J938" s="87" t="n"/>
      <c r="L938" s="87" t="n"/>
      <c r="M938" s="105" t="n"/>
      <c r="N938" s="106" t="n"/>
    </row>
    <row r="939">
      <c r="J939" s="87" t="n"/>
      <c r="L939" s="87" t="n"/>
      <c r="M939" s="105" t="n"/>
      <c r="N939" s="106" t="n"/>
    </row>
    <row r="940">
      <c r="J940" s="87" t="n"/>
      <c r="L940" s="87" t="n"/>
      <c r="M940" s="105" t="n"/>
      <c r="N940" s="106" t="n"/>
    </row>
    <row r="941">
      <c r="J941" s="87" t="n"/>
      <c r="L941" s="87" t="n"/>
      <c r="M941" s="105" t="n"/>
      <c r="N941" s="106" t="n"/>
    </row>
    <row r="942">
      <c r="J942" s="87" t="n"/>
      <c r="L942" s="87" t="n"/>
      <c r="M942" s="105" t="n"/>
      <c r="N942" s="106" t="n"/>
    </row>
    <row r="943">
      <c r="J943" s="87" t="n"/>
      <c r="L943" s="87" t="n"/>
      <c r="M943" s="105" t="n"/>
      <c r="N943" s="106" t="n"/>
    </row>
    <row r="944">
      <c r="J944" s="87" t="n"/>
      <c r="L944" s="87" t="n"/>
      <c r="M944" s="105" t="n"/>
      <c r="N944" s="106" t="n"/>
    </row>
    <row r="945">
      <c r="J945" s="87" t="n"/>
      <c r="L945" s="87" t="n"/>
      <c r="M945" s="105" t="n"/>
      <c r="N945" s="106" t="n"/>
    </row>
    <row r="946">
      <c r="J946" s="87" t="n"/>
      <c r="L946" s="87" t="n"/>
      <c r="M946" s="105" t="n"/>
      <c r="N946" s="106" t="n"/>
    </row>
    <row r="947">
      <c r="J947" s="87" t="n"/>
      <c r="L947" s="87" t="n"/>
      <c r="M947" s="105" t="n"/>
      <c r="N947" s="106" t="n"/>
    </row>
    <row r="948">
      <c r="J948" s="87" t="n"/>
      <c r="L948" s="87" t="n"/>
      <c r="M948" s="105" t="n"/>
      <c r="N948" s="106" t="n"/>
    </row>
    <row r="949">
      <c r="J949" s="87" t="n"/>
      <c r="L949" s="87" t="n"/>
      <c r="M949" s="105" t="n"/>
      <c r="N949" s="106" t="n"/>
    </row>
    <row r="950">
      <c r="J950" s="87" t="n"/>
      <c r="L950" s="87" t="n"/>
      <c r="M950" s="105" t="n"/>
      <c r="N950" s="106" t="n"/>
    </row>
    <row r="951">
      <c r="J951" s="87" t="n"/>
      <c r="L951" s="87" t="n"/>
      <c r="M951" s="105" t="n"/>
      <c r="N951" s="106" t="n"/>
    </row>
    <row r="952">
      <c r="J952" s="87" t="n"/>
      <c r="L952" s="87" t="n"/>
      <c r="M952" s="105" t="n"/>
      <c r="N952" s="106" t="n"/>
    </row>
    <row r="953">
      <c r="J953" s="87" t="n"/>
      <c r="L953" s="87" t="n"/>
      <c r="M953" s="105" t="n"/>
      <c r="N953" s="106" t="n"/>
    </row>
    <row r="954">
      <c r="J954" s="87" t="n"/>
      <c r="L954" s="87" t="n"/>
      <c r="M954" s="105" t="n"/>
      <c r="N954" s="106" t="n"/>
    </row>
    <row r="955">
      <c r="J955" s="87" t="n"/>
      <c r="L955" s="87" t="n"/>
      <c r="M955" s="105" t="n"/>
      <c r="N955" s="106" t="n"/>
    </row>
    <row r="956">
      <c r="J956" s="87" t="n"/>
      <c r="L956" s="87" t="n"/>
      <c r="M956" s="105" t="n"/>
      <c r="N956" s="106" t="n"/>
    </row>
    <row r="957">
      <c r="J957" s="87" t="n"/>
      <c r="L957" s="87" t="n"/>
      <c r="M957" s="105" t="n"/>
      <c r="N957" s="106" t="n"/>
    </row>
    <row r="958">
      <c r="J958" s="87" t="n"/>
      <c r="L958" s="87" t="n"/>
      <c r="M958" s="105" t="n"/>
      <c r="N958" s="106" t="n"/>
    </row>
    <row r="959">
      <c r="J959" s="87" t="n"/>
      <c r="L959" s="87" t="n"/>
      <c r="M959" s="105" t="n"/>
      <c r="N959" s="106" t="n"/>
    </row>
    <row r="960">
      <c r="J960" s="87" t="n"/>
      <c r="L960" s="87" t="n"/>
      <c r="M960" s="105" t="n"/>
      <c r="N960" s="106" t="n"/>
    </row>
    <row r="961">
      <c r="J961" s="87" t="n"/>
      <c r="L961" s="87" t="n"/>
      <c r="M961" s="105" t="n"/>
      <c r="N961" s="106" t="n"/>
    </row>
    <row r="962">
      <c r="J962" s="87" t="n"/>
      <c r="L962" s="87" t="n"/>
      <c r="M962" s="105" t="n"/>
      <c r="N962" s="106" t="n"/>
    </row>
    <row r="963">
      <c r="J963" s="87" t="n"/>
      <c r="L963" s="87" t="n"/>
      <c r="M963" s="105" t="n"/>
      <c r="N963" s="106" t="n"/>
    </row>
    <row r="964">
      <c r="J964" s="87" t="n"/>
      <c r="L964" s="87" t="n"/>
      <c r="M964" s="105" t="n"/>
      <c r="N964" s="106" t="n"/>
    </row>
    <row r="965">
      <c r="J965" s="87" t="n"/>
      <c r="L965" s="87" t="n"/>
      <c r="M965" s="105" t="n"/>
      <c r="N965" s="106" t="n"/>
    </row>
    <row r="966">
      <c r="J966" s="87" t="n"/>
      <c r="L966" s="87" t="n"/>
      <c r="M966" s="105" t="n"/>
      <c r="N966" s="106" t="n"/>
    </row>
    <row r="967">
      <c r="J967" s="87" t="n"/>
      <c r="L967" s="87" t="n"/>
      <c r="M967" s="105" t="n"/>
      <c r="N967" s="106" t="n"/>
    </row>
    <row r="968">
      <c r="J968" s="87" t="n"/>
      <c r="L968" s="87" t="n"/>
      <c r="M968" s="105" t="n"/>
      <c r="N968" s="106" t="n"/>
    </row>
    <row r="969">
      <c r="J969" s="87" t="n"/>
      <c r="L969" s="87" t="n"/>
      <c r="M969" s="105" t="n"/>
      <c r="N969" s="106" t="n"/>
    </row>
    <row r="970">
      <c r="J970" s="87" t="n"/>
      <c r="L970" s="87" t="n"/>
      <c r="M970" s="105" t="n"/>
      <c r="N970" s="106" t="n"/>
    </row>
    <row r="971">
      <c r="J971" s="87" t="n"/>
      <c r="L971" s="87" t="n"/>
      <c r="M971" s="105" t="n"/>
      <c r="N971" s="106" t="n"/>
    </row>
    <row r="972">
      <c r="J972" s="87" t="n"/>
      <c r="L972" s="87" t="n"/>
      <c r="M972" s="105" t="n"/>
      <c r="N972" s="106" t="n"/>
    </row>
    <row r="973">
      <c r="J973" s="87" t="n"/>
      <c r="L973" s="87" t="n"/>
      <c r="M973" s="105" t="n"/>
      <c r="N973" s="106" t="n"/>
    </row>
    <row r="974">
      <c r="J974" s="87" t="n"/>
      <c r="L974" s="87" t="n"/>
      <c r="M974" s="105" t="n"/>
      <c r="N974" s="106" t="n"/>
    </row>
    <row r="975">
      <c r="J975" s="87" t="n"/>
      <c r="L975" s="87" t="n"/>
      <c r="M975" s="105" t="n"/>
      <c r="N975" s="106" t="n"/>
    </row>
    <row r="976">
      <c r="J976" s="87" t="n"/>
      <c r="L976" s="87" t="n"/>
      <c r="M976" s="105" t="n"/>
      <c r="N976" s="106" t="n"/>
    </row>
    <row r="977">
      <c r="J977" s="87" t="n"/>
      <c r="L977" s="87" t="n"/>
      <c r="M977" s="105" t="n"/>
      <c r="N977" s="106" t="n"/>
    </row>
    <row r="978">
      <c r="J978" s="87" t="n"/>
      <c r="L978" s="87" t="n"/>
      <c r="M978" s="105" t="n"/>
      <c r="N978" s="106" t="n"/>
    </row>
    <row r="979">
      <c r="J979" s="87" t="n"/>
      <c r="L979" s="87" t="n"/>
      <c r="M979" s="105" t="n"/>
      <c r="N979" s="106" t="n"/>
    </row>
    <row r="980">
      <c r="J980" s="87" t="n"/>
      <c r="L980" s="87" t="n"/>
      <c r="M980" s="105" t="n"/>
      <c r="N980" s="106" t="n"/>
    </row>
    <row r="981">
      <c r="J981" s="87" t="n"/>
      <c r="L981" s="87" t="n"/>
      <c r="M981" s="105" t="n"/>
      <c r="N981" s="106" t="n"/>
    </row>
    <row r="982">
      <c r="J982" s="87" t="n"/>
      <c r="L982" s="87" t="n"/>
      <c r="M982" s="105" t="n"/>
      <c r="N982" s="106" t="n"/>
    </row>
    <row r="983">
      <c r="J983" s="87" t="n"/>
      <c r="L983" s="87" t="n"/>
      <c r="M983" s="105" t="n"/>
      <c r="N983" s="106" t="n"/>
    </row>
    <row r="984">
      <c r="J984" s="87" t="n"/>
      <c r="L984" s="87" t="n"/>
      <c r="M984" s="105" t="n"/>
      <c r="N984" s="106" t="n"/>
    </row>
    <row r="985">
      <c r="J985" s="87" t="n"/>
      <c r="L985" s="87" t="n"/>
      <c r="M985" s="105" t="n"/>
      <c r="N985" s="106" t="n"/>
    </row>
    <row r="986">
      <c r="J986" s="87" t="n"/>
      <c r="L986" s="87" t="n"/>
      <c r="M986" s="105" t="n"/>
      <c r="N986" s="106" t="n"/>
    </row>
    <row r="987">
      <c r="J987" s="87" t="n"/>
      <c r="L987" s="87" t="n"/>
      <c r="M987" s="105" t="n"/>
      <c r="N987" s="106" t="n"/>
    </row>
    <row r="988">
      <c r="J988" s="87" t="n"/>
      <c r="L988" s="87" t="n"/>
      <c r="M988" s="105" t="n"/>
      <c r="N988" s="106" t="n"/>
    </row>
    <row r="989">
      <c r="J989" s="87" t="n"/>
      <c r="L989" s="87" t="n"/>
      <c r="M989" s="105" t="n"/>
      <c r="N989" s="106" t="n"/>
    </row>
    <row r="990">
      <c r="J990" s="87" t="n"/>
      <c r="L990" s="87" t="n"/>
      <c r="M990" s="105" t="n"/>
      <c r="N990" s="106" t="n"/>
    </row>
    <row r="991">
      <c r="J991" s="87" t="n"/>
      <c r="L991" s="87" t="n"/>
      <c r="M991" s="105" t="n"/>
      <c r="N991" s="106" t="n"/>
    </row>
    <row r="992">
      <c r="J992" s="87" t="n"/>
      <c r="L992" s="87" t="n"/>
      <c r="M992" s="105" t="n"/>
      <c r="N992" s="106" t="n"/>
    </row>
    <row r="993">
      <c r="J993" s="87" t="n"/>
      <c r="L993" s="87" t="n"/>
      <c r="M993" s="105" t="n"/>
      <c r="N993" s="106" t="n"/>
    </row>
    <row r="994">
      <c r="J994" s="87" t="n"/>
      <c r="L994" s="87" t="n"/>
      <c r="M994" s="105" t="n"/>
      <c r="N994" s="106" t="n"/>
    </row>
    <row r="995">
      <c r="J995" s="87" t="n"/>
      <c r="L995" s="87" t="n"/>
      <c r="M995" s="105" t="n"/>
      <c r="N995" s="106" t="n"/>
    </row>
    <row r="996">
      <c r="J996" s="87" t="n"/>
      <c r="L996" s="87" t="n"/>
      <c r="M996" s="105" t="n"/>
      <c r="N996" s="106" t="n"/>
    </row>
    <row r="997">
      <c r="J997" s="87" t="n"/>
      <c r="L997" s="87" t="n"/>
      <c r="M997" s="105" t="n"/>
      <c r="N997" s="106" t="n"/>
    </row>
    <row r="998">
      <c r="J998" s="87" t="n"/>
      <c r="L998" s="87" t="n"/>
      <c r="M998" s="105" t="n"/>
      <c r="N998" s="106" t="n"/>
    </row>
    <row r="999">
      <c r="J999" s="87" t="n"/>
      <c r="L999" s="87" t="n"/>
      <c r="M999" s="105" t="n"/>
      <c r="N999" s="106" t="n"/>
    </row>
    <row r="1000">
      <c r="J1000" s="87" t="n"/>
      <c r="L1000" s="87" t="n"/>
      <c r="M1000" s="105" t="n"/>
      <c r="N1000" s="106" t="n"/>
    </row>
  </sheetData>
  <mergeCells count="73">
    <mergeCell ref="B91:C91"/>
    <mergeCell ref="B97:C97"/>
    <mergeCell ref="A24:B24"/>
    <mergeCell ref="B100:C100"/>
    <mergeCell ref="B16:C16"/>
    <mergeCell ref="B54:C54"/>
    <mergeCell ref="B7:C7"/>
    <mergeCell ref="B90:C90"/>
    <mergeCell ref="B81:C81"/>
    <mergeCell ref="M111:N11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M110:N110"/>
    <mergeCell ref="B70:C70"/>
    <mergeCell ref="B21:C21"/>
    <mergeCell ref="B48:C48"/>
    <mergeCell ref="B52:C52"/>
    <mergeCell ref="B79:C79"/>
    <mergeCell ref="A99:B99"/>
    <mergeCell ref="B42:C42"/>
    <mergeCell ref="B61:C61"/>
    <mergeCell ref="A46:B46"/>
    <mergeCell ref="B101:C101"/>
    <mergeCell ref="B17:C17"/>
    <mergeCell ref="M99:N99"/>
    <mergeCell ref="B88:C88"/>
    <mergeCell ref="B8:C8"/>
    <mergeCell ref="B82:C82"/>
    <mergeCell ref="B53:C53"/>
    <mergeCell ref="B73:C73"/>
    <mergeCell ref="B69:C69"/>
    <mergeCell ref="B44:C44"/>
    <mergeCell ref="B38:C38"/>
    <mergeCell ref="B29:C29"/>
    <mergeCell ref="A77:B77"/>
    <mergeCell ref="M77:N77"/>
    <mergeCell ref="A111:C111"/>
    <mergeCell ref="B103:C103"/>
    <mergeCell ref="B19:C19"/>
    <mergeCell ref="B34:C34"/>
    <mergeCell ref="B28:C28"/>
    <mergeCell ref="M46:N46"/>
    <mergeCell ref="B37:C37"/>
    <mergeCell ref="B40:C40"/>
    <mergeCell ref="B49:C49"/>
    <mergeCell ref="B55:C55"/>
    <mergeCell ref="B92:C92"/>
    <mergeCell ref="M24:N24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41:C41"/>
    <mergeCell ref="B35:C35"/>
    <mergeCell ref="B106:C106"/>
    <mergeCell ref="M87:N8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O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42.63" customWidth="1" style="270" min="2" max="2"/>
    <col width="15.88" customWidth="1" style="270" min="4" max="4"/>
    <col width="21" customWidth="1" style="270" min="10" max="10"/>
    <col width="20.63" customWidth="1" style="270" min="12" max="12"/>
  </cols>
  <sheetData>
    <row r="1">
      <c r="A1" s="111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215" t="n"/>
      <c r="J1" s="87" t="n"/>
      <c r="L1" s="87" t="n"/>
      <c r="M1" s="105" t="n"/>
      <c r="N1" s="106" t="n"/>
    </row>
    <row r="2">
      <c r="A2" s="186" t="inlineStr">
        <is>
          <t>VIGENCIA:</t>
        </is>
      </c>
      <c r="B2" s="108" t="n">
        <v>45044</v>
      </c>
      <c r="C2" s="223" t="n"/>
      <c r="D2" s="110" t="n"/>
      <c r="E2" s="111" t="n"/>
      <c r="F2" s="111" t="n"/>
      <c r="G2" s="111" t="n"/>
      <c r="H2" s="111" t="n"/>
      <c r="I2" s="215" t="n"/>
      <c r="J2" s="87" t="n"/>
      <c r="L2" s="87" t="n"/>
      <c r="M2" s="105" t="n"/>
      <c r="N2" s="106" t="n"/>
    </row>
    <row r="3">
      <c r="J3" s="87" t="n"/>
      <c r="L3" s="87" t="n"/>
      <c r="M3" s="105" t="n"/>
      <c r="N3" s="106" t="n"/>
    </row>
    <row r="4">
      <c r="A4" s="117" t="inlineStr">
        <is>
          <t>JABONES</t>
        </is>
      </c>
      <c r="B4" s="223" t="n"/>
      <c r="C4" s="223" t="n"/>
      <c r="D4" s="118" t="inlineStr">
        <is>
          <t>Lista 20 con -7 y -2</t>
        </is>
      </c>
      <c r="E4" s="188" t="inlineStr">
        <is>
          <t xml:space="preserve">Mayorista </t>
        </is>
      </c>
      <c r="F4" s="188" t="inlineStr">
        <is>
          <t xml:space="preserve">Minorista </t>
        </is>
      </c>
      <c r="G4" s="188" t="inlineStr">
        <is>
          <t>Minorista con IVA</t>
        </is>
      </c>
      <c r="H4" s="188" t="inlineStr">
        <is>
          <t>Redondeado</t>
        </is>
      </c>
      <c r="J4" s="87" t="inlineStr">
        <is>
          <t>Antes del 7 + 2% ANTERIOR</t>
        </is>
      </c>
      <c r="L4" s="87" t="inlineStr">
        <is>
          <t>Antes del 7 + 2% ACTUAL</t>
        </is>
      </c>
      <c r="M4" s="119" t="n"/>
      <c r="N4" s="120" t="inlineStr">
        <is>
          <t>% Aumento</t>
        </is>
      </c>
      <c r="O4" s="118" t="n"/>
    </row>
    <row r="5">
      <c r="A5" s="131" t="n"/>
      <c r="B5" s="223" t="n"/>
      <c r="C5" s="223" t="n"/>
      <c r="D5" s="118" t="n"/>
      <c r="J5" s="87" t="n"/>
      <c r="L5" s="87" t="n"/>
      <c r="M5" s="119" t="n"/>
      <c r="N5" s="120" t="n"/>
      <c r="O5" s="118" t="n"/>
    </row>
    <row r="6">
      <c r="A6" s="124" t="n"/>
      <c r="B6" s="223" t="n"/>
      <c r="C6" s="223" t="n"/>
      <c r="D6" s="237" t="n"/>
      <c r="J6" s="87" t="n"/>
      <c r="L6" s="87" t="n"/>
      <c r="M6" s="128" t="n"/>
      <c r="N6" s="120" t="n"/>
      <c r="O6" s="237" t="n"/>
    </row>
    <row r="7">
      <c r="A7" s="124" t="n">
        <v>701</v>
      </c>
      <c r="B7" s="223" t="inlineStr">
        <is>
          <t>Botella 1 lt. Servicio Dilución DMQ</t>
        </is>
      </c>
      <c r="D7" s="237">
        <f>L7*0.93*0.98</f>
        <v/>
      </c>
      <c r="E7" s="87">
        <f>D7*1.3*1.105</f>
        <v/>
      </c>
      <c r="F7" s="87">
        <f>D7*1.3*1.105/0.9</f>
        <v/>
      </c>
      <c r="G7" s="87">
        <f>F7*1.21</f>
        <v/>
      </c>
      <c r="H7" s="87">
        <f>ROUND(G7/100,0)*100</f>
        <v/>
      </c>
      <c r="J7" s="87" t="n">
        <v>1169.06</v>
      </c>
      <c r="L7" s="127" t="n">
        <v>1285.96</v>
      </c>
      <c r="M7" s="128" t="n"/>
      <c r="N7" s="120">
        <f>(L7/J7)-1</f>
        <v/>
      </c>
      <c r="O7" s="237" t="n"/>
    </row>
    <row r="8">
      <c r="A8" s="124" t="n">
        <v>720</v>
      </c>
      <c r="B8" s="223" t="inlineStr">
        <is>
          <t>Bidon x 5 lts. Jabón Líquido Tocador</t>
        </is>
      </c>
      <c r="D8" s="237">
        <f>L8*0.93*0.98</f>
        <v/>
      </c>
      <c r="E8" s="87">
        <f>D8*1.3*1.105</f>
        <v/>
      </c>
      <c r="F8" s="87">
        <f>D8*1.3*1.105/0.9</f>
        <v/>
      </c>
      <c r="G8" s="87">
        <f>F8*1.21</f>
        <v/>
      </c>
      <c r="H8" s="87">
        <f>ROUND(G8/100,0)*100</f>
        <v/>
      </c>
      <c r="J8" s="87" t="n">
        <v>3666.6</v>
      </c>
      <c r="L8" s="230" t="n">
        <v>4032.92</v>
      </c>
      <c r="M8" s="128" t="n"/>
      <c r="N8" s="120">
        <f>(L8/J8)-1</f>
        <v/>
      </c>
      <c r="O8" s="237" t="n"/>
    </row>
    <row r="9">
      <c r="A9" s="124" t="n"/>
      <c r="B9" s="223" t="n"/>
      <c r="C9" s="223" t="n"/>
      <c r="D9" s="237" t="n"/>
      <c r="J9" s="87" t="n"/>
      <c r="L9" s="87" t="n"/>
      <c r="M9" s="128" t="n"/>
      <c r="N9" s="120" t="n"/>
      <c r="O9" s="237" t="n"/>
    </row>
    <row r="10">
      <c r="A10" s="117" t="inlineStr">
        <is>
          <t>TOALLAS</t>
        </is>
      </c>
      <c r="B10" s="223" t="n"/>
      <c r="C10" s="223" t="n"/>
      <c r="D10" s="237" t="n"/>
      <c r="J10" s="87" t="n"/>
      <c r="L10" s="87" t="n"/>
      <c r="M10" s="119" t="n"/>
      <c r="N10" s="120" t="n"/>
      <c r="O10" s="237" t="n"/>
    </row>
    <row r="11">
      <c r="A11" s="131" t="n"/>
      <c r="B11" s="223" t="n"/>
      <c r="C11" s="223" t="n"/>
      <c r="D11" s="237" t="n"/>
      <c r="J11" s="87" t="n"/>
      <c r="L11" s="87" t="n"/>
      <c r="M11" s="119" t="n"/>
      <c r="N11" s="120" t="n"/>
      <c r="O11" s="237" t="n"/>
    </row>
    <row r="12">
      <c r="A12" s="124" t="n">
        <v>901</v>
      </c>
      <c r="B12" s="223" t="inlineStr">
        <is>
          <t>Toallas Blancas Super 21x25</t>
        </is>
      </c>
      <c r="C12" s="223" t="n"/>
      <c r="D12" s="237">
        <f>L12*0.93*0.98</f>
        <v/>
      </c>
      <c r="E12" s="87">
        <f>D12*1.3*1.105</f>
        <v/>
      </c>
      <c r="F12" s="87">
        <f>D12*1.3*1.105/0.9</f>
        <v/>
      </c>
      <c r="G12" s="87">
        <f>F12*1.21</f>
        <v/>
      </c>
      <c r="H12" s="87">
        <f>ROUND(G12/100,0)*100</f>
        <v/>
      </c>
      <c r="J12" s="87" t="n">
        <v>4350.88</v>
      </c>
      <c r="L12" s="127" t="n">
        <v>4785.97</v>
      </c>
      <c r="M12" s="128" t="n"/>
      <c r="N12" s="120">
        <f>(L12/J12)-1</f>
        <v/>
      </c>
      <c r="O12" s="237" t="n"/>
    </row>
    <row r="13">
      <c r="A13" s="124" t="n">
        <v>902</v>
      </c>
      <c r="B13" s="223" t="inlineStr">
        <is>
          <t>Toallas Blancas Pura Simple</t>
        </is>
      </c>
      <c r="C13" s="223" t="n"/>
      <c r="D13" s="237">
        <f>L13*0.93*0.98</f>
        <v/>
      </c>
      <c r="E13" s="87">
        <f>D13*1.3*1.105</f>
        <v/>
      </c>
      <c r="F13" s="87">
        <f>D13*1.3*1.105/0.9</f>
        <v/>
      </c>
      <c r="G13" s="87">
        <f>F13*1.21</f>
        <v/>
      </c>
      <c r="H13" s="87">
        <f>ROUND(G13/100,0)*100</f>
        <v/>
      </c>
      <c r="J13" s="87" t="n">
        <v>4824.2</v>
      </c>
      <c r="L13" s="230" t="n">
        <v>5306.62</v>
      </c>
      <c r="M13" s="128" t="n"/>
      <c r="N13" s="120">
        <f>(L13/J13)-1</f>
        <v/>
      </c>
      <c r="O13" s="237" t="n"/>
    </row>
    <row r="14">
      <c r="A14" s="124" t="n">
        <v>903</v>
      </c>
      <c r="B14" s="223" t="inlineStr">
        <is>
          <t>Toallas Blancas Pura Doble</t>
        </is>
      </c>
      <c r="C14" s="223" t="n"/>
      <c r="D14" s="237">
        <f>L14*0.93*0.98</f>
        <v/>
      </c>
      <c r="E14" s="87">
        <f>D14*1.3*1.105</f>
        <v/>
      </c>
      <c r="F14" s="87">
        <f>D14*1.3*1.105/0.9</f>
        <v/>
      </c>
      <c r="G14" s="87">
        <f>F14*1.21</f>
        <v/>
      </c>
      <c r="H14" s="87">
        <f>ROUND(G14/100,0)*100</f>
        <v/>
      </c>
      <c r="J14" s="87" t="n">
        <v>6012.08</v>
      </c>
      <c r="L14" s="230" t="n">
        <v>6613.29</v>
      </c>
      <c r="M14" s="128" t="n"/>
      <c r="N14" s="120">
        <f>(L14/J14)-1</f>
        <v/>
      </c>
      <c r="O14" s="237" t="n"/>
    </row>
    <row r="15">
      <c r="A15" s="124" t="n">
        <v>914</v>
      </c>
      <c r="B15" s="223" t="inlineStr">
        <is>
          <t>Toalla Blanca Unitas (17,5x25 cm)</t>
        </is>
      </c>
      <c r="D15" s="237">
        <f>L15*0.93*0.98</f>
        <v/>
      </c>
      <c r="E15" s="87">
        <f>D15*1.3*1.105</f>
        <v/>
      </c>
      <c r="F15" s="87">
        <f>D15*1.3*1.105/0.9</f>
        <v/>
      </c>
      <c r="G15" s="87">
        <f>F15*1.21</f>
        <v/>
      </c>
      <c r="H15" s="87">
        <f>ROUND(G15/100,0)*100</f>
        <v/>
      </c>
      <c r="J15" s="87" t="n">
        <v>3315.24</v>
      </c>
      <c r="L15" s="230" t="n">
        <v>3646.76</v>
      </c>
      <c r="M15" s="128" t="n"/>
      <c r="N15" s="120">
        <f>(L15/J15)-1</f>
        <v/>
      </c>
      <c r="O15" s="237" t="n"/>
    </row>
    <row r="16">
      <c r="A16" s="124" t="n">
        <v>916</v>
      </c>
      <c r="B16" s="223" t="inlineStr">
        <is>
          <t>Toalla Blanca Especial 21 x 25 ( tiza )</t>
        </is>
      </c>
      <c r="D16" s="237">
        <f>L16*0.93*0.98</f>
        <v/>
      </c>
      <c r="E16" s="87">
        <f>D16*1.3*1.105</f>
        <v/>
      </c>
      <c r="F16" s="87">
        <f>D16*1.3*1.105/0.9</f>
        <v/>
      </c>
      <c r="G16" s="87">
        <f>F16*1.21</f>
        <v/>
      </c>
      <c r="H16" s="87">
        <f>ROUND(G16/100,0)*100</f>
        <v/>
      </c>
      <c r="J16" s="87" t="n">
        <v>4057.68</v>
      </c>
      <c r="L16" s="230" t="n">
        <v>4463.45</v>
      </c>
      <c r="M16" s="128" t="n"/>
      <c r="N16" s="120">
        <f>(L16/J16)-1</f>
        <v/>
      </c>
      <c r="O16" s="237" t="n"/>
    </row>
    <row r="17">
      <c r="A17" s="124" t="n">
        <v>920</v>
      </c>
      <c r="B17" s="223" t="inlineStr">
        <is>
          <t>Toalla Blanca Especial 21 x 37 ( tiza )</t>
        </is>
      </c>
      <c r="D17" s="237">
        <f>L17*0.93*0.98</f>
        <v/>
      </c>
      <c r="E17" s="87">
        <f>D17*1.3*1.105</f>
        <v/>
      </c>
      <c r="F17" s="87">
        <f>D17*1.3*1.105/0.9</f>
        <v/>
      </c>
      <c r="G17" s="87">
        <f>F17*1.21</f>
        <v/>
      </c>
      <c r="H17" s="87">
        <f>ROUND(G17/100,0)*100</f>
        <v/>
      </c>
      <c r="J17" s="87" t="n">
        <v>5535.28</v>
      </c>
      <c r="L17" s="230" t="n">
        <v>6088.81</v>
      </c>
      <c r="M17" s="128" t="n"/>
      <c r="N17" s="120">
        <f>(L17/J17)-1</f>
        <v/>
      </c>
      <c r="O17" s="237" t="n"/>
    </row>
    <row r="18">
      <c r="A18" s="124" t="n">
        <v>927</v>
      </c>
      <c r="B18" s="223" t="inlineStr">
        <is>
          <t>Toalla Blanca Especial 17,5 x 25 ( tiza ) Unita</t>
        </is>
      </c>
      <c r="D18" s="237">
        <f>L18*0.93*0.98</f>
        <v/>
      </c>
      <c r="E18" s="87">
        <f>D18*1.3*1.105</f>
        <v/>
      </c>
      <c r="F18" s="87">
        <f>D18*1.3*1.105/0.9</f>
        <v/>
      </c>
      <c r="G18" s="87">
        <f>F18*1.21</f>
        <v/>
      </c>
      <c r="H18" s="87">
        <f>ROUND(G18/100,0)*100</f>
        <v/>
      </c>
      <c r="J18" s="87" t="n">
        <v>3180.7</v>
      </c>
      <c r="L18" s="230" t="n">
        <v>3498.76</v>
      </c>
      <c r="M18" s="128" t="n"/>
      <c r="N18" s="120">
        <f>(L18/J18)-1</f>
        <v/>
      </c>
      <c r="O18" s="237" t="n"/>
    </row>
    <row r="19">
      <c r="A19" s="124" t="n">
        <v>928</v>
      </c>
      <c r="B19" s="223" t="inlineStr">
        <is>
          <t>Cajas x 2500 Toallas Beige 21x37</t>
        </is>
      </c>
      <c r="D19" s="237">
        <f>L19*0.93*0.98</f>
        <v/>
      </c>
      <c r="E19" s="87">
        <f>D19*1.3*1.105</f>
        <v/>
      </c>
      <c r="F19" s="87">
        <f>D19*1.3*1.105/0.9</f>
        <v/>
      </c>
      <c r="G19" s="87">
        <f>F19*1.21</f>
        <v/>
      </c>
      <c r="H19" s="87">
        <f>ROUND(G19/100,0)*100</f>
        <v/>
      </c>
      <c r="J19" s="87" t="n">
        <v>4687.93</v>
      </c>
      <c r="L19" s="230" t="n">
        <v>5156.72</v>
      </c>
      <c r="M19" s="128" t="n"/>
      <c r="N19" s="120">
        <f>(L19/J19)-1</f>
        <v/>
      </c>
      <c r="O19" s="237" t="n"/>
    </row>
    <row r="20">
      <c r="A20" s="124" t="n">
        <v>930</v>
      </c>
      <c r="B20" s="223" t="inlineStr">
        <is>
          <t>Toalla Blanca Super 21x37 cm</t>
        </is>
      </c>
      <c r="C20" s="223" t="n"/>
      <c r="D20" s="237">
        <f>L20*0.93*0.98</f>
        <v/>
      </c>
      <c r="E20" s="87">
        <f>D20*1.3*1.105</f>
        <v/>
      </c>
      <c r="F20" s="87">
        <f>D20*1.3*1.105/0.9</f>
        <v/>
      </c>
      <c r="G20" s="87">
        <f>F20*1.21</f>
        <v/>
      </c>
      <c r="H20" s="87">
        <f>ROUND(G20/100,0)*100</f>
        <v/>
      </c>
      <c r="J20" s="87" t="n">
        <v>5983.21</v>
      </c>
      <c r="L20" s="230" t="n">
        <v>6581.53</v>
      </c>
      <c r="M20" s="128" t="n"/>
      <c r="N20" s="120">
        <f>(L20/J20)-1</f>
        <v/>
      </c>
      <c r="O20" s="237" t="n"/>
    </row>
    <row r="21">
      <c r="A21" s="124" t="n">
        <v>931</v>
      </c>
      <c r="B21" s="223" t="inlineStr">
        <is>
          <t>Caja x 2500 Toallas Beige Unitas 17,5 cm x 25 cm</t>
        </is>
      </c>
      <c r="D21" s="237">
        <f>L21*0.93*0.98</f>
        <v/>
      </c>
      <c r="E21" s="87">
        <f>D21*1.3*1.105</f>
        <v/>
      </c>
      <c r="F21" s="87">
        <f>D21*1.3*1.105/0.9</f>
        <v/>
      </c>
      <c r="G21" s="87">
        <f>F21*1.21</f>
        <v/>
      </c>
      <c r="H21" s="87">
        <f>ROUND(G21/100,0)*100</f>
        <v/>
      </c>
      <c r="I21" s="87">
        <f>F21*1.1</f>
        <v/>
      </c>
      <c r="J21" s="87" t="n">
        <v>2926.26</v>
      </c>
      <c r="L21" s="230" t="n">
        <v>3218.89</v>
      </c>
      <c r="M21" s="128" t="n"/>
      <c r="N21" s="120">
        <f>(L21/J21)-1</f>
        <v/>
      </c>
      <c r="O21" s="237" t="n"/>
    </row>
    <row r="22">
      <c r="A22" s="124" t="n">
        <v>932</v>
      </c>
      <c r="B22" s="223" t="inlineStr">
        <is>
          <t>Caja x 2500 Toallas Beige 21 cm x 25 cm simple hoja</t>
        </is>
      </c>
      <c r="D22" s="237">
        <f>L22*0.93*0.98</f>
        <v/>
      </c>
      <c r="E22" s="87">
        <f>D22*1.3*1.105</f>
        <v/>
      </c>
      <c r="F22" s="87">
        <f>D22*1.3*1.105/0.9</f>
        <v/>
      </c>
      <c r="G22" s="87">
        <f>F22*1.21</f>
        <v/>
      </c>
      <c r="H22" s="87">
        <f>ROUND(G22/100,0)*100</f>
        <v/>
      </c>
      <c r="J22" s="87" t="n">
        <v>3336.44</v>
      </c>
      <c r="L22" s="230" t="n">
        <v>3670.08</v>
      </c>
      <c r="M22" s="128" t="n"/>
      <c r="N22" s="120">
        <f>(L22/J22)-1</f>
        <v/>
      </c>
      <c r="O22" s="237" t="n"/>
    </row>
    <row r="23">
      <c r="A23" s="124" t="n"/>
      <c r="B23" s="223" t="n"/>
      <c r="C23" s="223" t="n"/>
      <c r="D23" s="237" t="n"/>
      <c r="J23" s="87" t="n"/>
      <c r="L23" s="87" t="n"/>
      <c r="M23" s="128" t="n"/>
      <c r="N23" s="120" t="n"/>
      <c r="O23" s="237" t="n"/>
    </row>
    <row r="24">
      <c r="A24" s="117" t="inlineStr">
        <is>
          <t>TOALLAS EN ROLLO</t>
        </is>
      </c>
      <c r="B24" s="271" t="n"/>
      <c r="C24" s="223" t="n"/>
      <c r="D24" s="237" t="n"/>
      <c r="J24" s="87" t="n"/>
      <c r="L24" s="87" t="n"/>
      <c r="M24" s="119" t="n"/>
      <c r="O24" s="237" t="n"/>
    </row>
    <row r="25">
      <c r="A25" s="131" t="n"/>
      <c r="B25" s="111" t="n"/>
      <c r="C25" s="223" t="n"/>
      <c r="D25" s="237" t="n"/>
      <c r="J25" s="87" t="n"/>
      <c r="L25" s="87" t="n"/>
      <c r="M25" s="119" t="n"/>
      <c r="N25" s="132" t="n"/>
      <c r="O25" s="237" t="n"/>
    </row>
    <row r="26">
      <c r="A26" s="124" t="n">
        <v>204</v>
      </c>
      <c r="B26" s="223" t="inlineStr">
        <is>
          <t>Pack X 2 Rollos de toalla x 300 mts Blanca</t>
        </is>
      </c>
      <c r="D26" s="237">
        <f>L26*0.93*0.98</f>
        <v/>
      </c>
      <c r="E26" s="87">
        <f>D26*1.3*1.105</f>
        <v/>
      </c>
      <c r="F26" s="87">
        <f>D26*1.3*1.105/0.9</f>
        <v/>
      </c>
      <c r="G26" s="87">
        <f>F26*1.21</f>
        <v/>
      </c>
      <c r="H26" s="87">
        <f>ROUND(G26/100,0)*100</f>
        <v/>
      </c>
      <c r="J26" s="87" t="n">
        <v>6566.48</v>
      </c>
      <c r="L26" s="87" t="n">
        <v>7223.13</v>
      </c>
      <c r="M26" s="128" t="n"/>
      <c r="N26" s="120">
        <f>(L26/J26)-1</f>
        <v/>
      </c>
      <c r="O26" s="237" t="n"/>
    </row>
    <row r="27">
      <c r="A27" s="124" t="n">
        <v>205</v>
      </c>
      <c r="B27" s="223" t="inlineStr">
        <is>
          <t>Pack X 2 Rollos de toalla x 240 mts Blanca</t>
        </is>
      </c>
      <c r="D27" s="237">
        <f>L27*0.93*0.98</f>
        <v/>
      </c>
      <c r="E27" s="87">
        <f>D27*1.3*1.105</f>
        <v/>
      </c>
      <c r="F27" s="87">
        <f>D27*1.3*1.105/0.9</f>
        <v/>
      </c>
      <c r="G27" s="87">
        <f>F27*1.21</f>
        <v/>
      </c>
      <c r="H27" s="87">
        <f>ROUND(G27/100,0)*100</f>
        <v/>
      </c>
      <c r="J27" s="87" t="n">
        <v>8368</v>
      </c>
      <c r="L27" s="87" t="n">
        <v>9204.799999999999</v>
      </c>
      <c r="M27" s="128" t="n"/>
      <c r="N27" s="120">
        <f>(L27/J27)-1</f>
        <v/>
      </c>
      <c r="O27" s="237" t="n"/>
    </row>
    <row r="28">
      <c r="A28" s="133" t="n">
        <v>116</v>
      </c>
      <c r="B28" s="134" t="inlineStr">
        <is>
          <t>Pack x 6 Rollos de Toallas x 200 mts. Blanca</t>
        </is>
      </c>
      <c r="D28" s="135">
        <f>L28*0.93*0.98</f>
        <v/>
      </c>
      <c r="E28" s="87">
        <f>D28*1.3*1.105</f>
        <v/>
      </c>
      <c r="F28" s="87">
        <f>D28*1.3*1.105/0.9</f>
        <v/>
      </c>
      <c r="G28" s="87">
        <f>F28*1.21</f>
        <v/>
      </c>
      <c r="H28" s="87">
        <f>ROUND(G28/100,0)*100</f>
        <v/>
      </c>
      <c r="J28" s="87" t="n">
        <v>6620.2</v>
      </c>
      <c r="L28" s="87" t="n">
        <v>7282.22</v>
      </c>
      <c r="M28" s="128" t="n"/>
      <c r="N28" s="120">
        <f>(L28/J28)-1</f>
        <v/>
      </c>
      <c r="O28" s="135" t="n"/>
    </row>
    <row r="29">
      <c r="A29" s="124" t="n">
        <v>135</v>
      </c>
      <c r="B29" s="223" t="inlineStr">
        <is>
          <t>Recarga Original P/Dispenser Celmatic 2500 U. Dobles</t>
        </is>
      </c>
      <c r="D29" s="237">
        <f>L29*0.93*0.98</f>
        <v/>
      </c>
      <c r="E29" s="87">
        <f>D29*1.3*1.105</f>
        <v/>
      </c>
      <c r="F29" s="87">
        <f>D29*1.3*1.105/0.9</f>
        <v/>
      </c>
      <c r="G29" s="87">
        <f>F29*1.21</f>
        <v/>
      </c>
      <c r="H29" s="87">
        <f>ROUND(G29/100,0)*100</f>
        <v/>
      </c>
      <c r="J29" s="87" t="n">
        <v>3208.44</v>
      </c>
      <c r="L29" s="87" t="n">
        <v>3529.28</v>
      </c>
      <c r="M29" s="128" t="n"/>
      <c r="N29" s="120">
        <f>(L29/J29)-1</f>
        <v/>
      </c>
      <c r="O29" s="237" t="n"/>
    </row>
    <row r="30">
      <c r="A30" s="124" t="n">
        <v>136</v>
      </c>
      <c r="B30" s="223" t="inlineStr">
        <is>
          <t>Pack x 4 Recarga Celmatic Due 2400 U. Dobles</t>
        </is>
      </c>
      <c r="D30" s="237">
        <f>L30*0.93*0.98</f>
        <v/>
      </c>
      <c r="E30" s="87">
        <f>D30*1.3*1.105</f>
        <v/>
      </c>
      <c r="F30" s="87">
        <f>D30*1.3*1.105/0.9</f>
        <v/>
      </c>
      <c r="G30" s="87">
        <f>F30*1.21</f>
        <v/>
      </c>
      <c r="H30" s="87">
        <f>ROUND(G30/100,0)*100</f>
        <v/>
      </c>
      <c r="J30" s="87" t="n">
        <v>2557</v>
      </c>
      <c r="L30" s="87" t="n">
        <v>2812.7</v>
      </c>
      <c r="M30" s="128" t="n"/>
      <c r="N30" s="120">
        <f>(L30/J30)-1</f>
        <v/>
      </c>
      <c r="O30" s="237" t="n"/>
    </row>
    <row r="31">
      <c r="A31" s="124" t="n"/>
      <c r="B31" s="223" t="n"/>
      <c r="C31" s="223" t="n"/>
      <c r="D31" s="237" t="n"/>
      <c r="J31" s="87" t="n"/>
      <c r="L31" s="87" t="n"/>
      <c r="M31" s="128" t="n"/>
      <c r="N31" s="120" t="n"/>
      <c r="O31" s="237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 t="n"/>
      <c r="J32" s="87" t="n"/>
      <c r="L32" s="87" t="n"/>
      <c r="M32" s="119" t="n"/>
      <c r="N32" s="120" t="n"/>
      <c r="O32" s="137" t="n"/>
    </row>
    <row r="33">
      <c r="A33" s="131" t="n"/>
      <c r="B33" s="158" t="n"/>
      <c r="C33" s="223" t="n"/>
      <c r="D33" s="169" t="n"/>
      <c r="J33" s="87" t="n"/>
      <c r="L33" s="87" t="n"/>
      <c r="M33" s="119" t="n"/>
      <c r="N33" s="120" t="n"/>
      <c r="O33" s="169" t="n"/>
    </row>
    <row r="34">
      <c r="A34" s="124" t="n">
        <v>501</v>
      </c>
      <c r="B34" s="140" t="inlineStr">
        <is>
          <t>Pack x 2 rollos Cel-Soft de 22,5 x 150 mts</t>
        </is>
      </c>
      <c r="D34" s="237">
        <f>L34*0.93*0.98</f>
        <v/>
      </c>
      <c r="E34" s="87">
        <f>D34*1.3*1.105</f>
        <v/>
      </c>
      <c r="F34" s="87">
        <f>D34*1.3*1.105/0.9</f>
        <v/>
      </c>
      <c r="G34" s="87">
        <f>F34*1.21</f>
        <v/>
      </c>
      <c r="H34" s="87">
        <f>ROUND(G34/100,0)*100</f>
        <v/>
      </c>
      <c r="J34" s="87" t="n">
        <v>57</v>
      </c>
      <c r="L34" s="87" t="n">
        <v>57</v>
      </c>
      <c r="M34" s="128" t="n"/>
      <c r="N34" s="141">
        <f>(L34/J34)-1</f>
        <v/>
      </c>
      <c r="O34" s="237" t="n"/>
    </row>
    <row r="35">
      <c r="A35" s="124" t="n">
        <v>505</v>
      </c>
      <c r="B35" s="223" t="inlineStr">
        <is>
          <t>Caja x 2000 U. Servilletas Cel-Soft 30 x 40 cm</t>
        </is>
      </c>
      <c r="D35" s="237">
        <f>L35*0.93*0.98</f>
        <v/>
      </c>
      <c r="E35" s="87">
        <f>D35*1.3*1.105</f>
        <v/>
      </c>
      <c r="F35" s="87">
        <f>D35*1.3*1.105/0.9</f>
        <v/>
      </c>
      <c r="G35" s="87">
        <f>F35*1.21</f>
        <v/>
      </c>
      <c r="H35" s="87">
        <f>ROUND(G35/100,0)*100</f>
        <v/>
      </c>
      <c r="J35" s="87" t="n">
        <v>273.74</v>
      </c>
      <c r="L35" s="87" t="n">
        <v>273.74</v>
      </c>
      <c r="M35" s="128" t="n"/>
      <c r="N35" s="120">
        <f>(L35/J35)-1</f>
        <v/>
      </c>
      <c r="O35" s="237" t="n"/>
    </row>
    <row r="36">
      <c r="A36" s="124" t="n">
        <v>506</v>
      </c>
      <c r="B36" s="223" t="inlineStr">
        <is>
          <t>Caja x 3500 Toallas Cel-Soft 21 x 25 cm Blancas</t>
        </is>
      </c>
      <c r="D36" s="237">
        <f>L36*0.93*0.98</f>
        <v/>
      </c>
      <c r="E36" s="87">
        <f>D36*1.3*1.105</f>
        <v/>
      </c>
      <c r="F36" s="87">
        <f>D36*1.3*1.105/0.9</f>
        <v/>
      </c>
      <c r="G36" s="87">
        <f>F36*1.21</f>
        <v/>
      </c>
      <c r="H36" s="87">
        <f>ROUND(G36/100,0)*100</f>
        <v/>
      </c>
      <c r="J36" s="87" t="n">
        <v>153.22</v>
      </c>
      <c r="L36" s="87" t="n">
        <v>153.22</v>
      </c>
      <c r="M36" s="128" t="n"/>
      <c r="N36" s="120">
        <f>(L36/J36)-1</f>
        <v/>
      </c>
      <c r="O36" s="237" t="n"/>
    </row>
    <row r="37">
      <c r="A37" s="124" t="n">
        <v>512</v>
      </c>
      <c r="B37" s="223" t="inlineStr">
        <is>
          <t>Caja x 2000 U. Servilletas Cel-Soft 30 x 25 cm</t>
        </is>
      </c>
      <c r="D37" s="237">
        <f>L37*0.93*0.98</f>
        <v/>
      </c>
      <c r="E37" s="87">
        <f>D37*1.3*1.105</f>
        <v/>
      </c>
      <c r="F37" s="87">
        <f>D37*1.3*1.105/0.9</f>
        <v/>
      </c>
      <c r="G37" s="87">
        <f>F37*1.21</f>
        <v/>
      </c>
      <c r="H37" s="87">
        <f>ROUND(G37/100,0)*100</f>
        <v/>
      </c>
      <c r="J37" s="87" t="n">
        <v>173.66</v>
      </c>
      <c r="L37" s="87" t="n">
        <v>173.66</v>
      </c>
      <c r="M37" s="128" t="n"/>
      <c r="N37" s="120">
        <f>(L37/J37)-1</f>
        <v/>
      </c>
      <c r="O37" s="237" t="n"/>
    </row>
    <row r="38">
      <c r="A38" s="124" t="n">
        <v>514</v>
      </c>
      <c r="B38" s="223" t="inlineStr">
        <is>
          <t>Caja por 600 servilletas Celsoft 40x40 Victoria Ambra</t>
        </is>
      </c>
      <c r="D38" s="237">
        <f>L38*0.93*0.98</f>
        <v/>
      </c>
      <c r="E38" s="87">
        <f>D38*1.3*1.105</f>
        <v/>
      </c>
      <c r="F38" s="87">
        <f>D38*1.3*1.105/0.9</f>
        <v/>
      </c>
      <c r="G38" s="87">
        <f>F38*1.21</f>
        <v/>
      </c>
      <c r="H38" s="87">
        <f>ROUND(G38/100,0)*100</f>
        <v/>
      </c>
      <c r="J38" s="87" t="n">
        <v>187.2</v>
      </c>
      <c r="L38" s="87" t="n">
        <v>187.2</v>
      </c>
      <c r="M38" s="128" t="n"/>
      <c r="N38" s="120">
        <f>(L38/J38)-1</f>
        <v/>
      </c>
      <c r="O38" s="237" t="n"/>
    </row>
    <row r="39">
      <c r="A39" s="124" t="n">
        <v>515</v>
      </c>
      <c r="B39" s="223" t="inlineStr">
        <is>
          <t>Caja por 600 servilletas Celsoft 40x40 Victoria Nero</t>
        </is>
      </c>
      <c r="D39" s="237">
        <f>L39*0.93*0.98</f>
        <v/>
      </c>
      <c r="E39" s="87">
        <f>D39*1.3*1.105</f>
        <v/>
      </c>
      <c r="F39" s="87">
        <f>D39*1.3*1.105/0.9</f>
        <v/>
      </c>
      <c r="G39" s="87">
        <f>F39*1.21</f>
        <v/>
      </c>
      <c r="H39" s="87">
        <f>ROUND(G39/100,0)*100</f>
        <v/>
      </c>
      <c r="J39" s="87" t="n">
        <v>187.2</v>
      </c>
      <c r="L39" s="87" t="n">
        <v>187.2</v>
      </c>
      <c r="M39" s="128" t="n"/>
      <c r="N39" s="120">
        <f>(L39/J39)-1</f>
        <v/>
      </c>
      <c r="O39" s="237" t="n"/>
    </row>
    <row r="40">
      <c r="A40" s="124" t="n">
        <v>516</v>
      </c>
      <c r="B40" s="223" t="inlineStr">
        <is>
          <t>Caja por 600 servilletas Celsoft 40x40 Tasca Bordeaux</t>
        </is>
      </c>
      <c r="D40" s="237">
        <f>L40*0.93*0.98</f>
        <v/>
      </c>
      <c r="E40" s="87">
        <f>D40*1.3*1.105</f>
        <v/>
      </c>
      <c r="F40" s="87">
        <f>D40*1.3*1.105/0.9</f>
        <v/>
      </c>
      <c r="G40" s="87">
        <f>F40*1.21</f>
        <v/>
      </c>
      <c r="H40" s="87">
        <f>ROUND(G40/100,0)*100</f>
        <v/>
      </c>
      <c r="J40" s="87" t="n">
        <v>220.74</v>
      </c>
      <c r="L40" s="87" t="n">
        <v>220.74</v>
      </c>
      <c r="M40" s="128" t="n"/>
      <c r="N40" s="120">
        <f>(L40/J40)-1</f>
        <v/>
      </c>
      <c r="O40" s="237" t="n"/>
    </row>
    <row r="41">
      <c r="A41" s="124" t="n">
        <v>517</v>
      </c>
      <c r="B41" s="223" t="inlineStr">
        <is>
          <t>Caja por 600 servilletas Celsoft 40x40 Tasca Nero</t>
        </is>
      </c>
      <c r="D41" s="237">
        <f>L41*0.93*0.98</f>
        <v/>
      </c>
      <c r="E41" s="87">
        <f>D41*1.3*1.105</f>
        <v/>
      </c>
      <c r="F41" s="87">
        <f>D41*1.3*1.105/0.9</f>
        <v/>
      </c>
      <c r="G41" s="87">
        <f>F41*1.21</f>
        <v/>
      </c>
      <c r="H41" s="87">
        <f>ROUND(G41/100,0)*100</f>
        <v/>
      </c>
      <c r="J41" s="87" t="n">
        <v>220.74</v>
      </c>
      <c r="L41" s="87" t="n">
        <v>220.74</v>
      </c>
      <c r="M41" s="128" t="n"/>
      <c r="N41" s="120">
        <f>(L41/J41)-1</f>
        <v/>
      </c>
      <c r="O41" s="237" t="n"/>
    </row>
    <row r="42">
      <c r="A42" s="124" t="n">
        <v>518</v>
      </c>
      <c r="B42" s="223" t="inlineStr">
        <is>
          <t>Caja por 600 servilletas Celsoft 40x40 Tasca Lino Avorio</t>
        </is>
      </c>
      <c r="D42" s="237">
        <f>L42*0.93*0.98</f>
        <v/>
      </c>
      <c r="E42" s="87">
        <f>D42*1.3*1.105</f>
        <v/>
      </c>
      <c r="F42" s="87">
        <f>D42*1.3*1.105/0.9</f>
        <v/>
      </c>
      <c r="G42" s="87">
        <f>F42*1.21</f>
        <v/>
      </c>
      <c r="H42" s="87">
        <f>ROUND(G42/100,0)*100</f>
        <v/>
      </c>
      <c r="J42" s="87" t="n">
        <v>187.2</v>
      </c>
      <c r="L42" s="87" t="n">
        <v>187.2</v>
      </c>
      <c r="M42" s="128" t="n"/>
      <c r="N42" s="120">
        <f>(L42/J42)-1</f>
        <v/>
      </c>
      <c r="O42" s="237" t="n"/>
    </row>
    <row r="43">
      <c r="A43" s="124" t="n">
        <v>519</v>
      </c>
      <c r="B43" s="223" t="inlineStr">
        <is>
          <t>Caja por 600 servilletas Celsoft 40x40 Taca Iuta Grigio</t>
        </is>
      </c>
      <c r="D43" s="237">
        <f>L43*0.93*0.98</f>
        <v/>
      </c>
      <c r="E43" s="87">
        <f>D43*1.3*1.105</f>
        <v/>
      </c>
      <c r="F43" s="87">
        <f>D43*1.3*1.105/0.9</f>
        <v/>
      </c>
      <c r="G43" s="87">
        <f>F43*1.21</f>
        <v/>
      </c>
      <c r="H43" s="87">
        <f>ROUND(G43/100,0)*100</f>
        <v/>
      </c>
      <c r="J43" s="87" t="n">
        <v>187.2</v>
      </c>
      <c r="L43" s="87" t="n">
        <v>187.2</v>
      </c>
      <c r="M43" s="128" t="n"/>
      <c r="N43" s="120">
        <f>(L43/J43)-1</f>
        <v/>
      </c>
      <c r="O43" s="237" t="n"/>
    </row>
    <row r="44">
      <c r="A44" s="124" t="n">
        <v>520</v>
      </c>
      <c r="B44" s="223" t="inlineStr">
        <is>
          <t>Caja de servilletas Celsoft 40 x 40 SAMPLER 300 Unid</t>
        </is>
      </c>
      <c r="D44" s="237">
        <f>L44*0.93*0.98</f>
        <v/>
      </c>
      <c r="E44" s="87">
        <f>D44*1.3*1.105</f>
        <v/>
      </c>
      <c r="F44" s="87">
        <f>D44*1.3*1.105/0.9</f>
        <v/>
      </c>
      <c r="G44" s="87">
        <f>F44*1.21</f>
        <v/>
      </c>
      <c r="H44" s="87">
        <f>ROUND(G44/100,0)*100</f>
        <v/>
      </c>
      <c r="J44" s="87" t="n">
        <v>99.09</v>
      </c>
      <c r="L44" s="87" t="n">
        <v>99.09</v>
      </c>
      <c r="M44" s="128" t="n"/>
      <c r="N44" s="120">
        <f>(L44/J44)-1</f>
        <v/>
      </c>
      <c r="O44" s="237" t="n"/>
    </row>
    <row r="45">
      <c r="A45" s="124" t="n"/>
      <c r="B45" s="223" t="n"/>
      <c r="C45" s="223" t="n"/>
      <c r="D45" s="237" t="n"/>
      <c r="J45" s="87" t="n"/>
      <c r="L45" s="87" t="n"/>
      <c r="M45" s="128" t="n"/>
      <c r="N45" s="120" t="n"/>
      <c r="O45" s="237" t="n"/>
    </row>
    <row r="46">
      <c r="A46" s="142" t="inlineStr">
        <is>
          <t>PAPEL HIGIENICO</t>
        </is>
      </c>
      <c r="B46" s="271" t="n"/>
      <c r="C46" s="223" t="n"/>
      <c r="D46" s="237" t="n"/>
      <c r="J46" s="87" t="n"/>
      <c r="L46" s="87" t="n"/>
      <c r="M46" s="144" t="n"/>
      <c r="O46" s="237" t="n"/>
    </row>
    <row r="47">
      <c r="A47" s="111" t="n"/>
      <c r="B47" s="223" t="n"/>
      <c r="C47" s="223" t="n"/>
      <c r="D47" s="237" t="n"/>
      <c r="J47" s="87" t="n"/>
      <c r="L47" s="87" t="n"/>
      <c r="M47" s="144" t="n"/>
      <c r="N47" s="120" t="n"/>
      <c r="O47" s="237" t="n"/>
    </row>
    <row r="48">
      <c r="A48" s="124" t="n">
        <v>211</v>
      </c>
      <c r="B48" s="223" t="inlineStr">
        <is>
          <t>Pack x18 Rollos Higienico Racional D/H x 60 mts</t>
        </is>
      </c>
      <c r="D48" s="237">
        <f>L48*0.93*0.98</f>
        <v/>
      </c>
      <c r="E48" s="87">
        <f>D48*1.3*1.105</f>
        <v/>
      </c>
      <c r="F48" s="87">
        <f>D48*1.3*1.105/0.9</f>
        <v/>
      </c>
      <c r="G48" s="87">
        <f>F48*1.21</f>
        <v/>
      </c>
      <c r="H48" s="87">
        <f>ROUND(G48/100,0)*100</f>
        <v/>
      </c>
      <c r="J48" s="87" t="n">
        <v>4702.88</v>
      </c>
      <c r="L48" s="87" t="n">
        <v>5173.17</v>
      </c>
      <c r="M48" s="128" t="n"/>
      <c r="N48" s="120">
        <f>(L48/J48)-1</f>
        <v/>
      </c>
      <c r="O48" s="237" t="n"/>
    </row>
    <row r="49">
      <c r="A49" s="124" t="n">
        <v>213</v>
      </c>
      <c r="B49" s="223" t="inlineStr">
        <is>
          <t>Pack x 4 Rollos Higienico Racional x 500 mts Buje 7,5</t>
        </is>
      </c>
      <c r="D49" s="237">
        <f>L49*0.93*0.98</f>
        <v/>
      </c>
      <c r="E49" s="87">
        <f>D49*1.3*1.105</f>
        <v/>
      </c>
      <c r="F49" s="87">
        <f>D49*1.3*1.105/0.9</f>
        <v/>
      </c>
      <c r="G49" s="87">
        <f>F49*1.21</f>
        <v/>
      </c>
      <c r="H49" s="87">
        <f>ROUND(G49/100,0)*100</f>
        <v/>
      </c>
      <c r="J49" s="87" t="n">
        <v>3644.81</v>
      </c>
      <c r="L49" s="87" t="n">
        <v>4009.29</v>
      </c>
      <c r="M49" s="128" t="n"/>
      <c r="N49" s="120">
        <f>(L49/J49)-1</f>
        <v/>
      </c>
      <c r="O49" s="237" t="n"/>
    </row>
    <row r="50">
      <c r="A50" s="182" t="n">
        <v>214</v>
      </c>
      <c r="B50" s="224" t="inlineStr">
        <is>
          <t>Pack x 18 rollos Papel Higienico Racional x 122 mts</t>
        </is>
      </c>
      <c r="D50" s="184">
        <f>L50*0.93*0.98</f>
        <v/>
      </c>
      <c r="E50" s="87">
        <f>D50*1.3*1.105</f>
        <v/>
      </c>
      <c r="F50" s="87">
        <f>D50*1.3*1.105/0.9</f>
        <v/>
      </c>
      <c r="G50" s="87">
        <f>F50*1.21</f>
        <v/>
      </c>
      <c r="H50" s="87">
        <f>ROUND(G50/100,0)*100</f>
        <v/>
      </c>
      <c r="J50" s="87" t="n">
        <v>4477.88</v>
      </c>
      <c r="L50" s="87" t="n">
        <v>4925.66</v>
      </c>
      <c r="M50" s="128" t="n"/>
      <c r="N50" s="120">
        <f>(L50/J50)-1</f>
        <v/>
      </c>
      <c r="O50" s="184" t="n"/>
    </row>
    <row r="51">
      <c r="A51" s="124" t="n">
        <v>218</v>
      </c>
      <c r="B51" s="223" t="inlineStr">
        <is>
          <t>Pack x 8 rollos Higienico Racional x 265 mts buje 7,5</t>
        </is>
      </c>
      <c r="D51" s="237">
        <f>L51*0.93*0.98</f>
        <v/>
      </c>
      <c r="E51" s="87">
        <f>D51*1.3*1.105</f>
        <v/>
      </c>
      <c r="F51" s="87">
        <f>D51*1.3*1.105/0.9</f>
        <v/>
      </c>
      <c r="G51" s="87">
        <f>F51*1.21</f>
        <v/>
      </c>
      <c r="H51" s="87">
        <f>ROUND(G51/100,0)*100</f>
        <v/>
      </c>
      <c r="J51" s="87" t="n">
        <v>4121.36</v>
      </c>
      <c r="L51" s="87" t="n">
        <v>4533.5</v>
      </c>
      <c r="M51" s="128" t="n"/>
      <c r="N51" s="120">
        <f>(L51/J51)-1</f>
        <v/>
      </c>
      <c r="O51" s="237" t="n"/>
    </row>
    <row r="52">
      <c r="A52" s="133" t="n">
        <v>220</v>
      </c>
      <c r="B52" s="134" t="inlineStr">
        <is>
          <t>Pack x 8 Rollos Papel Higienico Racional x 300 mts</t>
        </is>
      </c>
      <c r="D52" s="135">
        <f>L52*0.93*0.98</f>
        <v/>
      </c>
      <c r="E52" s="87">
        <f>D52*1.3*1.105</f>
        <v/>
      </c>
      <c r="F52" s="87">
        <f>D52*1.3*1.105/0.9</f>
        <v/>
      </c>
      <c r="G52" s="87">
        <f>F52*1.21</f>
        <v/>
      </c>
      <c r="H52" s="87">
        <f>ROUND(G52/100,0)*100</f>
        <v/>
      </c>
      <c r="J52" s="87" t="n">
        <v>4696.41</v>
      </c>
      <c r="L52" s="87" t="n">
        <v>5166.05</v>
      </c>
      <c r="M52" s="128" t="n"/>
      <c r="N52" s="120">
        <f>(L52/J52)-1</f>
        <v/>
      </c>
      <c r="O52" s="135" t="n"/>
    </row>
    <row r="53">
      <c r="A53" s="124" t="n">
        <v>222</v>
      </c>
      <c r="B53" s="223" t="inlineStr">
        <is>
          <t>Pack x 8 Rollos Papel Higienico x 260 mts Buje4,5</t>
        </is>
      </c>
      <c r="D53" s="237">
        <f>L53*0.93*0.98</f>
        <v/>
      </c>
      <c r="E53" s="87">
        <f>D53*1.3*1.105</f>
        <v/>
      </c>
      <c r="F53" s="87">
        <f>D53*1.3*1.105/0.9</f>
        <v/>
      </c>
      <c r="G53" s="87">
        <f>F53*1.21</f>
        <v/>
      </c>
      <c r="H53" s="87">
        <f>ROUND(G53/100,0)*100</f>
        <v/>
      </c>
      <c r="J53" s="87" t="n">
        <v>3986.9</v>
      </c>
      <c r="L53" s="87" t="n">
        <v>4385.6</v>
      </c>
      <c r="M53" s="128" t="n"/>
      <c r="N53" s="120">
        <f>(L53/J53)-1</f>
        <v/>
      </c>
      <c r="O53" s="237" t="n"/>
    </row>
    <row r="54">
      <c r="A54" s="124" t="n">
        <v>909</v>
      </c>
      <c r="B54" s="223" t="inlineStr">
        <is>
          <t>Papel Higiénico 20 x 14,5 8000 h. 4000 usos</t>
        </is>
      </c>
      <c r="D54" s="237">
        <f>L54*0.93*0.98</f>
        <v/>
      </c>
      <c r="E54" s="87">
        <f>D54*1.3*1.105</f>
        <v/>
      </c>
      <c r="F54" s="87">
        <f>D54*1.3*1.105/0.9</f>
        <v/>
      </c>
      <c r="G54" s="87">
        <f>F54*1.21</f>
        <v/>
      </c>
      <c r="H54" s="87">
        <f>ROUND(G54/100,0)*100</f>
        <v/>
      </c>
      <c r="J54" s="87" t="n">
        <v>6157.45</v>
      </c>
      <c r="L54" s="87" t="n">
        <v>6773.19</v>
      </c>
      <c r="M54" s="128" t="n"/>
      <c r="N54" s="120">
        <f>(L54/J54)-1</f>
        <v/>
      </c>
      <c r="O54" s="237" t="n"/>
    </row>
    <row r="55">
      <c r="A55" s="124" t="n">
        <v>912</v>
      </c>
      <c r="B55" s="223" t="inlineStr">
        <is>
          <t>Papel Higienico UNITAS(18x14,5cm) 8000 h/4000 usos</t>
        </is>
      </c>
      <c r="D55" s="237">
        <f>L55*0.93*0.98</f>
        <v/>
      </c>
      <c r="E55" s="87">
        <f>D55*1.3*1.105</f>
        <v/>
      </c>
      <c r="F55" s="87">
        <f>D55*1.3*1.105/0.9</f>
        <v/>
      </c>
      <c r="G55" s="87">
        <f>F55*1.21</f>
        <v/>
      </c>
      <c r="H55" s="87">
        <f>ROUND(G55/100,0)*100</f>
        <v/>
      </c>
      <c r="I55" s="87">
        <f>F55*1.1</f>
        <v/>
      </c>
      <c r="J55" s="87" t="n">
        <v>4947.65</v>
      </c>
      <c r="L55" s="87" t="n">
        <v>5442.4</v>
      </c>
      <c r="M55" s="128" t="n"/>
      <c r="N55" s="120">
        <f>(L55/J55)-1</f>
        <v/>
      </c>
      <c r="O55" s="237" t="n"/>
    </row>
    <row r="56">
      <c r="A56" s="124" t="n"/>
      <c r="B56" s="223" t="n"/>
      <c r="C56" s="223" t="n"/>
      <c r="D56" s="237" t="n"/>
      <c r="J56" s="87" t="n"/>
      <c r="L56" s="87" t="n"/>
      <c r="M56" s="128" t="n"/>
      <c r="N56" s="120" t="n"/>
      <c r="O56" s="237" t="n"/>
    </row>
    <row r="57">
      <c r="A57" s="124" t="n"/>
      <c r="B57" s="108" t="n">
        <v>44896</v>
      </c>
      <c r="C57" s="223" t="n"/>
      <c r="D57" s="237" t="n"/>
      <c r="J57" s="87" t="n"/>
      <c r="L57" s="87" t="n"/>
      <c r="M57" s="128" t="n"/>
      <c r="N57" s="156" t="n"/>
      <c r="O57" s="237" t="n"/>
    </row>
    <row r="58">
      <c r="A58" s="124" t="n"/>
      <c r="B58" s="223" t="n"/>
      <c r="C58" s="223" t="n"/>
      <c r="D58" s="237" t="n"/>
      <c r="J58" s="87" t="n"/>
      <c r="L58" s="87" t="n"/>
      <c r="M58" s="128" t="n"/>
      <c r="N58" s="120" t="n"/>
      <c r="O58" s="237" t="n"/>
    </row>
    <row r="59">
      <c r="A59" s="117" t="inlineStr">
        <is>
          <t>CAMILLEROS</t>
        </is>
      </c>
      <c r="B59" s="223" t="n"/>
      <c r="C59" s="223" t="n"/>
      <c r="D59" s="237" t="n"/>
      <c r="J59" s="87" t="n"/>
      <c r="L59" s="87" t="n"/>
      <c r="M59" s="119" t="n"/>
      <c r="N59" s="120" t="n"/>
      <c r="O59" s="237" t="n"/>
    </row>
    <row r="60">
      <c r="A60" s="131" t="n"/>
      <c r="B60" s="223" t="n"/>
      <c r="C60" s="223" t="n"/>
      <c r="D60" s="237" t="n"/>
      <c r="J60" s="87" t="n"/>
      <c r="L60" s="87" t="n"/>
      <c r="M60" s="119" t="n"/>
      <c r="N60" s="120" t="n"/>
      <c r="O60" s="237" t="n"/>
    </row>
    <row r="61">
      <c r="A61" s="124" t="n">
        <v>301</v>
      </c>
      <c r="B61" s="223" t="inlineStr">
        <is>
          <t>Pack x 2 Rollos Camilleros bco s/h 54x100mts Prec</t>
        </is>
      </c>
      <c r="D61" s="187">
        <f>3293.5*1.1*1.1</f>
        <v/>
      </c>
      <c r="E61" s="87">
        <f>D61*1.3*1.105</f>
        <v/>
      </c>
      <c r="F61" s="87">
        <f>D61*1.3*1.105/0.9</f>
        <v/>
      </c>
      <c r="G61" s="87">
        <f>F61*1.21</f>
        <v/>
      </c>
      <c r="H61" s="87">
        <f>ROUND(G61/100,0)*100</f>
        <v/>
      </c>
      <c r="J61" s="87" t="n">
        <v>4961</v>
      </c>
      <c r="L61" s="87" t="n"/>
      <c r="M61" s="128" t="n"/>
      <c r="N61" s="120" t="n">
        <v>0.1</v>
      </c>
      <c r="O61" s="154" t="n"/>
    </row>
    <row r="62">
      <c r="A62" s="124" t="n"/>
      <c r="B62" s="155" t="n"/>
      <c r="C62" s="223" t="n"/>
      <c r="D62" s="237" t="n"/>
      <c r="J62" s="87" t="n"/>
      <c r="L62" s="87" t="n"/>
      <c r="M62" s="128" t="n"/>
      <c r="N62" s="156" t="n"/>
      <c r="O62" s="237" t="n"/>
    </row>
    <row r="63">
      <c r="A63" s="142" t="inlineStr">
        <is>
          <t>DISPENSERS</t>
        </is>
      </c>
      <c r="B63" s="223" t="n"/>
      <c r="C63" s="223" t="n"/>
      <c r="D63" s="237" t="n"/>
      <c r="J63" s="87" t="n"/>
      <c r="L63" s="87" t="n"/>
      <c r="M63" s="144" t="n"/>
      <c r="N63" s="120" t="n"/>
      <c r="O63" s="237" t="n"/>
    </row>
    <row r="64">
      <c r="A64" s="111" t="n"/>
      <c r="B64" s="223" t="n"/>
      <c r="C64" s="223" t="n"/>
      <c r="D64" s="237" t="n"/>
      <c r="J64" s="87" t="n"/>
      <c r="L64" s="87" t="n"/>
      <c r="M64" s="144" t="n"/>
      <c r="N64" s="120" t="n"/>
      <c r="O64" s="237" t="n"/>
    </row>
    <row r="65">
      <c r="A65" s="124" t="n">
        <v>403</v>
      </c>
      <c r="B65" s="223" t="inlineStr">
        <is>
          <t>Portabobina de Pared</t>
        </is>
      </c>
      <c r="C65" s="223" t="n"/>
      <c r="D65" s="237">
        <f>L65*0.93*0.98</f>
        <v/>
      </c>
      <c r="E65" s="87">
        <f>D65*1.3*1.105</f>
        <v/>
      </c>
      <c r="F65" s="87">
        <f>D65*1.3*1.105/0.9</f>
        <v/>
      </c>
      <c r="G65" s="87">
        <f>F65*1.21</f>
        <v/>
      </c>
      <c r="H65" s="87">
        <f>ROUND(G65/100,0)*100</f>
        <v/>
      </c>
      <c r="J65" s="87" t="n">
        <v>8066.73</v>
      </c>
      <c r="L65" s="87" t="n">
        <v>8873.4</v>
      </c>
      <c r="M65" s="128" t="n"/>
      <c r="N65" s="120">
        <f>(L65/J65)-1</f>
        <v/>
      </c>
      <c r="O65" s="237" t="n"/>
    </row>
    <row r="66">
      <c r="A66" s="124" t="n">
        <v>404</v>
      </c>
      <c r="B66" s="223" t="inlineStr">
        <is>
          <t>Portarollo para Camilla</t>
        </is>
      </c>
      <c r="C66" s="223" t="n"/>
      <c r="D66" s="237">
        <f>L66*0.93*0.98</f>
        <v/>
      </c>
      <c r="E66" s="87">
        <f>D66*1.3*1.105</f>
        <v/>
      </c>
      <c r="F66" s="87">
        <f>D66*1.3*1.105/0.9</f>
        <v/>
      </c>
      <c r="G66" s="87">
        <f>F66*1.21</f>
        <v/>
      </c>
      <c r="H66" s="87">
        <f>ROUND(G66/100,0)*100</f>
        <v/>
      </c>
      <c r="J66" s="87" t="n">
        <v>0</v>
      </c>
      <c r="L66" s="87" t="n">
        <v>0</v>
      </c>
      <c r="M66" s="128" t="n"/>
      <c r="N66" s="120" t="n"/>
      <c r="O66" s="237" t="n"/>
    </row>
    <row r="67">
      <c r="A67" s="124" t="n">
        <v>418</v>
      </c>
      <c r="B67" s="223" t="inlineStr">
        <is>
          <t>Portabobina de Piso</t>
        </is>
      </c>
      <c r="C67" s="223" t="n"/>
      <c r="D67" s="237">
        <f>L67*0.93*0.98</f>
        <v/>
      </c>
      <c r="E67" s="87">
        <f>D67*1.3*1.105</f>
        <v/>
      </c>
      <c r="F67" s="87">
        <f>D67*1.3*1.105/0.9</f>
        <v/>
      </c>
      <c r="G67" s="87">
        <f>F67*1.21</f>
        <v/>
      </c>
      <c r="H67" s="87">
        <f>ROUND(G67/100,0)*100</f>
        <v/>
      </c>
      <c r="J67" s="87" t="n">
        <v>8873.200000000001</v>
      </c>
      <c r="L67" s="87" t="n">
        <v>9760.52</v>
      </c>
      <c r="M67" s="128" t="n"/>
      <c r="N67" s="120">
        <f>(L67/J67)-1</f>
        <v/>
      </c>
      <c r="O67" s="237" t="n"/>
    </row>
    <row r="68">
      <c r="A68" s="124" t="n">
        <v>422</v>
      </c>
      <c r="B68" s="223" t="inlineStr">
        <is>
          <t>Dispenser Celmatic Due</t>
        </is>
      </c>
      <c r="C68" s="223" t="n"/>
      <c r="D68" s="237">
        <f>L68*0.93*0.98</f>
        <v/>
      </c>
      <c r="E68" s="87">
        <f>D68*1.3*1.105</f>
        <v/>
      </c>
      <c r="F68" s="87">
        <f>D68*1.3*1.105/0.9</f>
        <v/>
      </c>
      <c r="G68" s="87">
        <f>F68*1.21</f>
        <v/>
      </c>
      <c r="H68" s="87">
        <f>ROUND(G68/100,0)*100</f>
        <v/>
      </c>
      <c r="J68" s="87" t="n">
        <v>11369.52</v>
      </c>
      <c r="L68" s="87" t="n">
        <v>12506.47</v>
      </c>
      <c r="M68" s="128" t="n"/>
      <c r="N68" s="120">
        <f>(L68/J68)-1</f>
        <v/>
      </c>
      <c r="O68" s="237" t="n"/>
    </row>
    <row r="69">
      <c r="A69" s="124" t="n">
        <v>425</v>
      </c>
      <c r="B69" s="223" t="inlineStr">
        <is>
          <t>Dosificador para Jabón Líquido Recargable</t>
        </is>
      </c>
      <c r="D69" s="237">
        <f>L69*0.93*0.98</f>
        <v/>
      </c>
      <c r="E69" s="87">
        <f>D69*1.3*1.105</f>
        <v/>
      </c>
      <c r="F69" s="87">
        <f>D69*1.3*1.105/0.9</f>
        <v/>
      </c>
      <c r="G69" s="87">
        <f>F69*1.21</f>
        <v/>
      </c>
      <c r="H69" s="87">
        <f>ROUND(G69/100,0)*100</f>
        <v/>
      </c>
      <c r="J69" s="87" t="n">
        <v>4265.01</v>
      </c>
      <c r="L69" s="87" t="n">
        <v>4691.5</v>
      </c>
      <c r="M69" s="128" t="n"/>
      <c r="N69" s="120">
        <f>(L69/J69)-1</f>
        <v/>
      </c>
      <c r="O69" s="237" t="n"/>
    </row>
    <row r="70">
      <c r="A70" s="124" t="n">
        <v>427</v>
      </c>
      <c r="B70" s="223" t="inlineStr">
        <is>
          <t>Dispenser Para Papel Higienico Racional 350</t>
        </is>
      </c>
      <c r="D70" s="237">
        <f>L70*0.93*0.98</f>
        <v/>
      </c>
      <c r="E70" s="87">
        <f>D70*1.3*1.105</f>
        <v/>
      </c>
      <c r="F70" s="87">
        <f>D70*1.3*1.105/0.9</f>
        <v/>
      </c>
      <c r="G70" s="87">
        <f>F70*1.21</f>
        <v/>
      </c>
      <c r="H70" s="87">
        <f>ROUND(G70/100,0)*100</f>
        <v/>
      </c>
      <c r="J70" s="87" t="n">
        <v>5209.78</v>
      </c>
      <c r="L70" s="87" t="n">
        <v>5730.75</v>
      </c>
      <c r="M70" s="128" t="n"/>
      <c r="N70" s="120">
        <f>(L70/J70)-1</f>
        <v/>
      </c>
      <c r="O70" s="237" t="n"/>
    </row>
    <row r="71">
      <c r="A71" s="124" t="n">
        <v>428</v>
      </c>
      <c r="B71" s="223" t="inlineStr">
        <is>
          <t>Dispenser para Papel Higiénico</t>
        </is>
      </c>
      <c r="C71" s="223" t="n"/>
      <c r="D71" s="237">
        <f>L71*0.93*0.98</f>
        <v/>
      </c>
      <c r="E71" s="87">
        <f>D71*1.3*1.105</f>
        <v/>
      </c>
      <c r="F71" s="87">
        <f>D71*1.3*1.105/0.9</f>
        <v/>
      </c>
      <c r="G71" s="87">
        <f>F71*1.21</f>
        <v/>
      </c>
      <c r="H71" s="87">
        <f>ROUND(G71/100,0)*100</f>
        <v/>
      </c>
      <c r="J71" s="87" t="n">
        <v>5957.56</v>
      </c>
      <c r="L71" s="87" t="n">
        <v>6553.31</v>
      </c>
      <c r="M71" s="128" t="n"/>
      <c r="N71" s="120">
        <f>(L71/J71)-1</f>
        <v/>
      </c>
      <c r="O71" s="237" t="n"/>
    </row>
    <row r="72">
      <c r="A72" s="124" t="n">
        <v>429</v>
      </c>
      <c r="B72" s="223" t="inlineStr">
        <is>
          <t>Dispenser para Toallas de Papel</t>
        </is>
      </c>
      <c r="C72" s="223" t="n"/>
      <c r="D72" s="237">
        <f>L72*0.93*0.98</f>
        <v/>
      </c>
      <c r="E72" s="87">
        <f>D72*1.3*1.105</f>
        <v/>
      </c>
      <c r="F72" s="87">
        <f>D72*1.3*1.105/0.9</f>
        <v/>
      </c>
      <c r="G72" s="87">
        <f>F72*1.21</f>
        <v/>
      </c>
      <c r="H72" s="87">
        <f>ROUND(G72/100,0)*100</f>
        <v/>
      </c>
      <c r="J72" s="87" t="n">
        <v>4274.12</v>
      </c>
      <c r="L72" s="87" t="n">
        <v>4701.53</v>
      </c>
      <c r="M72" s="128" t="n"/>
      <c r="N72" s="120">
        <f>(L72/J72)-1</f>
        <v/>
      </c>
      <c r="O72" s="237" t="n"/>
    </row>
    <row r="73">
      <c r="A73" s="124" t="n">
        <v>430</v>
      </c>
      <c r="B73" s="223" t="inlineStr">
        <is>
          <t>Dispenser Para Papel Higienico Racional 600</t>
        </is>
      </c>
      <c r="D73" s="237">
        <f>L73*0.93*0.98</f>
        <v/>
      </c>
      <c r="E73" s="87">
        <f>D73*1.3*1.105</f>
        <v/>
      </c>
      <c r="F73" s="87">
        <f>D73*1.3*1.105/0.9</f>
        <v/>
      </c>
      <c r="G73" s="87">
        <f>F73*1.21</f>
        <v/>
      </c>
      <c r="H73" s="87">
        <f>ROUND(G73/100,0)*100</f>
        <v/>
      </c>
      <c r="J73" s="87" t="n">
        <v>8386.17</v>
      </c>
      <c r="L73" s="87" t="n">
        <v>9224.780000000001</v>
      </c>
      <c r="M73" s="128" t="n"/>
      <c r="N73" s="120">
        <f>(L73/J73)-1</f>
        <v/>
      </c>
      <c r="O73" s="237" t="n"/>
    </row>
    <row r="74">
      <c r="A74" s="124" t="n"/>
      <c r="B74" s="223" t="n"/>
      <c r="C74" s="223" t="n"/>
      <c r="D74" s="237" t="n"/>
      <c r="J74" s="87" t="n"/>
      <c r="L74" s="87" t="n"/>
      <c r="M74" s="128" t="n"/>
      <c r="N74" s="120" t="n"/>
      <c r="O74" s="237" t="n"/>
    </row>
    <row r="75">
      <c r="A75" s="124" t="n"/>
      <c r="B75" s="223" t="n"/>
      <c r="C75" s="223" t="n"/>
      <c r="D75" s="237" t="n"/>
      <c r="J75" s="87" t="n"/>
      <c r="L75" s="87" t="n"/>
      <c r="M75" s="128" t="n"/>
      <c r="N75" s="120" t="n"/>
      <c r="O75" s="237" t="n"/>
    </row>
    <row r="76">
      <c r="A76" s="124" t="n"/>
      <c r="B76" s="223" t="n"/>
      <c r="C76" s="223" t="n"/>
      <c r="D76" s="237" t="n"/>
      <c r="J76" s="87" t="n"/>
      <c r="L76" s="87" t="n"/>
      <c r="M76" s="128" t="n"/>
      <c r="N76" s="120" t="n"/>
      <c r="O76" s="237" t="n"/>
    </row>
    <row r="77">
      <c r="A77" s="117" t="inlineStr">
        <is>
          <t>LIMPIEZA INDUSTRIAL</t>
        </is>
      </c>
      <c r="B77" s="271" t="n"/>
      <c r="C77" s="223" t="n"/>
      <c r="D77" s="237" t="n"/>
      <c r="J77" s="87" t="n"/>
      <c r="L77" s="87" t="n"/>
      <c r="M77" s="119" t="n"/>
      <c r="O77" s="237" t="n"/>
    </row>
    <row r="78">
      <c r="A78" s="131" t="n"/>
      <c r="B78" s="223" t="n"/>
      <c r="C78" s="223" t="n"/>
      <c r="D78" s="237" t="n"/>
      <c r="J78" s="87" t="n"/>
      <c r="L78" s="87" t="n"/>
      <c r="M78" s="119" t="n"/>
      <c r="N78" s="120" t="n"/>
      <c r="O78" s="237" t="n"/>
    </row>
    <row r="79">
      <c r="A79" s="182" t="n">
        <v>101</v>
      </c>
      <c r="B79" s="224" t="inlineStr">
        <is>
          <t>Pack x 6 bobinas 22,5 cm x 300 porciones</t>
        </is>
      </c>
      <c r="D79" s="184">
        <f>L79*0.93*0.98</f>
        <v/>
      </c>
      <c r="E79" s="87">
        <f>D79*1.3*1.105</f>
        <v/>
      </c>
      <c r="F79" s="87">
        <f>D79*1.3*1.105/0.9</f>
        <v/>
      </c>
      <c r="G79" s="87">
        <f>F79*1.21</f>
        <v/>
      </c>
      <c r="H79" s="87">
        <f>ROUND(G79/100,0)*100</f>
        <v/>
      </c>
      <c r="J79" s="87" t="n">
        <v>6411.8</v>
      </c>
      <c r="L79" s="87" t="n">
        <v>7052.98</v>
      </c>
      <c r="M79" s="128" t="n"/>
      <c r="N79" s="120">
        <f>(L79/J79)-1</f>
        <v/>
      </c>
      <c r="O79" s="184" t="n"/>
    </row>
    <row r="80">
      <c r="A80" s="124" t="n">
        <v>109</v>
      </c>
      <c r="B80" s="223" t="inlineStr">
        <is>
          <t>Pack x 2 bobinas papel original 22,5 cm x 270 mts</t>
        </is>
      </c>
      <c r="D80" s="237">
        <f>L80*0.93*0.98</f>
        <v/>
      </c>
      <c r="E80" s="87">
        <f>D80*1.3*1.105</f>
        <v/>
      </c>
      <c r="F80" s="87">
        <f>D80*1.3*1.105/0.9</f>
        <v/>
      </c>
      <c r="G80" s="87">
        <f>F80*1.21</f>
        <v/>
      </c>
      <c r="H80" s="87">
        <f>ROUND(G80/100,0)*100</f>
        <v/>
      </c>
      <c r="J80" s="87" t="n">
        <v>5004.08</v>
      </c>
      <c r="L80" s="87" t="n">
        <v>5504.49</v>
      </c>
      <c r="M80" s="128" t="n"/>
      <c r="N80" s="120">
        <f>(L80/J80)-1</f>
        <v/>
      </c>
      <c r="O80" s="237" t="n"/>
    </row>
    <row r="81">
      <c r="A81" s="182" t="n">
        <v>123</v>
      </c>
      <c r="B81" s="224" t="inlineStr">
        <is>
          <t>Pack x 2 bobinas Papel Original 900 hjs/360 mts.</t>
        </is>
      </c>
      <c r="D81" s="184">
        <f>L81*0.93*0.98</f>
        <v/>
      </c>
      <c r="E81" s="87">
        <f>D81*1.3*1.105</f>
        <v/>
      </c>
      <c r="F81" s="87">
        <f>D81*1.3*1.105/0.9</f>
        <v/>
      </c>
      <c r="G81" s="87">
        <f>F81*1.21</f>
        <v/>
      </c>
      <c r="H81" s="87">
        <f>ROUND(G81/100,0)*100</f>
        <v/>
      </c>
      <c r="I81" s="87">
        <f>F81*1.1</f>
        <v/>
      </c>
      <c r="J81" s="87" t="n">
        <v>7326.8</v>
      </c>
      <c r="L81" s="87" t="n">
        <v>8059.48</v>
      </c>
      <c r="M81" s="128" t="n"/>
      <c r="N81" s="120">
        <f>(L81/J81)-1</f>
        <v/>
      </c>
      <c r="O81" s="184" t="n"/>
    </row>
    <row r="82">
      <c r="A82" s="124" t="n">
        <v>809</v>
      </c>
      <c r="B82" s="223" t="inlineStr">
        <is>
          <t>Pack x 4 Rollos 600 porc 25x25 Rep Tambo</t>
        </is>
      </c>
      <c r="D82" s="237">
        <f>L82*0.93*0.98</f>
        <v/>
      </c>
      <c r="E82" s="87">
        <f>D82*1.3*1.105</f>
        <v/>
      </c>
      <c r="F82" s="87">
        <f>D82*1.3*1.105/0.9</f>
        <v/>
      </c>
      <c r="G82" s="87">
        <f>F82*1.21</f>
        <v/>
      </c>
      <c r="H82" s="87">
        <f>ROUND(G82/100,0)*100</f>
        <v/>
      </c>
      <c r="J82" s="87" t="n">
        <v>7635.88</v>
      </c>
      <c r="L82" s="87" t="n">
        <v>8399.459999999999</v>
      </c>
      <c r="M82" s="128" t="n"/>
      <c r="N82" s="120">
        <f>(L82/J82)-1</f>
        <v/>
      </c>
      <c r="O82" s="237" t="n"/>
    </row>
    <row r="83">
      <c r="A83" s="124" t="n"/>
      <c r="B83" s="223" t="n"/>
      <c r="C83" s="223" t="n"/>
      <c r="D83" s="237" t="n"/>
      <c r="J83" s="87" t="n"/>
      <c r="L83" s="87" t="n"/>
      <c r="M83" s="128" t="n"/>
      <c r="N83" s="120" t="n"/>
      <c r="O83" s="237" t="n"/>
    </row>
    <row r="84">
      <c r="A84" s="124" t="n"/>
      <c r="B84" s="223" t="n"/>
      <c r="C84" s="223" t="n"/>
      <c r="D84" s="237" t="n"/>
      <c r="J84" s="87" t="n"/>
      <c r="L84" s="87" t="n"/>
      <c r="M84" s="128" t="n"/>
      <c r="N84" s="120" t="n"/>
      <c r="O84" s="237" t="n"/>
    </row>
    <row r="85">
      <c r="A85" s="117" t="inlineStr">
        <is>
          <t>PAÑOS DE LIMPIEZA DE ALTA PERFORMANCE</t>
        </is>
      </c>
      <c r="B85" s="223" t="n"/>
      <c r="C85" s="223" t="n"/>
      <c r="D85" s="237" t="n"/>
      <c r="J85" s="87" t="n"/>
      <c r="L85" s="87" t="n"/>
      <c r="M85" s="119" t="n"/>
      <c r="N85" s="120" t="n"/>
      <c r="O85" s="237" t="n"/>
    </row>
    <row r="86">
      <c r="A86" s="131" t="n"/>
      <c r="B86" s="223" t="n"/>
      <c r="C86" s="223" t="n"/>
      <c r="D86" s="237" t="n"/>
      <c r="J86" s="87" t="n"/>
      <c r="L86" s="87" t="n"/>
      <c r="M86" s="119" t="n"/>
      <c r="N86" s="120" t="n"/>
      <c r="O86" s="237" t="n"/>
    </row>
    <row r="87">
      <c r="A87" s="157" t="inlineStr">
        <is>
          <t>Linea Softclean</t>
        </is>
      </c>
      <c r="C87" s="158" t="n"/>
      <c r="D87" s="169" t="n"/>
      <c r="J87" s="87" t="n"/>
      <c r="L87" s="87" t="n"/>
      <c r="M87" s="119" t="n"/>
      <c r="O87" s="169" t="n"/>
    </row>
    <row r="88">
      <c r="A88" s="186" t="n">
        <v>601</v>
      </c>
      <c r="B88" s="223" t="inlineStr">
        <is>
          <t>Rollo precortado Maxi blanco 30 x 38 x 500 softclean</t>
        </is>
      </c>
      <c r="D88" s="166">
        <f>L88*0.93*0.98</f>
        <v/>
      </c>
      <c r="E88" s="87">
        <f>D88*1.3*1.105</f>
        <v/>
      </c>
      <c r="F88" s="87">
        <f>D88*1.3*1.105/0.9</f>
        <v/>
      </c>
      <c r="G88" s="87">
        <f>F88*1.21</f>
        <v/>
      </c>
      <c r="H88" s="87">
        <f>ROUND(G88/100,0)*100</f>
        <v/>
      </c>
      <c r="J88" s="87" t="n">
        <v>54.43</v>
      </c>
      <c r="L88" s="87" t="n">
        <v>54.43</v>
      </c>
      <c r="M88" s="167" t="n"/>
      <c r="N88" s="120">
        <f>(L88/J88)-1</f>
        <v/>
      </c>
      <c r="O88" s="166" t="n"/>
    </row>
    <row r="89">
      <c r="A89" s="186" t="n">
        <v>605</v>
      </c>
      <c r="B89" s="223" t="inlineStr">
        <is>
          <t>Caja x 250 Paños Ultratex de 34cm x 60cm</t>
        </is>
      </c>
      <c r="D89" s="166">
        <f>L89*0.93*0.98</f>
        <v/>
      </c>
      <c r="E89" s="87">
        <f>D89*1.3*1.105</f>
        <v/>
      </c>
      <c r="F89" s="87">
        <f>D89*1.3*1.105/0.9</f>
        <v/>
      </c>
      <c r="G89" s="87">
        <f>F89*1.21</f>
        <v/>
      </c>
      <c r="H89" s="87">
        <f>ROUND(G89/100,0)*100</f>
        <v/>
      </c>
      <c r="J89" s="87" t="n">
        <v>228.4</v>
      </c>
      <c r="L89" s="87" t="n">
        <v>228.4</v>
      </c>
      <c r="M89" s="167" t="n"/>
      <c r="N89" s="120">
        <f>(L89/J89)-1</f>
        <v/>
      </c>
      <c r="O89" s="166" t="n"/>
    </row>
    <row r="90">
      <c r="A90" s="186" t="n">
        <v>606</v>
      </c>
      <c r="B90" s="223" t="inlineStr">
        <is>
          <t>Caja x 300 Paños Ultratex de 45,7cm x 53,3cm</t>
        </is>
      </c>
      <c r="D90" s="166">
        <f>L90*0.93*0.98</f>
        <v/>
      </c>
      <c r="E90" s="87">
        <f>D90*1.3*1.105</f>
        <v/>
      </c>
      <c r="F90" s="87">
        <f>D90*1.3*1.105/0.9</f>
        <v/>
      </c>
      <c r="G90" s="87">
        <f>F90*1.21</f>
        <v/>
      </c>
      <c r="H90" s="87">
        <f>ROUND(G90/100,0)*100</f>
        <v/>
      </c>
      <c r="J90" s="87" t="n">
        <v>323.14</v>
      </c>
      <c r="L90" s="87" t="n">
        <v>323.14</v>
      </c>
      <c r="M90" s="167" t="n"/>
      <c r="N90" s="120">
        <f>(L90/J90)-1</f>
        <v/>
      </c>
      <c r="O90" s="166" t="n"/>
    </row>
    <row r="91">
      <c r="A91" s="186" t="n">
        <v>608</v>
      </c>
      <c r="B91" s="223" t="inlineStr">
        <is>
          <t>Repuesto x 2 rollos Softclean x 350 mts</t>
        </is>
      </c>
      <c r="D91" s="166">
        <f>L91*0.93*0.98</f>
        <v/>
      </c>
      <c r="E91" s="87">
        <f>D91*1.3*1.105</f>
        <v/>
      </c>
      <c r="F91" s="87">
        <f>D91*1.3*1.105/0.9</f>
        <v/>
      </c>
      <c r="G91" s="87">
        <f>F91*1.21</f>
        <v/>
      </c>
      <c r="H91" s="87">
        <f>ROUND(G91/100,0)*100</f>
        <v/>
      </c>
      <c r="J91" s="87" t="n">
        <v>49.43</v>
      </c>
      <c r="L91" s="87" t="n">
        <v>49.43</v>
      </c>
      <c r="M91" s="167" t="n"/>
      <c r="N91" s="120">
        <f>(L91/J91)-1</f>
        <v/>
      </c>
      <c r="O91" s="166" t="n"/>
    </row>
    <row r="92">
      <c r="A92" s="186" t="n">
        <v>612</v>
      </c>
      <c r="B92" s="223" t="inlineStr">
        <is>
          <t>Contenedor Mini Softclean x 150 porc. 13 x 26.5cm</t>
        </is>
      </c>
      <c r="D92" s="166">
        <f>L92*0.93*0.98</f>
        <v/>
      </c>
      <c r="E92" s="87">
        <f>D92*1.3*1.105</f>
        <v/>
      </c>
      <c r="F92" s="87">
        <f>D92*1.3*1.105/0.9</f>
        <v/>
      </c>
      <c r="G92" s="87">
        <f>F92*1.21</f>
        <v/>
      </c>
      <c r="H92" s="87">
        <f>ROUND(G92/100,0)*100</f>
        <v/>
      </c>
      <c r="J92" s="87" t="n">
        <v>7.53</v>
      </c>
      <c r="L92" s="87" t="n">
        <v>7.53</v>
      </c>
      <c r="M92" s="167" t="n"/>
      <c r="N92" s="120">
        <f>(L92/J92)-1</f>
        <v/>
      </c>
      <c r="O92" s="166" t="n"/>
    </row>
    <row r="93">
      <c r="A93" s="186" t="n">
        <v>614</v>
      </c>
      <c r="B93" s="223" t="inlineStr">
        <is>
          <t>Rollo SoftClean S 70x 875 Porciones de 30x 25</t>
        </is>
      </c>
      <c r="D93" s="166">
        <f>L93*0.93*0.98</f>
        <v/>
      </c>
      <c r="E93" s="87">
        <f>D93*1.3*1.105</f>
        <v/>
      </c>
      <c r="F93" s="87">
        <f>D93*1.3*1.105/0.9</f>
        <v/>
      </c>
      <c r="G93" s="87">
        <f>F93*1.21</f>
        <v/>
      </c>
      <c r="H93" s="87">
        <f>ROUND(G93/100,0)*100</f>
        <v/>
      </c>
      <c r="J93" s="87" t="n">
        <v>59.55</v>
      </c>
      <c r="L93" s="87" t="n">
        <v>59.55</v>
      </c>
      <c r="M93" s="167" t="n"/>
      <c r="N93" s="120">
        <f>(L93/J93)-1</f>
        <v/>
      </c>
      <c r="O93" s="166" t="n"/>
    </row>
    <row r="94">
      <c r="A94" s="186" t="n">
        <v>615</v>
      </c>
      <c r="B94" s="223" t="inlineStr">
        <is>
          <t>Contenedor Center Softclean x 350 22,5 x26,5</t>
        </is>
      </c>
      <c r="D94" s="166">
        <f>L94*0.93*0.98</f>
        <v/>
      </c>
      <c r="E94" s="87">
        <f>D94*1.3*1.105</f>
        <v/>
      </c>
      <c r="F94" s="87">
        <f>D94*1.3*1.105/0.9</f>
        <v/>
      </c>
      <c r="G94" s="87">
        <f>F94*1.21</f>
        <v/>
      </c>
      <c r="H94" s="87">
        <f>ROUND(G94/100,0)*100</f>
        <v/>
      </c>
      <c r="J94" s="87" t="n">
        <v>25.9</v>
      </c>
      <c r="L94" s="87" t="n">
        <v>25.9</v>
      </c>
      <c r="M94" s="167" t="n"/>
      <c r="N94" s="120">
        <f>(L94/J94)-1</f>
        <v/>
      </c>
      <c r="O94" s="166" t="n"/>
    </row>
    <row r="95">
      <c r="A95" s="186" t="n">
        <v>616</v>
      </c>
      <c r="B95" s="223" t="inlineStr">
        <is>
          <t>Rollo Mini Sofclean x 190 porciones de 22,5 x 26,5</t>
        </is>
      </c>
      <c r="D95" s="166">
        <f>L95*0.93*0.98</f>
        <v/>
      </c>
      <c r="E95" s="87">
        <f>D95*1.3*1.105</f>
        <v/>
      </c>
      <c r="F95" s="87">
        <f>D95*1.3*1.105/0.9</f>
        <v/>
      </c>
      <c r="G95" s="87">
        <f>F95*1.21</f>
        <v/>
      </c>
      <c r="H95" s="87">
        <f>ROUND(G95/100,0)*100</f>
        <v/>
      </c>
      <c r="J95" s="87" t="n">
        <v>12.94</v>
      </c>
      <c r="L95" s="87" t="n">
        <v>12.94</v>
      </c>
      <c r="M95" s="167" t="n"/>
      <c r="N95" s="120">
        <f>(L95/J95)-1</f>
        <v/>
      </c>
      <c r="O95" s="166" t="n"/>
    </row>
    <row r="96">
      <c r="A96" s="186" t="n">
        <v>617</v>
      </c>
      <c r="B96" s="223" t="inlineStr">
        <is>
          <t>Caja 1/4 Folded Softclean 500 30 x 30 cm Celeste</t>
        </is>
      </c>
      <c r="D96" s="166">
        <f>L96*0.93*0.98</f>
        <v/>
      </c>
      <c r="E96" s="87">
        <f>D96*1.3*1.105</f>
        <v/>
      </c>
      <c r="F96" s="87">
        <f>D96*1.3*1.105/0.9</f>
        <v/>
      </c>
      <c r="G96" s="87">
        <f>F96*1.21</f>
        <v/>
      </c>
      <c r="H96" s="87">
        <f>ROUND(G96/100,0)*100</f>
        <v/>
      </c>
      <c r="J96" s="87" t="n">
        <v>42.96</v>
      </c>
      <c r="L96" s="87" t="n">
        <v>42.96</v>
      </c>
      <c r="M96" s="167" t="n"/>
      <c r="N96" s="120">
        <f>(L96/J96)-1</f>
        <v/>
      </c>
      <c r="O96" s="166" t="n"/>
    </row>
    <row r="97">
      <c r="A97" s="186" t="n">
        <v>618</v>
      </c>
      <c r="B97" s="223" t="inlineStr">
        <is>
          <t>Rollo Precortado Softclean 600 porciones de 30x 26,5</t>
        </is>
      </c>
      <c r="D97" s="166">
        <f>L97*0.93*0.98</f>
        <v/>
      </c>
      <c r="E97" s="87">
        <f>D97*1.3*1.105</f>
        <v/>
      </c>
      <c r="F97" s="87">
        <f>D97*1.3*1.105/0.9</f>
        <v/>
      </c>
      <c r="G97" s="87">
        <f>F97*1.21</f>
        <v/>
      </c>
      <c r="H97" s="87">
        <f>ROUND(G97/100,0)*100</f>
        <v/>
      </c>
      <c r="J97" s="87" t="n">
        <v>42.96</v>
      </c>
      <c r="L97" s="87" t="n">
        <v>42.96</v>
      </c>
      <c r="M97" s="167" t="n"/>
      <c r="N97" s="120">
        <f>(L97/J97)-1</f>
        <v/>
      </c>
      <c r="O97" s="166" t="n"/>
    </row>
    <row r="98">
      <c r="A98" s="186" t="n"/>
      <c r="B98" s="223" t="n"/>
      <c r="C98" s="223" t="n"/>
      <c r="D98" s="166" t="n"/>
      <c r="J98" s="87" t="n"/>
      <c r="L98" s="87" t="n"/>
      <c r="M98" s="167" t="n"/>
      <c r="N98" s="120" t="n"/>
      <c r="O98" s="166" t="n"/>
    </row>
    <row r="99">
      <c r="A99" s="168" t="inlineStr">
        <is>
          <t>Linea Sontara</t>
        </is>
      </c>
      <c r="C99" s="158" t="n"/>
      <c r="D99" s="169" t="n"/>
      <c r="J99" s="87" t="n"/>
      <c r="L99" s="87" t="n"/>
      <c r="M99" s="170" t="n"/>
      <c r="O99" s="169" t="n"/>
    </row>
    <row r="100">
      <c r="A100" s="186" t="n">
        <v>604</v>
      </c>
      <c r="B100" s="223" t="inlineStr">
        <is>
          <t>Rollo precortado Maxi de 30 x38 blanco</t>
        </is>
      </c>
      <c r="D100" s="166">
        <f>L100*0.93*0.98</f>
        <v/>
      </c>
      <c r="E100" s="87">
        <f>D100*1.3*1.105</f>
        <v/>
      </c>
      <c r="F100" s="87">
        <f>D100*1.3*1.105/0.9</f>
        <v/>
      </c>
      <c r="G100" s="87">
        <f>F100*1.21</f>
        <v/>
      </c>
      <c r="H100" s="87">
        <f>ROUND(G100/100,0)*100</f>
        <v/>
      </c>
      <c r="J100" s="87" t="n">
        <v>113.44</v>
      </c>
      <c r="L100" s="87" t="n">
        <v>113.44</v>
      </c>
      <c r="M100" s="167" t="n"/>
      <c r="N100" s="120">
        <f>(L100/J100)-1</f>
        <v/>
      </c>
      <c r="O100" s="166" t="n"/>
    </row>
    <row r="101">
      <c r="A101" s="186" t="n">
        <v>619</v>
      </c>
      <c r="B101" s="223" t="inlineStr">
        <is>
          <t>Centerfeed Sontara Celeste 350 porc22,5 x 26,5</t>
        </is>
      </c>
      <c r="D101" s="166">
        <f>L101*0.93*0.98</f>
        <v/>
      </c>
      <c r="E101" s="87">
        <f>D101*1.3*1.105</f>
        <v/>
      </c>
      <c r="F101" s="87">
        <f>D101*1.3*1.105/0.9</f>
        <v/>
      </c>
      <c r="G101" s="87">
        <f>F101*1.21</f>
        <v/>
      </c>
      <c r="H101" s="87">
        <f>ROUND(G101/100,0)*100</f>
        <v/>
      </c>
      <c r="J101" s="87" t="n">
        <v>57.54</v>
      </c>
      <c r="L101" s="87" t="n">
        <v>57.54</v>
      </c>
      <c r="M101" s="167" t="n"/>
      <c r="N101" s="120">
        <f>(L101/J101)-1</f>
        <v/>
      </c>
      <c r="O101" s="166" t="n"/>
    </row>
    <row r="102">
      <c r="A102" s="186" t="n">
        <v>620</v>
      </c>
      <c r="B102" s="223" t="inlineStr">
        <is>
          <t>Rollo prec Sontara por 600 porc 30 x26,5 celeste</t>
        </is>
      </c>
      <c r="D102" s="166">
        <f>L102*0.93*0.98</f>
        <v/>
      </c>
      <c r="E102" s="87">
        <f>D102*1.3*1.105</f>
        <v/>
      </c>
      <c r="F102" s="87">
        <f>D102*1.3*1.105/0.9</f>
        <v/>
      </c>
      <c r="G102" s="87">
        <f>F102*1.21</f>
        <v/>
      </c>
      <c r="H102" s="87">
        <f>ROUND(G102/100,0)*100</f>
        <v/>
      </c>
      <c r="J102" s="87" t="n">
        <v>106.81</v>
      </c>
      <c r="L102" s="87" t="n">
        <v>106.81</v>
      </c>
      <c r="M102" s="167" t="n"/>
      <c r="N102" s="120">
        <f>(L102/J102)-1</f>
        <v/>
      </c>
      <c r="O102" s="166" t="n"/>
    </row>
    <row r="103">
      <c r="A103" s="186" t="n">
        <v>621</v>
      </c>
      <c r="B103" s="223" t="inlineStr">
        <is>
          <t>Rollo Sontara Mini x 190 porc 22,5 x26,5 celeste</t>
        </is>
      </c>
      <c r="D103" s="166">
        <f>L103*0.93*0.98</f>
        <v/>
      </c>
      <c r="E103" s="87">
        <f>D103*1.3*1.105</f>
        <v/>
      </c>
      <c r="F103" s="87">
        <f>D103*1.3*1.105/0.9</f>
        <v/>
      </c>
      <c r="G103" s="87">
        <f>F103*1.21</f>
        <v/>
      </c>
      <c r="H103" s="87">
        <f>ROUND(G103/100,0)*100</f>
        <v/>
      </c>
      <c r="J103" s="87" t="n">
        <v>26.14</v>
      </c>
      <c r="L103" s="87" t="n">
        <v>26.14</v>
      </c>
      <c r="M103" s="167" t="n"/>
      <c r="N103" s="120">
        <f>(L103/J103)-1</f>
        <v/>
      </c>
      <c r="O103" s="166" t="n"/>
    </row>
    <row r="104">
      <c r="A104" s="186" t="n">
        <v>627</v>
      </c>
      <c r="B104" s="223" t="inlineStr">
        <is>
          <t>SMP 300 Paños de 22,5 cm x 22,5 cm</t>
        </is>
      </c>
      <c r="D104" s="166">
        <f>L104*0.93*0.98</f>
        <v/>
      </c>
      <c r="E104" s="87">
        <f>D104*1.3*1.105</f>
        <v/>
      </c>
      <c r="F104" s="87">
        <f>D104*1.3*1.105/0.9</f>
        <v/>
      </c>
      <c r="G104" s="87">
        <f>F104*1.21</f>
        <v/>
      </c>
      <c r="H104" s="87">
        <f>ROUND(G104/100,0)*100</f>
        <v/>
      </c>
      <c r="J104" s="87" t="n">
        <v>69.04000000000001</v>
      </c>
      <c r="L104" s="87" t="n">
        <v>69.04000000000001</v>
      </c>
      <c r="M104" s="167" t="n"/>
      <c r="N104" s="120">
        <f>(L104/J104)-1</f>
        <v/>
      </c>
      <c r="O104" s="166" t="n"/>
    </row>
    <row r="105">
      <c r="A105" s="171" t="n">
        <v>645</v>
      </c>
      <c r="B105" s="175" t="inlineStr">
        <is>
          <t>Caja por 500Paños Sontara de 30 x 30 cm celeste</t>
        </is>
      </c>
      <c r="D105" s="166">
        <f>L105*0.93*0.98</f>
        <v/>
      </c>
      <c r="E105" s="87">
        <f>D105*1.3*1.105</f>
        <v/>
      </c>
      <c r="F105" s="87">
        <f>D105*1.3*1.105/0.9</f>
        <v/>
      </c>
      <c r="G105" s="87">
        <f>F105*1.21</f>
        <v/>
      </c>
      <c r="H105" s="87">
        <f>ROUND(G105/100,0)*100</f>
        <v/>
      </c>
      <c r="J105" s="87" t="n">
        <v>75.94</v>
      </c>
      <c r="L105" s="87" t="n">
        <v>75.94</v>
      </c>
      <c r="M105" s="173" t="n"/>
      <c r="N105" s="177">
        <f>(L105/J105)-1</f>
        <v/>
      </c>
      <c r="O105" s="166" t="n"/>
    </row>
    <row r="106">
      <c r="A106" s="186" t="n">
        <v>656</v>
      </c>
      <c r="B106" s="175" t="inlineStr">
        <is>
          <t>Caja por 400 Paños Sontara de 30 x 30 cm Blancos</t>
        </is>
      </c>
      <c r="D106" s="166">
        <f>L106*0.93*0.98</f>
        <v/>
      </c>
      <c r="E106" s="87">
        <f>D106*1.3*1.105</f>
        <v/>
      </c>
      <c r="F106" s="87">
        <f>D106*1.3*1.105/0.9</f>
        <v/>
      </c>
      <c r="G106" s="87">
        <f>F106*1.21</f>
        <v/>
      </c>
      <c r="H106" s="87">
        <f>ROUND(G106/100,0)*100</f>
        <v/>
      </c>
      <c r="J106" s="87" t="n">
        <v>73.48999999999999</v>
      </c>
      <c r="L106" s="87" t="n">
        <v>73.48999999999999</v>
      </c>
      <c r="M106" s="167" t="n"/>
      <c r="N106" s="177">
        <f>(L106/J106)-1</f>
        <v/>
      </c>
      <c r="O106" s="166" t="n"/>
    </row>
    <row r="107">
      <c r="A107" s="223" t="n"/>
      <c r="B107" s="175" t="n"/>
      <c r="C107" s="175" t="n"/>
      <c r="D107" s="215" t="n"/>
      <c r="J107" s="87" t="n"/>
      <c r="L107" s="87" t="n"/>
      <c r="M107" s="176" t="n"/>
      <c r="N107" s="177" t="n"/>
      <c r="O107" s="215" t="n"/>
    </row>
    <row r="108">
      <c r="A108" s="223" t="n"/>
      <c r="B108" s="175" t="n"/>
      <c r="C108" s="223" t="n"/>
      <c r="D108" s="215" t="n"/>
      <c r="J108" s="87" t="n"/>
      <c r="L108" s="87" t="n"/>
      <c r="M108" s="176" t="n"/>
      <c r="N108" s="177" t="n"/>
      <c r="O108" s="215" t="n"/>
    </row>
    <row r="109">
      <c r="A109" s="223" t="n"/>
      <c r="B109" s="175" t="n"/>
      <c r="C109" s="223" t="n"/>
      <c r="D109" s="215" t="n"/>
      <c r="J109" s="87" t="n"/>
      <c r="L109" s="87" t="n"/>
      <c r="M109" s="176" t="n"/>
      <c r="N109" s="177" t="n"/>
      <c r="O109" s="215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J110" s="87" t="n"/>
      <c r="L110" s="87" t="n"/>
      <c r="M110" s="144" t="n"/>
      <c r="O110" s="215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J111" s="87" t="n"/>
      <c r="L111" s="87" t="n"/>
      <c r="M111" s="144" t="n"/>
      <c r="O111" s="215" t="n"/>
    </row>
    <row r="112">
      <c r="J112" s="87" t="n"/>
      <c r="L112" s="87" t="n"/>
      <c r="M112" s="105" t="n"/>
      <c r="N112" s="106" t="n"/>
    </row>
    <row r="113">
      <c r="J113" s="87" t="n"/>
      <c r="L113" s="87" t="n"/>
      <c r="M113" s="105" t="n"/>
      <c r="N113" s="106" t="n"/>
    </row>
    <row r="114">
      <c r="J114" s="87" t="n"/>
      <c r="L114" s="87" t="n"/>
      <c r="M114" s="105" t="n"/>
      <c r="N114" s="106" t="n"/>
    </row>
    <row r="115">
      <c r="J115" s="87" t="n"/>
      <c r="L115" s="87" t="n"/>
      <c r="M115" s="105" t="n"/>
      <c r="N115" s="106" t="n"/>
    </row>
    <row r="116">
      <c r="J116" s="87" t="n"/>
      <c r="L116" s="87" t="n"/>
      <c r="M116" s="105" t="n"/>
      <c r="N116" s="106" t="n"/>
    </row>
    <row r="117">
      <c r="J117" s="87" t="n"/>
      <c r="L117" s="87" t="n"/>
      <c r="M117" s="105" t="n"/>
      <c r="N117" s="106" t="n"/>
    </row>
    <row r="118">
      <c r="J118" s="87" t="n"/>
      <c r="L118" s="87" t="n"/>
      <c r="M118" s="105" t="n"/>
      <c r="N118" s="106" t="n"/>
    </row>
    <row r="119">
      <c r="J119" s="87" t="n"/>
      <c r="L119" s="87" t="n"/>
      <c r="M119" s="105" t="n"/>
      <c r="N119" s="106" t="n"/>
    </row>
    <row r="120">
      <c r="J120" s="87" t="n"/>
      <c r="L120" s="87" t="n"/>
      <c r="M120" s="105" t="n"/>
      <c r="N120" s="106" t="n"/>
    </row>
    <row r="121">
      <c r="J121" s="87" t="n"/>
      <c r="L121" s="87" t="n"/>
      <c r="M121" s="105" t="n"/>
      <c r="N121" s="106" t="n"/>
    </row>
    <row r="122">
      <c r="J122" s="87" t="n"/>
      <c r="L122" s="87" t="n"/>
      <c r="M122" s="105" t="n"/>
      <c r="N122" s="106" t="n"/>
    </row>
    <row r="123">
      <c r="J123" s="87" t="n"/>
      <c r="L123" s="87" t="n"/>
      <c r="M123" s="105" t="n"/>
      <c r="N123" s="106" t="n"/>
    </row>
    <row r="124">
      <c r="J124" s="87" t="n"/>
      <c r="L124" s="87" t="n"/>
      <c r="M124" s="105" t="n"/>
      <c r="N124" s="106" t="n"/>
    </row>
    <row r="125">
      <c r="J125" s="87" t="n"/>
      <c r="L125" s="87" t="n"/>
      <c r="M125" s="105" t="n"/>
      <c r="N125" s="106" t="n"/>
    </row>
    <row r="126">
      <c r="J126" s="87" t="n"/>
      <c r="L126" s="87" t="n"/>
      <c r="M126" s="105" t="n"/>
      <c r="N126" s="106" t="n"/>
    </row>
    <row r="127">
      <c r="J127" s="87" t="n"/>
      <c r="L127" s="87" t="n"/>
      <c r="M127" s="105" t="n"/>
      <c r="N127" s="106" t="n"/>
    </row>
    <row r="128">
      <c r="J128" s="87" t="n"/>
      <c r="L128" s="87" t="n"/>
      <c r="M128" s="105" t="n"/>
      <c r="N128" s="106" t="n"/>
    </row>
    <row r="129">
      <c r="J129" s="87" t="n"/>
      <c r="L129" s="87" t="n"/>
      <c r="M129" s="105" t="n"/>
      <c r="N129" s="106" t="n"/>
    </row>
    <row r="130">
      <c r="J130" s="87" t="n"/>
      <c r="L130" s="87" t="n"/>
      <c r="M130" s="105" t="n"/>
      <c r="N130" s="106" t="n"/>
    </row>
    <row r="131">
      <c r="J131" s="87" t="n"/>
      <c r="L131" s="87" t="n"/>
      <c r="M131" s="105" t="n"/>
      <c r="N131" s="106" t="n"/>
    </row>
    <row r="132">
      <c r="J132" s="87" t="n"/>
      <c r="L132" s="87" t="n"/>
      <c r="M132" s="105" t="n"/>
      <c r="N132" s="106" t="n"/>
    </row>
    <row r="133">
      <c r="J133" s="87" t="n"/>
      <c r="L133" s="87" t="n"/>
      <c r="M133" s="105" t="n"/>
      <c r="N133" s="106" t="n"/>
    </row>
    <row r="134">
      <c r="J134" s="87" t="n"/>
      <c r="L134" s="87" t="n"/>
      <c r="M134" s="105" t="n"/>
      <c r="N134" s="106" t="n"/>
    </row>
    <row r="135">
      <c r="J135" s="87" t="n"/>
      <c r="L135" s="87" t="n"/>
      <c r="M135" s="105" t="n"/>
      <c r="N135" s="106" t="n"/>
    </row>
    <row r="136">
      <c r="J136" s="87" t="n"/>
      <c r="L136" s="87" t="n"/>
      <c r="M136" s="105" t="n"/>
      <c r="N136" s="106" t="n"/>
    </row>
    <row r="137">
      <c r="J137" s="87" t="n"/>
      <c r="L137" s="87" t="n"/>
      <c r="M137" s="105" t="n"/>
      <c r="N137" s="106" t="n"/>
    </row>
    <row r="138">
      <c r="J138" s="87" t="n"/>
      <c r="L138" s="87" t="n"/>
      <c r="M138" s="105" t="n"/>
      <c r="N138" s="106" t="n"/>
    </row>
    <row r="139">
      <c r="J139" s="87" t="n"/>
      <c r="L139" s="87" t="n"/>
      <c r="M139" s="105" t="n"/>
      <c r="N139" s="106" t="n"/>
    </row>
    <row r="140">
      <c r="J140" s="87" t="n"/>
      <c r="L140" s="87" t="n"/>
      <c r="M140" s="105" t="n"/>
      <c r="N140" s="106" t="n"/>
    </row>
    <row r="141">
      <c r="J141" s="87" t="n"/>
      <c r="L141" s="87" t="n"/>
      <c r="M141" s="105" t="n"/>
      <c r="N141" s="106" t="n"/>
    </row>
    <row r="142">
      <c r="J142" s="87" t="n"/>
      <c r="L142" s="87" t="n"/>
      <c r="M142" s="105" t="n"/>
      <c r="N142" s="106" t="n"/>
    </row>
    <row r="143">
      <c r="J143" s="87" t="n"/>
      <c r="L143" s="87" t="n"/>
      <c r="M143" s="105" t="n"/>
      <c r="N143" s="106" t="n"/>
    </row>
    <row r="144">
      <c r="J144" s="87" t="n"/>
      <c r="L144" s="87" t="n"/>
      <c r="M144" s="105" t="n"/>
      <c r="N144" s="106" t="n"/>
    </row>
    <row r="145">
      <c r="J145" s="87" t="n"/>
      <c r="L145" s="87" t="n"/>
      <c r="M145" s="105" t="n"/>
      <c r="N145" s="106" t="n"/>
    </row>
    <row r="146">
      <c r="J146" s="87" t="n"/>
      <c r="L146" s="87" t="n"/>
      <c r="M146" s="105" t="n"/>
      <c r="N146" s="106" t="n"/>
    </row>
    <row r="147">
      <c r="J147" s="87" t="n"/>
      <c r="L147" s="87" t="n"/>
      <c r="M147" s="105" t="n"/>
      <c r="N147" s="106" t="n"/>
    </row>
    <row r="148">
      <c r="J148" s="87" t="n"/>
      <c r="L148" s="87" t="n"/>
      <c r="M148" s="105" t="n"/>
      <c r="N148" s="106" t="n"/>
    </row>
    <row r="149">
      <c r="J149" s="87" t="n"/>
      <c r="L149" s="87" t="n"/>
      <c r="M149" s="105" t="n"/>
      <c r="N149" s="106" t="n"/>
    </row>
    <row r="150">
      <c r="J150" s="87" t="n"/>
      <c r="L150" s="87" t="n"/>
      <c r="M150" s="105" t="n"/>
      <c r="N150" s="106" t="n"/>
    </row>
    <row r="151">
      <c r="J151" s="87" t="n"/>
      <c r="L151" s="87" t="n"/>
      <c r="M151" s="105" t="n"/>
      <c r="N151" s="106" t="n"/>
    </row>
    <row r="152">
      <c r="J152" s="87" t="n"/>
      <c r="L152" s="87" t="n"/>
      <c r="M152" s="105" t="n"/>
      <c r="N152" s="106" t="n"/>
    </row>
    <row r="153">
      <c r="J153" s="87" t="n"/>
      <c r="L153" s="87" t="n"/>
      <c r="M153" s="105" t="n"/>
      <c r="N153" s="106" t="n"/>
    </row>
    <row r="154">
      <c r="J154" s="87" t="n"/>
      <c r="L154" s="87" t="n"/>
      <c r="M154" s="105" t="n"/>
      <c r="N154" s="106" t="n"/>
    </row>
    <row r="155">
      <c r="J155" s="87" t="n"/>
      <c r="L155" s="87" t="n"/>
      <c r="M155" s="105" t="n"/>
      <c r="N155" s="106" t="n"/>
    </row>
    <row r="156">
      <c r="J156" s="87" t="n"/>
      <c r="L156" s="87" t="n"/>
      <c r="M156" s="105" t="n"/>
      <c r="N156" s="106" t="n"/>
    </row>
    <row r="157">
      <c r="J157" s="87" t="n"/>
      <c r="L157" s="87" t="n"/>
      <c r="M157" s="105" t="n"/>
      <c r="N157" s="106" t="n"/>
    </row>
    <row r="158">
      <c r="J158" s="87" t="n"/>
      <c r="L158" s="87" t="n"/>
      <c r="M158" s="105" t="n"/>
      <c r="N158" s="106" t="n"/>
    </row>
    <row r="159">
      <c r="J159" s="87" t="n"/>
      <c r="L159" s="87" t="n"/>
      <c r="M159" s="105" t="n"/>
      <c r="N159" s="106" t="n"/>
    </row>
    <row r="160">
      <c r="J160" s="87" t="n"/>
      <c r="L160" s="87" t="n"/>
      <c r="M160" s="105" t="n"/>
      <c r="N160" s="106" t="n"/>
    </row>
    <row r="161">
      <c r="J161" s="87" t="n"/>
      <c r="L161" s="87" t="n"/>
      <c r="M161" s="105" t="n"/>
      <c r="N161" s="106" t="n"/>
    </row>
    <row r="162">
      <c r="J162" s="87" t="n"/>
      <c r="L162" s="87" t="n"/>
      <c r="M162" s="105" t="n"/>
      <c r="N162" s="106" t="n"/>
    </row>
    <row r="163">
      <c r="J163" s="87" t="n"/>
      <c r="L163" s="87" t="n"/>
      <c r="M163" s="105" t="n"/>
      <c r="N163" s="106" t="n"/>
    </row>
    <row r="164">
      <c r="J164" s="87" t="n"/>
      <c r="L164" s="87" t="n"/>
      <c r="M164" s="105" t="n"/>
      <c r="N164" s="106" t="n"/>
    </row>
    <row r="165">
      <c r="J165" s="87" t="n"/>
      <c r="L165" s="87" t="n"/>
      <c r="M165" s="105" t="n"/>
      <c r="N165" s="106" t="n"/>
    </row>
    <row r="166">
      <c r="J166" s="87" t="n"/>
      <c r="L166" s="87" t="n"/>
      <c r="M166" s="105" t="n"/>
      <c r="N166" s="106" t="n"/>
    </row>
    <row r="167">
      <c r="J167" s="87" t="n"/>
      <c r="L167" s="87" t="n"/>
      <c r="M167" s="105" t="n"/>
      <c r="N167" s="106" t="n"/>
    </row>
    <row r="168">
      <c r="J168" s="87" t="n"/>
      <c r="L168" s="87" t="n"/>
      <c r="M168" s="105" t="n"/>
      <c r="N168" s="106" t="n"/>
    </row>
    <row r="169">
      <c r="J169" s="87" t="n"/>
      <c r="L169" s="87" t="n"/>
      <c r="M169" s="105" t="n"/>
      <c r="N169" s="106" t="n"/>
    </row>
    <row r="170">
      <c r="J170" s="87" t="n"/>
      <c r="L170" s="87" t="n"/>
      <c r="M170" s="105" t="n"/>
      <c r="N170" s="106" t="n"/>
    </row>
    <row r="171">
      <c r="J171" s="87" t="n"/>
      <c r="L171" s="87" t="n"/>
      <c r="M171" s="105" t="n"/>
      <c r="N171" s="106" t="n"/>
    </row>
    <row r="172">
      <c r="J172" s="87" t="n"/>
      <c r="L172" s="87" t="n"/>
      <c r="M172" s="105" t="n"/>
      <c r="N172" s="106" t="n"/>
    </row>
    <row r="173">
      <c r="J173" s="87" t="n"/>
      <c r="L173" s="87" t="n"/>
      <c r="M173" s="105" t="n"/>
      <c r="N173" s="106" t="n"/>
    </row>
    <row r="174">
      <c r="J174" s="87" t="n"/>
      <c r="L174" s="87" t="n"/>
      <c r="M174" s="105" t="n"/>
      <c r="N174" s="106" t="n"/>
    </row>
    <row r="175">
      <c r="J175" s="87" t="n"/>
      <c r="L175" s="87" t="n"/>
      <c r="M175" s="105" t="n"/>
      <c r="N175" s="106" t="n"/>
    </row>
    <row r="176">
      <c r="J176" s="87" t="n"/>
      <c r="L176" s="87" t="n"/>
      <c r="M176" s="105" t="n"/>
      <c r="N176" s="106" t="n"/>
    </row>
    <row r="177">
      <c r="J177" s="87" t="n"/>
      <c r="L177" s="87" t="n"/>
      <c r="M177" s="105" t="n"/>
      <c r="N177" s="106" t="n"/>
    </row>
    <row r="178">
      <c r="J178" s="87" t="n"/>
      <c r="L178" s="87" t="n"/>
      <c r="M178" s="105" t="n"/>
      <c r="N178" s="106" t="n"/>
    </row>
    <row r="179">
      <c r="J179" s="87" t="n"/>
      <c r="L179" s="87" t="n"/>
      <c r="M179" s="105" t="n"/>
      <c r="N179" s="106" t="n"/>
    </row>
    <row r="180">
      <c r="J180" s="87" t="n"/>
      <c r="L180" s="87" t="n"/>
      <c r="M180" s="105" t="n"/>
      <c r="N180" s="106" t="n"/>
    </row>
    <row r="181">
      <c r="J181" s="87" t="n"/>
      <c r="L181" s="87" t="n"/>
      <c r="M181" s="105" t="n"/>
      <c r="N181" s="106" t="n"/>
    </row>
    <row r="182">
      <c r="J182" s="87" t="n"/>
      <c r="L182" s="87" t="n"/>
      <c r="M182" s="105" t="n"/>
      <c r="N182" s="106" t="n"/>
    </row>
    <row r="183">
      <c r="J183" s="87" t="n"/>
      <c r="L183" s="87" t="n"/>
      <c r="M183" s="105" t="n"/>
      <c r="N183" s="106" t="n"/>
    </row>
    <row r="184">
      <c r="J184" s="87" t="n"/>
      <c r="L184" s="87" t="n"/>
      <c r="M184" s="105" t="n"/>
      <c r="N184" s="106" t="n"/>
    </row>
    <row r="185">
      <c r="J185" s="87" t="n"/>
      <c r="L185" s="87" t="n"/>
      <c r="M185" s="105" t="n"/>
      <c r="N185" s="106" t="n"/>
    </row>
    <row r="186">
      <c r="J186" s="87" t="n"/>
      <c r="L186" s="87" t="n"/>
      <c r="M186" s="105" t="n"/>
      <c r="N186" s="106" t="n"/>
    </row>
    <row r="187">
      <c r="J187" s="87" t="n"/>
      <c r="L187" s="87" t="n"/>
      <c r="M187" s="105" t="n"/>
      <c r="N187" s="106" t="n"/>
    </row>
    <row r="188">
      <c r="J188" s="87" t="n"/>
      <c r="L188" s="87" t="n"/>
      <c r="M188" s="105" t="n"/>
      <c r="N188" s="106" t="n"/>
    </row>
    <row r="189">
      <c r="J189" s="87" t="n"/>
      <c r="L189" s="87" t="n"/>
      <c r="M189" s="105" t="n"/>
      <c r="N189" s="106" t="n"/>
    </row>
    <row r="190">
      <c r="J190" s="87" t="n"/>
      <c r="L190" s="87" t="n"/>
      <c r="M190" s="105" t="n"/>
      <c r="N190" s="106" t="n"/>
    </row>
    <row r="191">
      <c r="J191" s="87" t="n"/>
      <c r="L191" s="87" t="n"/>
      <c r="M191" s="105" t="n"/>
      <c r="N191" s="106" t="n"/>
    </row>
    <row r="192">
      <c r="J192" s="87" t="n"/>
      <c r="L192" s="87" t="n"/>
      <c r="M192" s="105" t="n"/>
      <c r="N192" s="106" t="n"/>
    </row>
    <row r="193">
      <c r="J193" s="87" t="n"/>
      <c r="L193" s="87" t="n"/>
      <c r="M193" s="105" t="n"/>
      <c r="N193" s="106" t="n"/>
    </row>
    <row r="194">
      <c r="J194" s="87" t="n"/>
      <c r="L194" s="87" t="n"/>
      <c r="M194" s="105" t="n"/>
      <c r="N194" s="106" t="n"/>
    </row>
    <row r="195">
      <c r="J195" s="87" t="n"/>
      <c r="L195" s="87" t="n"/>
      <c r="M195" s="105" t="n"/>
      <c r="N195" s="106" t="n"/>
    </row>
    <row r="196">
      <c r="J196" s="87" t="n"/>
      <c r="L196" s="87" t="n"/>
      <c r="M196" s="105" t="n"/>
      <c r="N196" s="106" t="n"/>
    </row>
    <row r="197">
      <c r="J197" s="87" t="n"/>
      <c r="L197" s="87" t="n"/>
      <c r="M197" s="105" t="n"/>
      <c r="N197" s="106" t="n"/>
    </row>
    <row r="198">
      <c r="J198" s="87" t="n"/>
      <c r="L198" s="87" t="n"/>
      <c r="M198" s="105" t="n"/>
      <c r="N198" s="106" t="n"/>
    </row>
    <row r="199">
      <c r="J199" s="87" t="n"/>
      <c r="L199" s="87" t="n"/>
      <c r="M199" s="105" t="n"/>
      <c r="N199" s="106" t="n"/>
    </row>
    <row r="200">
      <c r="J200" s="87" t="n"/>
      <c r="L200" s="87" t="n"/>
      <c r="M200" s="105" t="n"/>
      <c r="N200" s="106" t="n"/>
    </row>
    <row r="201">
      <c r="J201" s="87" t="n"/>
      <c r="L201" s="87" t="n"/>
      <c r="M201" s="105" t="n"/>
      <c r="N201" s="106" t="n"/>
    </row>
    <row r="202">
      <c r="J202" s="87" t="n"/>
      <c r="L202" s="87" t="n"/>
      <c r="M202" s="105" t="n"/>
      <c r="N202" s="106" t="n"/>
    </row>
    <row r="203">
      <c r="J203" s="87" t="n"/>
      <c r="L203" s="87" t="n"/>
      <c r="M203" s="105" t="n"/>
      <c r="N203" s="106" t="n"/>
    </row>
    <row r="204">
      <c r="J204" s="87" t="n"/>
      <c r="L204" s="87" t="n"/>
      <c r="M204" s="105" t="n"/>
      <c r="N204" s="106" t="n"/>
    </row>
    <row r="205">
      <c r="J205" s="87" t="n"/>
      <c r="L205" s="87" t="n"/>
      <c r="M205" s="105" t="n"/>
      <c r="N205" s="106" t="n"/>
    </row>
    <row r="206">
      <c r="J206" s="87" t="n"/>
      <c r="L206" s="87" t="n"/>
      <c r="M206" s="105" t="n"/>
      <c r="N206" s="106" t="n"/>
    </row>
    <row r="207">
      <c r="J207" s="87" t="n"/>
      <c r="L207" s="87" t="n"/>
      <c r="M207" s="105" t="n"/>
      <c r="N207" s="106" t="n"/>
    </row>
    <row r="208">
      <c r="J208" s="87" t="n"/>
      <c r="L208" s="87" t="n"/>
      <c r="M208" s="105" t="n"/>
      <c r="N208" s="106" t="n"/>
    </row>
    <row r="209">
      <c r="J209" s="87" t="n"/>
      <c r="L209" s="87" t="n"/>
      <c r="M209" s="105" t="n"/>
      <c r="N209" s="106" t="n"/>
    </row>
    <row r="210">
      <c r="J210" s="87" t="n"/>
      <c r="L210" s="87" t="n"/>
      <c r="M210" s="105" t="n"/>
      <c r="N210" s="106" t="n"/>
    </row>
    <row r="211">
      <c r="J211" s="87" t="n"/>
      <c r="L211" s="87" t="n"/>
      <c r="M211" s="105" t="n"/>
      <c r="N211" s="106" t="n"/>
    </row>
    <row r="212">
      <c r="J212" s="87" t="n"/>
      <c r="L212" s="87" t="n"/>
      <c r="M212" s="105" t="n"/>
      <c r="N212" s="106" t="n"/>
    </row>
    <row r="213">
      <c r="J213" s="87" t="n"/>
      <c r="L213" s="87" t="n"/>
      <c r="M213" s="105" t="n"/>
      <c r="N213" s="106" t="n"/>
    </row>
    <row r="214">
      <c r="J214" s="87" t="n"/>
      <c r="L214" s="87" t="n"/>
      <c r="M214" s="105" t="n"/>
      <c r="N214" s="106" t="n"/>
    </row>
    <row r="215">
      <c r="J215" s="87" t="n"/>
      <c r="L215" s="87" t="n"/>
      <c r="M215" s="105" t="n"/>
      <c r="N215" s="106" t="n"/>
    </row>
    <row r="216">
      <c r="J216" s="87" t="n"/>
      <c r="L216" s="87" t="n"/>
      <c r="M216" s="105" t="n"/>
      <c r="N216" s="106" t="n"/>
    </row>
    <row r="217">
      <c r="J217" s="87" t="n"/>
      <c r="L217" s="87" t="n"/>
      <c r="M217" s="105" t="n"/>
      <c r="N217" s="106" t="n"/>
    </row>
    <row r="218">
      <c r="J218" s="87" t="n"/>
      <c r="L218" s="87" t="n"/>
      <c r="M218" s="105" t="n"/>
      <c r="N218" s="106" t="n"/>
    </row>
    <row r="219">
      <c r="J219" s="87" t="n"/>
      <c r="L219" s="87" t="n"/>
      <c r="M219" s="105" t="n"/>
      <c r="N219" s="106" t="n"/>
    </row>
    <row r="220">
      <c r="J220" s="87" t="n"/>
      <c r="L220" s="87" t="n"/>
      <c r="M220" s="105" t="n"/>
      <c r="N220" s="106" t="n"/>
    </row>
    <row r="221">
      <c r="J221" s="87" t="n"/>
      <c r="L221" s="87" t="n"/>
      <c r="M221" s="105" t="n"/>
      <c r="N221" s="106" t="n"/>
    </row>
    <row r="222">
      <c r="J222" s="87" t="n"/>
      <c r="L222" s="87" t="n"/>
      <c r="M222" s="105" t="n"/>
      <c r="N222" s="106" t="n"/>
    </row>
    <row r="223">
      <c r="J223" s="87" t="n"/>
      <c r="L223" s="87" t="n"/>
      <c r="M223" s="105" t="n"/>
      <c r="N223" s="106" t="n"/>
    </row>
    <row r="224">
      <c r="J224" s="87" t="n"/>
      <c r="L224" s="87" t="n"/>
      <c r="M224" s="105" t="n"/>
      <c r="N224" s="106" t="n"/>
    </row>
    <row r="225">
      <c r="J225" s="87" t="n"/>
      <c r="L225" s="87" t="n"/>
      <c r="M225" s="105" t="n"/>
      <c r="N225" s="106" t="n"/>
    </row>
    <row r="226">
      <c r="J226" s="87" t="n"/>
      <c r="L226" s="87" t="n"/>
      <c r="M226" s="105" t="n"/>
      <c r="N226" s="106" t="n"/>
    </row>
    <row r="227">
      <c r="J227" s="87" t="n"/>
      <c r="L227" s="87" t="n"/>
      <c r="M227" s="105" t="n"/>
      <c r="N227" s="106" t="n"/>
    </row>
    <row r="228">
      <c r="J228" s="87" t="n"/>
      <c r="L228" s="87" t="n"/>
      <c r="M228" s="105" t="n"/>
      <c r="N228" s="106" t="n"/>
    </row>
    <row r="229">
      <c r="J229" s="87" t="n"/>
      <c r="L229" s="87" t="n"/>
      <c r="M229" s="105" t="n"/>
      <c r="N229" s="106" t="n"/>
    </row>
    <row r="230">
      <c r="J230" s="87" t="n"/>
      <c r="L230" s="87" t="n"/>
      <c r="M230" s="105" t="n"/>
      <c r="N230" s="106" t="n"/>
    </row>
    <row r="231">
      <c r="J231" s="87" t="n"/>
      <c r="L231" s="87" t="n"/>
      <c r="M231" s="105" t="n"/>
      <c r="N231" s="106" t="n"/>
    </row>
    <row r="232">
      <c r="J232" s="87" t="n"/>
      <c r="L232" s="87" t="n"/>
      <c r="M232" s="105" t="n"/>
      <c r="N232" s="106" t="n"/>
    </row>
    <row r="233">
      <c r="J233" s="87" t="n"/>
      <c r="L233" s="87" t="n"/>
      <c r="M233" s="105" t="n"/>
      <c r="N233" s="106" t="n"/>
    </row>
    <row r="234">
      <c r="J234" s="87" t="n"/>
      <c r="L234" s="87" t="n"/>
      <c r="M234" s="105" t="n"/>
      <c r="N234" s="106" t="n"/>
    </row>
    <row r="235">
      <c r="J235" s="87" t="n"/>
      <c r="L235" s="87" t="n"/>
      <c r="M235" s="105" t="n"/>
      <c r="N235" s="106" t="n"/>
    </row>
    <row r="236">
      <c r="J236" s="87" t="n"/>
      <c r="L236" s="87" t="n"/>
      <c r="M236" s="105" t="n"/>
      <c r="N236" s="106" t="n"/>
    </row>
    <row r="237">
      <c r="J237" s="87" t="n"/>
      <c r="L237" s="87" t="n"/>
      <c r="M237" s="105" t="n"/>
      <c r="N237" s="106" t="n"/>
    </row>
    <row r="238">
      <c r="J238" s="87" t="n"/>
      <c r="L238" s="87" t="n"/>
      <c r="M238" s="105" t="n"/>
      <c r="N238" s="106" t="n"/>
    </row>
    <row r="239">
      <c r="J239" s="87" t="n"/>
      <c r="L239" s="87" t="n"/>
      <c r="M239" s="105" t="n"/>
      <c r="N239" s="106" t="n"/>
    </row>
    <row r="240">
      <c r="J240" s="87" t="n"/>
      <c r="L240" s="87" t="n"/>
      <c r="M240" s="105" t="n"/>
      <c r="N240" s="106" t="n"/>
    </row>
    <row r="241">
      <c r="J241" s="87" t="n"/>
      <c r="L241" s="87" t="n"/>
      <c r="M241" s="105" t="n"/>
      <c r="N241" s="106" t="n"/>
    </row>
    <row r="242">
      <c r="J242" s="87" t="n"/>
      <c r="L242" s="87" t="n"/>
      <c r="M242" s="105" t="n"/>
      <c r="N242" s="106" t="n"/>
    </row>
    <row r="243">
      <c r="J243" s="87" t="n"/>
      <c r="L243" s="87" t="n"/>
      <c r="M243" s="105" t="n"/>
      <c r="N243" s="106" t="n"/>
    </row>
    <row r="244">
      <c r="J244" s="87" t="n"/>
      <c r="L244" s="87" t="n"/>
      <c r="M244" s="105" t="n"/>
      <c r="N244" s="106" t="n"/>
    </row>
    <row r="245">
      <c r="J245" s="87" t="n"/>
      <c r="L245" s="87" t="n"/>
      <c r="M245" s="105" t="n"/>
      <c r="N245" s="106" t="n"/>
    </row>
    <row r="246">
      <c r="J246" s="87" t="n"/>
      <c r="L246" s="87" t="n"/>
      <c r="M246" s="105" t="n"/>
      <c r="N246" s="106" t="n"/>
    </row>
    <row r="247">
      <c r="J247" s="87" t="n"/>
      <c r="L247" s="87" t="n"/>
      <c r="M247" s="105" t="n"/>
      <c r="N247" s="106" t="n"/>
    </row>
    <row r="248">
      <c r="J248" s="87" t="n"/>
      <c r="L248" s="87" t="n"/>
      <c r="M248" s="105" t="n"/>
      <c r="N248" s="106" t="n"/>
    </row>
    <row r="249">
      <c r="J249" s="87" t="n"/>
      <c r="L249" s="87" t="n"/>
      <c r="M249" s="105" t="n"/>
      <c r="N249" s="106" t="n"/>
    </row>
    <row r="250">
      <c r="J250" s="87" t="n"/>
      <c r="L250" s="87" t="n"/>
      <c r="M250" s="105" t="n"/>
      <c r="N250" s="106" t="n"/>
    </row>
    <row r="251">
      <c r="J251" s="87" t="n"/>
      <c r="L251" s="87" t="n"/>
      <c r="M251" s="105" t="n"/>
      <c r="N251" s="106" t="n"/>
    </row>
    <row r="252">
      <c r="J252" s="87" t="n"/>
      <c r="L252" s="87" t="n"/>
      <c r="M252" s="105" t="n"/>
      <c r="N252" s="106" t="n"/>
    </row>
    <row r="253">
      <c r="J253" s="87" t="n"/>
      <c r="L253" s="87" t="n"/>
      <c r="M253" s="105" t="n"/>
      <c r="N253" s="106" t="n"/>
    </row>
    <row r="254">
      <c r="J254" s="87" t="n"/>
      <c r="L254" s="87" t="n"/>
      <c r="M254" s="105" t="n"/>
      <c r="N254" s="106" t="n"/>
    </row>
    <row r="255">
      <c r="J255" s="87" t="n"/>
      <c r="L255" s="87" t="n"/>
      <c r="M255" s="105" t="n"/>
      <c r="N255" s="106" t="n"/>
    </row>
    <row r="256">
      <c r="J256" s="87" t="n"/>
      <c r="L256" s="87" t="n"/>
      <c r="M256" s="105" t="n"/>
      <c r="N256" s="106" t="n"/>
    </row>
    <row r="257">
      <c r="J257" s="87" t="n"/>
      <c r="L257" s="87" t="n"/>
      <c r="M257" s="105" t="n"/>
      <c r="N257" s="106" t="n"/>
    </row>
    <row r="258">
      <c r="J258" s="87" t="n"/>
      <c r="L258" s="87" t="n"/>
      <c r="M258" s="105" t="n"/>
      <c r="N258" s="106" t="n"/>
    </row>
    <row r="259">
      <c r="J259" s="87" t="n"/>
      <c r="L259" s="87" t="n"/>
      <c r="M259" s="105" t="n"/>
      <c r="N259" s="106" t="n"/>
    </row>
    <row r="260">
      <c r="J260" s="87" t="n"/>
      <c r="L260" s="87" t="n"/>
      <c r="M260" s="105" t="n"/>
      <c r="N260" s="106" t="n"/>
    </row>
    <row r="261">
      <c r="J261" s="87" t="n"/>
      <c r="L261" s="87" t="n"/>
      <c r="M261" s="105" t="n"/>
      <c r="N261" s="106" t="n"/>
    </row>
    <row r="262">
      <c r="J262" s="87" t="n"/>
      <c r="L262" s="87" t="n"/>
      <c r="M262" s="105" t="n"/>
      <c r="N262" s="106" t="n"/>
    </row>
    <row r="263">
      <c r="J263" s="87" t="n"/>
      <c r="L263" s="87" t="n"/>
      <c r="M263" s="105" t="n"/>
      <c r="N263" s="106" t="n"/>
    </row>
    <row r="264">
      <c r="J264" s="87" t="n"/>
      <c r="L264" s="87" t="n"/>
      <c r="M264" s="105" t="n"/>
      <c r="N264" s="106" t="n"/>
    </row>
    <row r="265">
      <c r="J265" s="87" t="n"/>
      <c r="L265" s="87" t="n"/>
      <c r="M265" s="105" t="n"/>
      <c r="N265" s="106" t="n"/>
    </row>
    <row r="266">
      <c r="J266" s="87" t="n"/>
      <c r="L266" s="87" t="n"/>
      <c r="M266" s="105" t="n"/>
      <c r="N266" s="106" t="n"/>
    </row>
    <row r="267">
      <c r="J267" s="87" t="n"/>
      <c r="L267" s="87" t="n"/>
      <c r="M267" s="105" t="n"/>
      <c r="N267" s="106" t="n"/>
    </row>
    <row r="268">
      <c r="J268" s="87" t="n"/>
      <c r="L268" s="87" t="n"/>
      <c r="M268" s="105" t="n"/>
      <c r="N268" s="106" t="n"/>
    </row>
    <row r="269">
      <c r="J269" s="87" t="n"/>
      <c r="L269" s="87" t="n"/>
      <c r="M269" s="105" t="n"/>
      <c r="N269" s="106" t="n"/>
    </row>
    <row r="270">
      <c r="J270" s="87" t="n"/>
      <c r="L270" s="87" t="n"/>
      <c r="M270" s="105" t="n"/>
      <c r="N270" s="106" t="n"/>
    </row>
    <row r="271">
      <c r="J271" s="87" t="n"/>
      <c r="L271" s="87" t="n"/>
      <c r="M271" s="105" t="n"/>
      <c r="N271" s="106" t="n"/>
    </row>
    <row r="272">
      <c r="J272" s="87" t="n"/>
      <c r="L272" s="87" t="n"/>
      <c r="M272" s="105" t="n"/>
      <c r="N272" s="106" t="n"/>
    </row>
    <row r="273">
      <c r="J273" s="87" t="n"/>
      <c r="L273" s="87" t="n"/>
      <c r="M273" s="105" t="n"/>
      <c r="N273" s="106" t="n"/>
    </row>
    <row r="274">
      <c r="J274" s="87" t="n"/>
      <c r="L274" s="87" t="n"/>
      <c r="M274" s="105" t="n"/>
      <c r="N274" s="106" t="n"/>
    </row>
    <row r="275">
      <c r="J275" s="87" t="n"/>
      <c r="L275" s="87" t="n"/>
      <c r="M275" s="105" t="n"/>
      <c r="N275" s="106" t="n"/>
    </row>
    <row r="276">
      <c r="J276" s="87" t="n"/>
      <c r="L276" s="87" t="n"/>
      <c r="M276" s="105" t="n"/>
      <c r="N276" s="106" t="n"/>
    </row>
    <row r="277">
      <c r="J277" s="87" t="n"/>
      <c r="L277" s="87" t="n"/>
      <c r="M277" s="105" t="n"/>
      <c r="N277" s="106" t="n"/>
    </row>
    <row r="278">
      <c r="J278" s="87" t="n"/>
      <c r="L278" s="87" t="n"/>
      <c r="M278" s="105" t="n"/>
      <c r="N278" s="106" t="n"/>
    </row>
    <row r="279">
      <c r="J279" s="87" t="n"/>
      <c r="L279" s="87" t="n"/>
      <c r="M279" s="105" t="n"/>
      <c r="N279" s="106" t="n"/>
    </row>
    <row r="280">
      <c r="J280" s="87" t="n"/>
      <c r="L280" s="87" t="n"/>
      <c r="M280" s="105" t="n"/>
      <c r="N280" s="106" t="n"/>
    </row>
    <row r="281">
      <c r="J281" s="87" t="n"/>
      <c r="L281" s="87" t="n"/>
      <c r="M281" s="105" t="n"/>
      <c r="N281" s="106" t="n"/>
    </row>
    <row r="282">
      <c r="J282" s="87" t="n"/>
      <c r="L282" s="87" t="n"/>
      <c r="M282" s="105" t="n"/>
      <c r="N282" s="106" t="n"/>
    </row>
    <row r="283">
      <c r="J283" s="87" t="n"/>
      <c r="L283" s="87" t="n"/>
      <c r="M283" s="105" t="n"/>
      <c r="N283" s="106" t="n"/>
    </row>
    <row r="284">
      <c r="J284" s="87" t="n"/>
      <c r="L284" s="87" t="n"/>
      <c r="M284" s="105" t="n"/>
      <c r="N284" s="106" t="n"/>
    </row>
    <row r="285">
      <c r="J285" s="87" t="n"/>
      <c r="L285" s="87" t="n"/>
      <c r="M285" s="105" t="n"/>
      <c r="N285" s="106" t="n"/>
    </row>
    <row r="286">
      <c r="J286" s="87" t="n"/>
      <c r="L286" s="87" t="n"/>
      <c r="M286" s="105" t="n"/>
      <c r="N286" s="106" t="n"/>
    </row>
    <row r="287">
      <c r="J287" s="87" t="n"/>
      <c r="L287" s="87" t="n"/>
      <c r="M287" s="105" t="n"/>
      <c r="N287" s="106" t="n"/>
    </row>
    <row r="288">
      <c r="J288" s="87" t="n"/>
      <c r="L288" s="87" t="n"/>
      <c r="M288" s="105" t="n"/>
      <c r="N288" s="106" t="n"/>
    </row>
    <row r="289">
      <c r="J289" s="87" t="n"/>
      <c r="L289" s="87" t="n"/>
      <c r="M289" s="105" t="n"/>
      <c r="N289" s="106" t="n"/>
    </row>
    <row r="290">
      <c r="J290" s="87" t="n"/>
      <c r="L290" s="87" t="n"/>
      <c r="M290" s="105" t="n"/>
      <c r="N290" s="106" t="n"/>
    </row>
    <row r="291">
      <c r="J291" s="87" t="n"/>
      <c r="L291" s="87" t="n"/>
      <c r="M291" s="105" t="n"/>
      <c r="N291" s="106" t="n"/>
    </row>
    <row r="292">
      <c r="J292" s="87" t="n"/>
      <c r="L292" s="87" t="n"/>
      <c r="M292" s="105" t="n"/>
      <c r="N292" s="106" t="n"/>
    </row>
    <row r="293">
      <c r="J293" s="87" t="n"/>
      <c r="L293" s="87" t="n"/>
      <c r="M293" s="105" t="n"/>
      <c r="N293" s="106" t="n"/>
    </row>
    <row r="294">
      <c r="J294" s="87" t="n"/>
      <c r="L294" s="87" t="n"/>
      <c r="M294" s="105" t="n"/>
      <c r="N294" s="106" t="n"/>
    </row>
    <row r="295">
      <c r="J295" s="87" t="n"/>
      <c r="L295" s="87" t="n"/>
      <c r="M295" s="105" t="n"/>
      <c r="N295" s="106" t="n"/>
    </row>
    <row r="296">
      <c r="J296" s="87" t="n"/>
      <c r="L296" s="87" t="n"/>
      <c r="M296" s="105" t="n"/>
      <c r="N296" s="106" t="n"/>
    </row>
    <row r="297">
      <c r="J297" s="87" t="n"/>
      <c r="L297" s="87" t="n"/>
      <c r="M297" s="105" t="n"/>
      <c r="N297" s="106" t="n"/>
    </row>
    <row r="298">
      <c r="J298" s="87" t="n"/>
      <c r="L298" s="87" t="n"/>
      <c r="M298" s="105" t="n"/>
      <c r="N298" s="106" t="n"/>
    </row>
    <row r="299">
      <c r="J299" s="87" t="n"/>
      <c r="L299" s="87" t="n"/>
      <c r="M299" s="105" t="n"/>
      <c r="N299" s="106" t="n"/>
    </row>
    <row r="300">
      <c r="J300" s="87" t="n"/>
      <c r="L300" s="87" t="n"/>
      <c r="M300" s="105" t="n"/>
      <c r="N300" s="106" t="n"/>
    </row>
    <row r="301">
      <c r="J301" s="87" t="n"/>
      <c r="L301" s="87" t="n"/>
      <c r="M301" s="105" t="n"/>
      <c r="N301" s="106" t="n"/>
    </row>
    <row r="302">
      <c r="J302" s="87" t="n"/>
      <c r="L302" s="87" t="n"/>
      <c r="M302" s="105" t="n"/>
      <c r="N302" s="106" t="n"/>
    </row>
    <row r="303">
      <c r="J303" s="87" t="n"/>
      <c r="L303" s="87" t="n"/>
      <c r="M303" s="105" t="n"/>
      <c r="N303" s="106" t="n"/>
    </row>
    <row r="304">
      <c r="J304" s="87" t="n"/>
      <c r="L304" s="87" t="n"/>
      <c r="M304" s="105" t="n"/>
      <c r="N304" s="106" t="n"/>
    </row>
    <row r="305">
      <c r="J305" s="87" t="n"/>
      <c r="L305" s="87" t="n"/>
      <c r="M305" s="105" t="n"/>
      <c r="N305" s="106" t="n"/>
    </row>
    <row r="306">
      <c r="J306" s="87" t="n"/>
      <c r="L306" s="87" t="n"/>
      <c r="M306" s="105" t="n"/>
      <c r="N306" s="106" t="n"/>
    </row>
    <row r="307">
      <c r="J307" s="87" t="n"/>
      <c r="L307" s="87" t="n"/>
      <c r="M307" s="105" t="n"/>
      <c r="N307" s="106" t="n"/>
    </row>
    <row r="308">
      <c r="J308" s="87" t="n"/>
      <c r="L308" s="87" t="n"/>
      <c r="M308" s="105" t="n"/>
      <c r="N308" s="106" t="n"/>
    </row>
    <row r="309">
      <c r="J309" s="87" t="n"/>
      <c r="L309" s="87" t="n"/>
      <c r="M309" s="105" t="n"/>
      <c r="N309" s="106" t="n"/>
    </row>
    <row r="310">
      <c r="J310" s="87" t="n"/>
      <c r="L310" s="87" t="n"/>
      <c r="M310" s="105" t="n"/>
      <c r="N310" s="106" t="n"/>
    </row>
    <row r="311">
      <c r="J311" s="87" t="n"/>
      <c r="L311" s="87" t="n"/>
      <c r="M311" s="105" t="n"/>
      <c r="N311" s="106" t="n"/>
    </row>
    <row r="312">
      <c r="J312" s="87" t="n"/>
      <c r="L312" s="87" t="n"/>
      <c r="M312" s="105" t="n"/>
      <c r="N312" s="106" t="n"/>
    </row>
    <row r="313">
      <c r="J313" s="87" t="n"/>
      <c r="L313" s="87" t="n"/>
      <c r="M313" s="105" t="n"/>
      <c r="N313" s="106" t="n"/>
    </row>
    <row r="314">
      <c r="J314" s="87" t="n"/>
      <c r="L314" s="87" t="n"/>
      <c r="M314" s="105" t="n"/>
      <c r="N314" s="106" t="n"/>
    </row>
    <row r="315">
      <c r="J315" s="87" t="n"/>
      <c r="L315" s="87" t="n"/>
      <c r="M315" s="105" t="n"/>
      <c r="N315" s="106" t="n"/>
    </row>
    <row r="316">
      <c r="J316" s="87" t="n"/>
      <c r="L316" s="87" t="n"/>
      <c r="M316" s="105" t="n"/>
      <c r="N316" s="106" t="n"/>
    </row>
    <row r="317">
      <c r="J317" s="87" t="n"/>
      <c r="L317" s="87" t="n"/>
      <c r="M317" s="105" t="n"/>
      <c r="N317" s="106" t="n"/>
    </row>
    <row r="318">
      <c r="J318" s="87" t="n"/>
      <c r="L318" s="87" t="n"/>
      <c r="M318" s="105" t="n"/>
      <c r="N318" s="106" t="n"/>
    </row>
    <row r="319">
      <c r="J319" s="87" t="n"/>
      <c r="L319" s="87" t="n"/>
      <c r="M319" s="105" t="n"/>
      <c r="N319" s="106" t="n"/>
    </row>
    <row r="320">
      <c r="J320" s="87" t="n"/>
      <c r="L320" s="87" t="n"/>
      <c r="M320" s="105" t="n"/>
      <c r="N320" s="106" t="n"/>
    </row>
    <row r="321">
      <c r="J321" s="87" t="n"/>
      <c r="L321" s="87" t="n"/>
      <c r="M321" s="105" t="n"/>
      <c r="N321" s="106" t="n"/>
    </row>
    <row r="322">
      <c r="J322" s="87" t="n"/>
      <c r="L322" s="87" t="n"/>
      <c r="M322" s="105" t="n"/>
      <c r="N322" s="106" t="n"/>
    </row>
    <row r="323">
      <c r="J323" s="87" t="n"/>
      <c r="L323" s="87" t="n"/>
      <c r="M323" s="105" t="n"/>
      <c r="N323" s="106" t="n"/>
    </row>
    <row r="324">
      <c r="J324" s="87" t="n"/>
      <c r="L324" s="87" t="n"/>
      <c r="M324" s="105" t="n"/>
      <c r="N324" s="106" t="n"/>
    </row>
    <row r="325">
      <c r="J325" s="87" t="n"/>
      <c r="L325" s="87" t="n"/>
      <c r="M325" s="105" t="n"/>
      <c r="N325" s="106" t="n"/>
    </row>
    <row r="326">
      <c r="J326" s="87" t="n"/>
      <c r="L326" s="87" t="n"/>
      <c r="M326" s="105" t="n"/>
      <c r="N326" s="106" t="n"/>
    </row>
    <row r="327">
      <c r="J327" s="87" t="n"/>
      <c r="L327" s="87" t="n"/>
      <c r="M327" s="105" t="n"/>
      <c r="N327" s="106" t="n"/>
    </row>
    <row r="328">
      <c r="J328" s="87" t="n"/>
      <c r="L328" s="87" t="n"/>
      <c r="M328" s="105" t="n"/>
      <c r="N328" s="106" t="n"/>
    </row>
    <row r="329">
      <c r="J329" s="87" t="n"/>
      <c r="L329" s="87" t="n"/>
      <c r="M329" s="105" t="n"/>
      <c r="N329" s="106" t="n"/>
    </row>
    <row r="330">
      <c r="J330" s="87" t="n"/>
      <c r="L330" s="87" t="n"/>
      <c r="M330" s="105" t="n"/>
      <c r="N330" s="106" t="n"/>
    </row>
    <row r="331">
      <c r="J331" s="87" t="n"/>
      <c r="L331" s="87" t="n"/>
      <c r="M331" s="105" t="n"/>
      <c r="N331" s="106" t="n"/>
    </row>
    <row r="332">
      <c r="J332" s="87" t="n"/>
      <c r="L332" s="87" t="n"/>
      <c r="M332" s="105" t="n"/>
      <c r="N332" s="106" t="n"/>
    </row>
    <row r="333">
      <c r="J333" s="87" t="n"/>
      <c r="L333" s="87" t="n"/>
      <c r="M333" s="105" t="n"/>
      <c r="N333" s="106" t="n"/>
    </row>
    <row r="334">
      <c r="J334" s="87" t="n"/>
      <c r="L334" s="87" t="n"/>
      <c r="M334" s="105" t="n"/>
      <c r="N334" s="106" t="n"/>
    </row>
    <row r="335">
      <c r="J335" s="87" t="n"/>
      <c r="L335" s="87" t="n"/>
      <c r="M335" s="105" t="n"/>
      <c r="N335" s="106" t="n"/>
    </row>
    <row r="336">
      <c r="J336" s="87" t="n"/>
      <c r="L336" s="87" t="n"/>
      <c r="M336" s="105" t="n"/>
      <c r="N336" s="106" t="n"/>
    </row>
    <row r="337">
      <c r="J337" s="87" t="n"/>
      <c r="L337" s="87" t="n"/>
      <c r="M337" s="105" t="n"/>
      <c r="N337" s="106" t="n"/>
    </row>
    <row r="338">
      <c r="J338" s="87" t="n"/>
      <c r="L338" s="87" t="n"/>
      <c r="M338" s="105" t="n"/>
      <c r="N338" s="106" t="n"/>
    </row>
    <row r="339">
      <c r="J339" s="87" t="n"/>
      <c r="L339" s="87" t="n"/>
      <c r="M339" s="105" t="n"/>
      <c r="N339" s="106" t="n"/>
    </row>
    <row r="340">
      <c r="J340" s="87" t="n"/>
      <c r="L340" s="87" t="n"/>
      <c r="M340" s="105" t="n"/>
      <c r="N340" s="106" t="n"/>
    </row>
    <row r="341">
      <c r="J341" s="87" t="n"/>
      <c r="L341" s="87" t="n"/>
      <c r="M341" s="105" t="n"/>
      <c r="N341" s="106" t="n"/>
    </row>
    <row r="342">
      <c r="J342" s="87" t="n"/>
      <c r="L342" s="87" t="n"/>
      <c r="M342" s="105" t="n"/>
      <c r="N342" s="106" t="n"/>
    </row>
    <row r="343">
      <c r="J343" s="87" t="n"/>
      <c r="L343" s="87" t="n"/>
      <c r="M343" s="105" t="n"/>
      <c r="N343" s="106" t="n"/>
    </row>
    <row r="344">
      <c r="J344" s="87" t="n"/>
      <c r="L344" s="87" t="n"/>
      <c r="M344" s="105" t="n"/>
      <c r="N344" s="106" t="n"/>
    </row>
    <row r="345">
      <c r="J345" s="87" t="n"/>
      <c r="L345" s="87" t="n"/>
      <c r="M345" s="105" t="n"/>
      <c r="N345" s="106" t="n"/>
    </row>
    <row r="346">
      <c r="J346" s="87" t="n"/>
      <c r="L346" s="87" t="n"/>
      <c r="M346" s="105" t="n"/>
      <c r="N346" s="106" t="n"/>
    </row>
    <row r="347">
      <c r="J347" s="87" t="n"/>
      <c r="L347" s="87" t="n"/>
      <c r="M347" s="105" t="n"/>
      <c r="N347" s="106" t="n"/>
    </row>
    <row r="348">
      <c r="J348" s="87" t="n"/>
      <c r="L348" s="87" t="n"/>
      <c r="M348" s="105" t="n"/>
      <c r="N348" s="106" t="n"/>
    </row>
    <row r="349">
      <c r="J349" s="87" t="n"/>
      <c r="L349" s="87" t="n"/>
      <c r="M349" s="105" t="n"/>
      <c r="N349" s="106" t="n"/>
    </row>
    <row r="350">
      <c r="J350" s="87" t="n"/>
      <c r="L350" s="87" t="n"/>
      <c r="M350" s="105" t="n"/>
      <c r="N350" s="106" t="n"/>
    </row>
    <row r="351">
      <c r="J351" s="87" t="n"/>
      <c r="L351" s="87" t="n"/>
      <c r="M351" s="105" t="n"/>
      <c r="N351" s="106" t="n"/>
    </row>
    <row r="352">
      <c r="J352" s="87" t="n"/>
      <c r="L352" s="87" t="n"/>
      <c r="M352" s="105" t="n"/>
      <c r="N352" s="106" t="n"/>
    </row>
    <row r="353">
      <c r="J353" s="87" t="n"/>
      <c r="L353" s="87" t="n"/>
      <c r="M353" s="105" t="n"/>
      <c r="N353" s="106" t="n"/>
    </row>
    <row r="354">
      <c r="J354" s="87" t="n"/>
      <c r="L354" s="87" t="n"/>
      <c r="M354" s="105" t="n"/>
      <c r="N354" s="106" t="n"/>
    </row>
    <row r="355">
      <c r="J355" s="87" t="n"/>
      <c r="L355" s="87" t="n"/>
      <c r="M355" s="105" t="n"/>
      <c r="N355" s="106" t="n"/>
    </row>
    <row r="356">
      <c r="J356" s="87" t="n"/>
      <c r="L356" s="87" t="n"/>
      <c r="M356" s="105" t="n"/>
      <c r="N356" s="106" t="n"/>
    </row>
    <row r="357">
      <c r="J357" s="87" t="n"/>
      <c r="L357" s="87" t="n"/>
      <c r="M357" s="105" t="n"/>
      <c r="N357" s="106" t="n"/>
    </row>
    <row r="358">
      <c r="J358" s="87" t="n"/>
      <c r="L358" s="87" t="n"/>
      <c r="M358" s="105" t="n"/>
      <c r="N358" s="106" t="n"/>
    </row>
    <row r="359">
      <c r="J359" s="87" t="n"/>
      <c r="L359" s="87" t="n"/>
      <c r="M359" s="105" t="n"/>
      <c r="N359" s="106" t="n"/>
    </row>
    <row r="360">
      <c r="J360" s="87" t="n"/>
      <c r="L360" s="87" t="n"/>
      <c r="M360" s="105" t="n"/>
      <c r="N360" s="106" t="n"/>
    </row>
    <row r="361">
      <c r="J361" s="87" t="n"/>
      <c r="L361" s="87" t="n"/>
      <c r="M361" s="105" t="n"/>
      <c r="N361" s="106" t="n"/>
    </row>
    <row r="362">
      <c r="J362" s="87" t="n"/>
      <c r="L362" s="87" t="n"/>
      <c r="M362" s="105" t="n"/>
      <c r="N362" s="106" t="n"/>
    </row>
    <row r="363">
      <c r="J363" s="87" t="n"/>
      <c r="L363" s="87" t="n"/>
      <c r="M363" s="105" t="n"/>
      <c r="N363" s="106" t="n"/>
    </row>
    <row r="364">
      <c r="J364" s="87" t="n"/>
      <c r="L364" s="87" t="n"/>
      <c r="M364" s="105" t="n"/>
      <c r="N364" s="106" t="n"/>
    </row>
    <row r="365">
      <c r="J365" s="87" t="n"/>
      <c r="L365" s="87" t="n"/>
      <c r="M365" s="105" t="n"/>
      <c r="N365" s="106" t="n"/>
    </row>
    <row r="366">
      <c r="J366" s="87" t="n"/>
      <c r="L366" s="87" t="n"/>
      <c r="M366" s="105" t="n"/>
      <c r="N366" s="106" t="n"/>
    </row>
    <row r="367">
      <c r="J367" s="87" t="n"/>
      <c r="L367" s="87" t="n"/>
      <c r="M367" s="105" t="n"/>
      <c r="N367" s="106" t="n"/>
    </row>
    <row r="368">
      <c r="J368" s="87" t="n"/>
      <c r="L368" s="87" t="n"/>
      <c r="M368" s="105" t="n"/>
      <c r="N368" s="106" t="n"/>
    </row>
    <row r="369">
      <c r="J369" s="87" t="n"/>
      <c r="L369" s="87" t="n"/>
      <c r="M369" s="105" t="n"/>
      <c r="N369" s="106" t="n"/>
    </row>
    <row r="370">
      <c r="J370" s="87" t="n"/>
      <c r="L370" s="87" t="n"/>
      <c r="M370" s="105" t="n"/>
      <c r="N370" s="106" t="n"/>
    </row>
    <row r="371">
      <c r="J371" s="87" t="n"/>
      <c r="L371" s="87" t="n"/>
      <c r="M371" s="105" t="n"/>
      <c r="N371" s="106" t="n"/>
    </row>
    <row r="372">
      <c r="J372" s="87" t="n"/>
      <c r="L372" s="87" t="n"/>
      <c r="M372" s="105" t="n"/>
      <c r="N372" s="106" t="n"/>
    </row>
    <row r="373">
      <c r="J373" s="87" t="n"/>
      <c r="L373" s="87" t="n"/>
      <c r="M373" s="105" t="n"/>
      <c r="N373" s="106" t="n"/>
    </row>
    <row r="374">
      <c r="J374" s="87" t="n"/>
      <c r="L374" s="87" t="n"/>
      <c r="M374" s="105" t="n"/>
      <c r="N374" s="106" t="n"/>
    </row>
    <row r="375">
      <c r="J375" s="87" t="n"/>
      <c r="L375" s="87" t="n"/>
      <c r="M375" s="105" t="n"/>
      <c r="N375" s="106" t="n"/>
    </row>
    <row r="376">
      <c r="J376" s="87" t="n"/>
      <c r="L376" s="87" t="n"/>
      <c r="M376" s="105" t="n"/>
      <c r="N376" s="106" t="n"/>
    </row>
    <row r="377">
      <c r="J377" s="87" t="n"/>
      <c r="L377" s="87" t="n"/>
      <c r="M377" s="105" t="n"/>
      <c r="N377" s="106" t="n"/>
    </row>
    <row r="378">
      <c r="J378" s="87" t="n"/>
      <c r="L378" s="87" t="n"/>
      <c r="M378" s="105" t="n"/>
      <c r="N378" s="106" t="n"/>
    </row>
    <row r="379">
      <c r="J379" s="87" t="n"/>
      <c r="L379" s="87" t="n"/>
      <c r="M379" s="105" t="n"/>
      <c r="N379" s="106" t="n"/>
    </row>
    <row r="380">
      <c r="J380" s="87" t="n"/>
      <c r="L380" s="87" t="n"/>
      <c r="M380" s="105" t="n"/>
      <c r="N380" s="106" t="n"/>
    </row>
    <row r="381">
      <c r="J381" s="87" t="n"/>
      <c r="L381" s="87" t="n"/>
      <c r="M381" s="105" t="n"/>
      <c r="N381" s="106" t="n"/>
    </row>
    <row r="382">
      <c r="J382" s="87" t="n"/>
      <c r="L382" s="87" t="n"/>
      <c r="M382" s="105" t="n"/>
      <c r="N382" s="106" t="n"/>
    </row>
    <row r="383">
      <c r="J383" s="87" t="n"/>
      <c r="L383" s="87" t="n"/>
      <c r="M383" s="105" t="n"/>
      <c r="N383" s="106" t="n"/>
    </row>
    <row r="384">
      <c r="J384" s="87" t="n"/>
      <c r="L384" s="87" t="n"/>
      <c r="M384" s="105" t="n"/>
      <c r="N384" s="106" t="n"/>
    </row>
    <row r="385">
      <c r="J385" s="87" t="n"/>
      <c r="L385" s="87" t="n"/>
      <c r="M385" s="105" t="n"/>
      <c r="N385" s="106" t="n"/>
    </row>
    <row r="386">
      <c r="J386" s="87" t="n"/>
      <c r="L386" s="87" t="n"/>
      <c r="M386" s="105" t="n"/>
      <c r="N386" s="106" t="n"/>
    </row>
    <row r="387">
      <c r="J387" s="87" t="n"/>
      <c r="L387" s="87" t="n"/>
      <c r="M387" s="105" t="n"/>
      <c r="N387" s="106" t="n"/>
    </row>
    <row r="388">
      <c r="J388" s="87" t="n"/>
      <c r="L388" s="87" t="n"/>
      <c r="M388" s="105" t="n"/>
      <c r="N388" s="106" t="n"/>
    </row>
    <row r="389">
      <c r="J389" s="87" t="n"/>
      <c r="L389" s="87" t="n"/>
      <c r="M389" s="105" t="n"/>
      <c r="N389" s="106" t="n"/>
    </row>
    <row r="390">
      <c r="J390" s="87" t="n"/>
      <c r="L390" s="87" t="n"/>
      <c r="M390" s="105" t="n"/>
      <c r="N390" s="106" t="n"/>
    </row>
    <row r="391">
      <c r="J391" s="87" t="n"/>
      <c r="L391" s="87" t="n"/>
      <c r="M391" s="105" t="n"/>
      <c r="N391" s="106" t="n"/>
    </row>
    <row r="392">
      <c r="J392" s="87" t="n"/>
      <c r="L392" s="87" t="n"/>
      <c r="M392" s="105" t="n"/>
      <c r="N392" s="106" t="n"/>
    </row>
    <row r="393">
      <c r="J393" s="87" t="n"/>
      <c r="L393" s="87" t="n"/>
      <c r="M393" s="105" t="n"/>
      <c r="N393" s="106" t="n"/>
    </row>
    <row r="394">
      <c r="J394" s="87" t="n"/>
      <c r="L394" s="87" t="n"/>
      <c r="M394" s="105" t="n"/>
      <c r="N394" s="106" t="n"/>
    </row>
    <row r="395">
      <c r="J395" s="87" t="n"/>
      <c r="L395" s="87" t="n"/>
      <c r="M395" s="105" t="n"/>
      <c r="N395" s="106" t="n"/>
    </row>
    <row r="396">
      <c r="J396" s="87" t="n"/>
      <c r="L396" s="87" t="n"/>
      <c r="M396" s="105" t="n"/>
      <c r="N396" s="106" t="n"/>
    </row>
    <row r="397">
      <c r="J397" s="87" t="n"/>
      <c r="L397" s="87" t="n"/>
      <c r="M397" s="105" t="n"/>
      <c r="N397" s="106" t="n"/>
    </row>
    <row r="398">
      <c r="J398" s="87" t="n"/>
      <c r="L398" s="87" t="n"/>
      <c r="M398" s="105" t="n"/>
      <c r="N398" s="106" t="n"/>
    </row>
    <row r="399">
      <c r="J399" s="87" t="n"/>
      <c r="L399" s="87" t="n"/>
      <c r="M399" s="105" t="n"/>
      <c r="N399" s="106" t="n"/>
    </row>
    <row r="400">
      <c r="J400" s="87" t="n"/>
      <c r="L400" s="87" t="n"/>
      <c r="M400" s="105" t="n"/>
      <c r="N400" s="106" t="n"/>
    </row>
    <row r="401">
      <c r="J401" s="87" t="n"/>
      <c r="L401" s="87" t="n"/>
      <c r="M401" s="105" t="n"/>
      <c r="N401" s="106" t="n"/>
    </row>
    <row r="402">
      <c r="J402" s="87" t="n"/>
      <c r="L402" s="87" t="n"/>
      <c r="M402" s="105" t="n"/>
      <c r="N402" s="106" t="n"/>
    </row>
    <row r="403">
      <c r="J403" s="87" t="n"/>
      <c r="L403" s="87" t="n"/>
      <c r="M403" s="105" t="n"/>
      <c r="N403" s="106" t="n"/>
    </row>
    <row r="404">
      <c r="J404" s="87" t="n"/>
      <c r="L404" s="87" t="n"/>
      <c r="M404" s="105" t="n"/>
      <c r="N404" s="106" t="n"/>
    </row>
    <row r="405">
      <c r="J405" s="87" t="n"/>
      <c r="L405" s="87" t="n"/>
      <c r="M405" s="105" t="n"/>
      <c r="N405" s="106" t="n"/>
    </row>
    <row r="406">
      <c r="J406" s="87" t="n"/>
      <c r="L406" s="87" t="n"/>
      <c r="M406" s="105" t="n"/>
      <c r="N406" s="106" t="n"/>
    </row>
    <row r="407">
      <c r="J407" s="87" t="n"/>
      <c r="L407" s="87" t="n"/>
      <c r="M407" s="105" t="n"/>
      <c r="N407" s="106" t="n"/>
    </row>
    <row r="408">
      <c r="J408" s="87" t="n"/>
      <c r="L408" s="87" t="n"/>
      <c r="M408" s="105" t="n"/>
      <c r="N408" s="106" t="n"/>
    </row>
    <row r="409">
      <c r="J409" s="87" t="n"/>
      <c r="L409" s="87" t="n"/>
      <c r="M409" s="105" t="n"/>
      <c r="N409" s="106" t="n"/>
    </row>
    <row r="410">
      <c r="J410" s="87" t="n"/>
      <c r="L410" s="87" t="n"/>
      <c r="M410" s="105" t="n"/>
      <c r="N410" s="106" t="n"/>
    </row>
    <row r="411">
      <c r="J411" s="87" t="n"/>
      <c r="L411" s="87" t="n"/>
      <c r="M411" s="105" t="n"/>
      <c r="N411" s="106" t="n"/>
    </row>
    <row r="412">
      <c r="J412" s="87" t="n"/>
      <c r="L412" s="87" t="n"/>
      <c r="M412" s="105" t="n"/>
      <c r="N412" s="106" t="n"/>
    </row>
    <row r="413">
      <c r="J413" s="87" t="n"/>
      <c r="L413" s="87" t="n"/>
      <c r="M413" s="105" t="n"/>
      <c r="N413" s="106" t="n"/>
    </row>
    <row r="414">
      <c r="J414" s="87" t="n"/>
      <c r="L414" s="87" t="n"/>
      <c r="M414" s="105" t="n"/>
      <c r="N414" s="106" t="n"/>
    </row>
    <row r="415">
      <c r="J415" s="87" t="n"/>
      <c r="L415" s="87" t="n"/>
      <c r="M415" s="105" t="n"/>
      <c r="N415" s="106" t="n"/>
    </row>
    <row r="416">
      <c r="J416" s="87" t="n"/>
      <c r="L416" s="87" t="n"/>
      <c r="M416" s="105" t="n"/>
      <c r="N416" s="106" t="n"/>
    </row>
    <row r="417">
      <c r="J417" s="87" t="n"/>
      <c r="L417" s="87" t="n"/>
      <c r="M417" s="105" t="n"/>
      <c r="N417" s="106" t="n"/>
    </row>
    <row r="418">
      <c r="J418" s="87" t="n"/>
      <c r="L418" s="87" t="n"/>
      <c r="M418" s="105" t="n"/>
      <c r="N418" s="106" t="n"/>
    </row>
    <row r="419">
      <c r="J419" s="87" t="n"/>
      <c r="L419" s="87" t="n"/>
      <c r="M419" s="105" t="n"/>
      <c r="N419" s="106" t="n"/>
    </row>
    <row r="420">
      <c r="J420" s="87" t="n"/>
      <c r="L420" s="87" t="n"/>
      <c r="M420" s="105" t="n"/>
      <c r="N420" s="106" t="n"/>
    </row>
    <row r="421">
      <c r="J421" s="87" t="n"/>
      <c r="L421" s="87" t="n"/>
      <c r="M421" s="105" t="n"/>
      <c r="N421" s="106" t="n"/>
    </row>
    <row r="422">
      <c r="J422" s="87" t="n"/>
      <c r="L422" s="87" t="n"/>
      <c r="M422" s="105" t="n"/>
      <c r="N422" s="106" t="n"/>
    </row>
    <row r="423">
      <c r="J423" s="87" t="n"/>
      <c r="L423" s="87" t="n"/>
      <c r="M423" s="105" t="n"/>
      <c r="N423" s="106" t="n"/>
    </row>
    <row r="424">
      <c r="J424" s="87" t="n"/>
      <c r="L424" s="87" t="n"/>
      <c r="M424" s="105" t="n"/>
      <c r="N424" s="106" t="n"/>
    </row>
    <row r="425">
      <c r="J425" s="87" t="n"/>
      <c r="L425" s="87" t="n"/>
      <c r="M425" s="105" t="n"/>
      <c r="N425" s="106" t="n"/>
    </row>
    <row r="426">
      <c r="J426" s="87" t="n"/>
      <c r="L426" s="87" t="n"/>
      <c r="M426" s="105" t="n"/>
      <c r="N426" s="106" t="n"/>
    </row>
    <row r="427">
      <c r="J427" s="87" t="n"/>
      <c r="L427" s="87" t="n"/>
      <c r="M427" s="105" t="n"/>
      <c r="N427" s="106" t="n"/>
    </row>
    <row r="428">
      <c r="J428" s="87" t="n"/>
      <c r="L428" s="87" t="n"/>
      <c r="M428" s="105" t="n"/>
      <c r="N428" s="106" t="n"/>
    </row>
    <row r="429">
      <c r="J429" s="87" t="n"/>
      <c r="L429" s="87" t="n"/>
      <c r="M429" s="105" t="n"/>
      <c r="N429" s="106" t="n"/>
    </row>
    <row r="430">
      <c r="J430" s="87" t="n"/>
      <c r="L430" s="87" t="n"/>
      <c r="M430" s="105" t="n"/>
      <c r="N430" s="106" t="n"/>
    </row>
    <row r="431">
      <c r="J431" s="87" t="n"/>
      <c r="L431" s="87" t="n"/>
      <c r="M431" s="105" t="n"/>
      <c r="N431" s="106" t="n"/>
    </row>
    <row r="432">
      <c r="J432" s="87" t="n"/>
      <c r="L432" s="87" t="n"/>
      <c r="M432" s="105" t="n"/>
      <c r="N432" s="106" t="n"/>
    </row>
    <row r="433">
      <c r="J433" s="87" t="n"/>
      <c r="L433" s="87" t="n"/>
      <c r="M433" s="105" t="n"/>
      <c r="N433" s="106" t="n"/>
    </row>
    <row r="434">
      <c r="J434" s="87" t="n"/>
      <c r="L434" s="87" t="n"/>
      <c r="M434" s="105" t="n"/>
      <c r="N434" s="106" t="n"/>
    </row>
    <row r="435">
      <c r="J435" s="87" t="n"/>
      <c r="L435" s="87" t="n"/>
      <c r="M435" s="105" t="n"/>
      <c r="N435" s="106" t="n"/>
    </row>
    <row r="436">
      <c r="J436" s="87" t="n"/>
      <c r="L436" s="87" t="n"/>
      <c r="M436" s="105" t="n"/>
      <c r="N436" s="106" t="n"/>
    </row>
    <row r="437">
      <c r="J437" s="87" t="n"/>
      <c r="L437" s="87" t="n"/>
      <c r="M437" s="105" t="n"/>
      <c r="N437" s="106" t="n"/>
    </row>
    <row r="438">
      <c r="J438" s="87" t="n"/>
      <c r="L438" s="87" t="n"/>
      <c r="M438" s="105" t="n"/>
      <c r="N438" s="106" t="n"/>
    </row>
    <row r="439">
      <c r="J439" s="87" t="n"/>
      <c r="L439" s="87" t="n"/>
      <c r="M439" s="105" t="n"/>
      <c r="N439" s="106" t="n"/>
    </row>
    <row r="440">
      <c r="J440" s="87" t="n"/>
      <c r="L440" s="87" t="n"/>
      <c r="M440" s="105" t="n"/>
      <c r="N440" s="106" t="n"/>
    </row>
    <row r="441">
      <c r="J441" s="87" t="n"/>
      <c r="L441" s="87" t="n"/>
      <c r="M441" s="105" t="n"/>
      <c r="N441" s="106" t="n"/>
    </row>
    <row r="442">
      <c r="J442" s="87" t="n"/>
      <c r="L442" s="87" t="n"/>
      <c r="M442" s="105" t="n"/>
      <c r="N442" s="106" t="n"/>
    </row>
    <row r="443">
      <c r="J443" s="87" t="n"/>
      <c r="L443" s="87" t="n"/>
      <c r="M443" s="105" t="n"/>
      <c r="N443" s="106" t="n"/>
    </row>
    <row r="444">
      <c r="J444" s="87" t="n"/>
      <c r="L444" s="87" t="n"/>
      <c r="M444" s="105" t="n"/>
      <c r="N444" s="106" t="n"/>
    </row>
    <row r="445">
      <c r="J445" s="87" t="n"/>
      <c r="L445" s="87" t="n"/>
      <c r="M445" s="105" t="n"/>
      <c r="N445" s="106" t="n"/>
    </row>
    <row r="446">
      <c r="J446" s="87" t="n"/>
      <c r="L446" s="87" t="n"/>
      <c r="M446" s="105" t="n"/>
      <c r="N446" s="106" t="n"/>
    </row>
    <row r="447">
      <c r="J447" s="87" t="n"/>
      <c r="L447" s="87" t="n"/>
      <c r="M447" s="105" t="n"/>
      <c r="N447" s="106" t="n"/>
    </row>
    <row r="448">
      <c r="J448" s="87" t="n"/>
      <c r="L448" s="87" t="n"/>
      <c r="M448" s="105" t="n"/>
      <c r="N448" s="106" t="n"/>
    </row>
    <row r="449">
      <c r="J449" s="87" t="n"/>
      <c r="L449" s="87" t="n"/>
      <c r="M449" s="105" t="n"/>
      <c r="N449" s="106" t="n"/>
    </row>
    <row r="450">
      <c r="J450" s="87" t="n"/>
      <c r="L450" s="87" t="n"/>
      <c r="M450" s="105" t="n"/>
      <c r="N450" s="106" t="n"/>
    </row>
    <row r="451">
      <c r="J451" s="87" t="n"/>
      <c r="L451" s="87" t="n"/>
      <c r="M451" s="105" t="n"/>
      <c r="N451" s="106" t="n"/>
    </row>
    <row r="452">
      <c r="J452" s="87" t="n"/>
      <c r="L452" s="87" t="n"/>
      <c r="M452" s="105" t="n"/>
      <c r="N452" s="106" t="n"/>
    </row>
    <row r="453">
      <c r="J453" s="87" t="n"/>
      <c r="L453" s="87" t="n"/>
      <c r="M453" s="105" t="n"/>
      <c r="N453" s="106" t="n"/>
    </row>
    <row r="454">
      <c r="J454" s="87" t="n"/>
      <c r="L454" s="87" t="n"/>
      <c r="M454" s="105" t="n"/>
      <c r="N454" s="106" t="n"/>
    </row>
    <row r="455">
      <c r="J455" s="87" t="n"/>
      <c r="L455" s="87" t="n"/>
      <c r="M455" s="105" t="n"/>
      <c r="N455" s="106" t="n"/>
    </row>
    <row r="456">
      <c r="J456" s="87" t="n"/>
      <c r="L456" s="87" t="n"/>
      <c r="M456" s="105" t="n"/>
      <c r="N456" s="106" t="n"/>
    </row>
    <row r="457">
      <c r="J457" s="87" t="n"/>
      <c r="L457" s="87" t="n"/>
      <c r="M457" s="105" t="n"/>
      <c r="N457" s="106" t="n"/>
    </row>
    <row r="458">
      <c r="J458" s="87" t="n"/>
      <c r="L458" s="87" t="n"/>
      <c r="M458" s="105" t="n"/>
      <c r="N458" s="106" t="n"/>
    </row>
    <row r="459">
      <c r="J459" s="87" t="n"/>
      <c r="L459" s="87" t="n"/>
      <c r="M459" s="105" t="n"/>
      <c r="N459" s="106" t="n"/>
    </row>
    <row r="460">
      <c r="J460" s="87" t="n"/>
      <c r="L460" s="87" t="n"/>
      <c r="M460" s="105" t="n"/>
      <c r="N460" s="106" t="n"/>
    </row>
    <row r="461">
      <c r="J461" s="87" t="n"/>
      <c r="L461" s="87" t="n"/>
      <c r="M461" s="105" t="n"/>
      <c r="N461" s="106" t="n"/>
    </row>
    <row r="462">
      <c r="J462" s="87" t="n"/>
      <c r="L462" s="87" t="n"/>
      <c r="M462" s="105" t="n"/>
      <c r="N462" s="106" t="n"/>
    </row>
    <row r="463">
      <c r="J463" s="87" t="n"/>
      <c r="L463" s="87" t="n"/>
      <c r="M463" s="105" t="n"/>
      <c r="N463" s="106" t="n"/>
    </row>
    <row r="464">
      <c r="J464" s="87" t="n"/>
      <c r="L464" s="87" t="n"/>
      <c r="M464" s="105" t="n"/>
      <c r="N464" s="106" t="n"/>
    </row>
    <row r="465">
      <c r="J465" s="87" t="n"/>
      <c r="L465" s="87" t="n"/>
      <c r="M465" s="105" t="n"/>
      <c r="N465" s="106" t="n"/>
    </row>
    <row r="466">
      <c r="J466" s="87" t="n"/>
      <c r="L466" s="87" t="n"/>
      <c r="M466" s="105" t="n"/>
      <c r="N466" s="106" t="n"/>
    </row>
    <row r="467">
      <c r="J467" s="87" t="n"/>
      <c r="L467" s="87" t="n"/>
      <c r="M467" s="105" t="n"/>
      <c r="N467" s="106" t="n"/>
    </row>
    <row r="468">
      <c r="J468" s="87" t="n"/>
      <c r="L468" s="87" t="n"/>
      <c r="M468" s="105" t="n"/>
      <c r="N468" s="106" t="n"/>
    </row>
    <row r="469">
      <c r="J469" s="87" t="n"/>
      <c r="L469" s="87" t="n"/>
      <c r="M469" s="105" t="n"/>
      <c r="N469" s="106" t="n"/>
    </row>
    <row r="470">
      <c r="J470" s="87" t="n"/>
      <c r="L470" s="87" t="n"/>
      <c r="M470" s="105" t="n"/>
      <c r="N470" s="106" t="n"/>
    </row>
    <row r="471">
      <c r="J471" s="87" t="n"/>
      <c r="L471" s="87" t="n"/>
      <c r="M471" s="105" t="n"/>
      <c r="N471" s="106" t="n"/>
    </row>
    <row r="472">
      <c r="J472" s="87" t="n"/>
      <c r="L472" s="87" t="n"/>
      <c r="M472" s="105" t="n"/>
      <c r="N472" s="106" t="n"/>
    </row>
    <row r="473">
      <c r="J473" s="87" t="n"/>
      <c r="L473" s="87" t="n"/>
      <c r="M473" s="105" t="n"/>
      <c r="N473" s="106" t="n"/>
    </row>
    <row r="474">
      <c r="J474" s="87" t="n"/>
      <c r="L474" s="87" t="n"/>
      <c r="M474" s="105" t="n"/>
      <c r="N474" s="106" t="n"/>
    </row>
    <row r="475">
      <c r="J475" s="87" t="n"/>
      <c r="L475" s="87" t="n"/>
      <c r="M475" s="105" t="n"/>
      <c r="N475" s="106" t="n"/>
    </row>
    <row r="476">
      <c r="J476" s="87" t="n"/>
      <c r="L476" s="87" t="n"/>
      <c r="M476" s="105" t="n"/>
      <c r="N476" s="106" t="n"/>
    </row>
    <row r="477">
      <c r="J477" s="87" t="n"/>
      <c r="L477" s="87" t="n"/>
      <c r="M477" s="105" t="n"/>
      <c r="N477" s="106" t="n"/>
    </row>
    <row r="478">
      <c r="J478" s="87" t="n"/>
      <c r="L478" s="87" t="n"/>
      <c r="M478" s="105" t="n"/>
      <c r="N478" s="106" t="n"/>
    </row>
    <row r="479">
      <c r="J479" s="87" t="n"/>
      <c r="L479" s="87" t="n"/>
      <c r="M479" s="105" t="n"/>
      <c r="N479" s="106" t="n"/>
    </row>
    <row r="480">
      <c r="J480" s="87" t="n"/>
      <c r="L480" s="87" t="n"/>
      <c r="M480" s="105" t="n"/>
      <c r="N480" s="106" t="n"/>
    </row>
    <row r="481">
      <c r="J481" s="87" t="n"/>
      <c r="L481" s="87" t="n"/>
      <c r="M481" s="105" t="n"/>
      <c r="N481" s="106" t="n"/>
    </row>
    <row r="482">
      <c r="J482" s="87" t="n"/>
      <c r="L482" s="87" t="n"/>
      <c r="M482" s="105" t="n"/>
      <c r="N482" s="106" t="n"/>
    </row>
    <row r="483">
      <c r="J483" s="87" t="n"/>
      <c r="L483" s="87" t="n"/>
      <c r="M483" s="105" t="n"/>
      <c r="N483" s="106" t="n"/>
    </row>
    <row r="484">
      <c r="J484" s="87" t="n"/>
      <c r="L484" s="87" t="n"/>
      <c r="M484" s="105" t="n"/>
      <c r="N484" s="106" t="n"/>
    </row>
    <row r="485">
      <c r="J485" s="87" t="n"/>
      <c r="L485" s="87" t="n"/>
      <c r="M485" s="105" t="n"/>
      <c r="N485" s="106" t="n"/>
    </row>
    <row r="486">
      <c r="J486" s="87" t="n"/>
      <c r="L486" s="87" t="n"/>
      <c r="M486" s="105" t="n"/>
      <c r="N486" s="106" t="n"/>
    </row>
    <row r="487">
      <c r="J487" s="87" t="n"/>
      <c r="L487" s="87" t="n"/>
      <c r="M487" s="105" t="n"/>
      <c r="N487" s="106" t="n"/>
    </row>
    <row r="488">
      <c r="J488" s="87" t="n"/>
      <c r="L488" s="87" t="n"/>
      <c r="M488" s="105" t="n"/>
      <c r="N488" s="106" t="n"/>
    </row>
    <row r="489">
      <c r="J489" s="87" t="n"/>
      <c r="L489" s="87" t="n"/>
      <c r="M489" s="105" t="n"/>
      <c r="N489" s="106" t="n"/>
    </row>
    <row r="490">
      <c r="J490" s="87" t="n"/>
      <c r="L490" s="87" t="n"/>
      <c r="M490" s="105" t="n"/>
      <c r="N490" s="106" t="n"/>
    </row>
    <row r="491">
      <c r="J491" s="87" t="n"/>
      <c r="L491" s="87" t="n"/>
      <c r="M491" s="105" t="n"/>
      <c r="N491" s="106" t="n"/>
    </row>
    <row r="492">
      <c r="J492" s="87" t="n"/>
      <c r="L492" s="87" t="n"/>
      <c r="M492" s="105" t="n"/>
      <c r="N492" s="106" t="n"/>
    </row>
    <row r="493">
      <c r="J493" s="87" t="n"/>
      <c r="L493" s="87" t="n"/>
      <c r="M493" s="105" t="n"/>
      <c r="N493" s="106" t="n"/>
    </row>
    <row r="494">
      <c r="J494" s="87" t="n"/>
      <c r="L494" s="87" t="n"/>
      <c r="M494" s="105" t="n"/>
      <c r="N494" s="106" t="n"/>
    </row>
    <row r="495">
      <c r="J495" s="87" t="n"/>
      <c r="L495" s="87" t="n"/>
      <c r="M495" s="105" t="n"/>
      <c r="N495" s="106" t="n"/>
    </row>
    <row r="496">
      <c r="J496" s="87" t="n"/>
      <c r="L496" s="87" t="n"/>
      <c r="M496" s="105" t="n"/>
      <c r="N496" s="106" t="n"/>
    </row>
    <row r="497">
      <c r="J497" s="87" t="n"/>
      <c r="L497" s="87" t="n"/>
      <c r="M497" s="105" t="n"/>
      <c r="N497" s="106" t="n"/>
    </row>
    <row r="498">
      <c r="J498" s="87" t="n"/>
      <c r="L498" s="87" t="n"/>
      <c r="M498" s="105" t="n"/>
      <c r="N498" s="106" t="n"/>
    </row>
    <row r="499">
      <c r="J499" s="87" t="n"/>
      <c r="L499" s="87" t="n"/>
      <c r="M499" s="105" t="n"/>
      <c r="N499" s="106" t="n"/>
    </row>
    <row r="500">
      <c r="J500" s="87" t="n"/>
      <c r="L500" s="87" t="n"/>
      <c r="M500" s="105" t="n"/>
      <c r="N500" s="106" t="n"/>
    </row>
    <row r="501">
      <c r="J501" s="87" t="n"/>
      <c r="L501" s="87" t="n"/>
      <c r="M501" s="105" t="n"/>
      <c r="N501" s="106" t="n"/>
    </row>
    <row r="502">
      <c r="J502" s="87" t="n"/>
      <c r="L502" s="87" t="n"/>
      <c r="M502" s="105" t="n"/>
      <c r="N502" s="106" t="n"/>
    </row>
    <row r="503">
      <c r="J503" s="87" t="n"/>
      <c r="L503" s="87" t="n"/>
      <c r="M503" s="105" t="n"/>
      <c r="N503" s="106" t="n"/>
    </row>
    <row r="504">
      <c r="J504" s="87" t="n"/>
      <c r="L504" s="87" t="n"/>
      <c r="M504" s="105" t="n"/>
      <c r="N504" s="106" t="n"/>
    </row>
    <row r="505">
      <c r="J505" s="87" t="n"/>
      <c r="L505" s="87" t="n"/>
      <c r="M505" s="105" t="n"/>
      <c r="N505" s="106" t="n"/>
    </row>
    <row r="506">
      <c r="J506" s="87" t="n"/>
      <c r="L506" s="87" t="n"/>
      <c r="M506" s="105" t="n"/>
      <c r="N506" s="106" t="n"/>
    </row>
    <row r="507">
      <c r="J507" s="87" t="n"/>
      <c r="L507" s="87" t="n"/>
      <c r="M507" s="105" t="n"/>
      <c r="N507" s="106" t="n"/>
    </row>
    <row r="508">
      <c r="J508" s="87" t="n"/>
      <c r="L508" s="87" t="n"/>
      <c r="M508" s="105" t="n"/>
      <c r="N508" s="106" t="n"/>
    </row>
    <row r="509">
      <c r="J509" s="87" t="n"/>
      <c r="L509" s="87" t="n"/>
      <c r="M509" s="105" t="n"/>
      <c r="N509" s="106" t="n"/>
    </row>
    <row r="510">
      <c r="J510" s="87" t="n"/>
      <c r="L510" s="87" t="n"/>
      <c r="M510" s="105" t="n"/>
      <c r="N510" s="106" t="n"/>
    </row>
    <row r="511">
      <c r="J511" s="87" t="n"/>
      <c r="L511" s="87" t="n"/>
      <c r="M511" s="105" t="n"/>
      <c r="N511" s="106" t="n"/>
    </row>
    <row r="512">
      <c r="J512" s="87" t="n"/>
      <c r="L512" s="87" t="n"/>
      <c r="M512" s="105" t="n"/>
      <c r="N512" s="106" t="n"/>
    </row>
    <row r="513">
      <c r="J513" s="87" t="n"/>
      <c r="L513" s="87" t="n"/>
      <c r="M513" s="105" t="n"/>
      <c r="N513" s="106" t="n"/>
    </row>
    <row r="514">
      <c r="J514" s="87" t="n"/>
      <c r="L514" s="87" t="n"/>
      <c r="M514" s="105" t="n"/>
      <c r="N514" s="106" t="n"/>
    </row>
    <row r="515">
      <c r="J515" s="87" t="n"/>
      <c r="L515" s="87" t="n"/>
      <c r="M515" s="105" t="n"/>
      <c r="N515" s="106" t="n"/>
    </row>
    <row r="516">
      <c r="J516" s="87" t="n"/>
      <c r="L516" s="87" t="n"/>
      <c r="M516" s="105" t="n"/>
      <c r="N516" s="106" t="n"/>
    </row>
    <row r="517">
      <c r="J517" s="87" t="n"/>
      <c r="L517" s="87" t="n"/>
      <c r="M517" s="105" t="n"/>
      <c r="N517" s="106" t="n"/>
    </row>
    <row r="518">
      <c r="J518" s="87" t="n"/>
      <c r="L518" s="87" t="n"/>
      <c r="M518" s="105" t="n"/>
      <c r="N518" s="106" t="n"/>
    </row>
    <row r="519">
      <c r="J519" s="87" t="n"/>
      <c r="L519" s="87" t="n"/>
      <c r="M519" s="105" t="n"/>
      <c r="N519" s="106" t="n"/>
    </row>
    <row r="520">
      <c r="J520" s="87" t="n"/>
      <c r="L520" s="87" t="n"/>
      <c r="M520" s="105" t="n"/>
      <c r="N520" s="106" t="n"/>
    </row>
    <row r="521">
      <c r="J521" s="87" t="n"/>
      <c r="L521" s="87" t="n"/>
      <c r="M521" s="105" t="n"/>
      <c r="N521" s="106" t="n"/>
    </row>
    <row r="522">
      <c r="J522" s="87" t="n"/>
      <c r="L522" s="87" t="n"/>
      <c r="M522" s="105" t="n"/>
      <c r="N522" s="106" t="n"/>
    </row>
    <row r="523">
      <c r="J523" s="87" t="n"/>
      <c r="L523" s="87" t="n"/>
      <c r="M523" s="105" t="n"/>
      <c r="N523" s="106" t="n"/>
    </row>
    <row r="524">
      <c r="J524" s="87" t="n"/>
      <c r="L524" s="87" t="n"/>
      <c r="M524" s="105" t="n"/>
      <c r="N524" s="106" t="n"/>
    </row>
    <row r="525">
      <c r="J525" s="87" t="n"/>
      <c r="L525" s="87" t="n"/>
      <c r="M525" s="105" t="n"/>
      <c r="N525" s="106" t="n"/>
    </row>
    <row r="526">
      <c r="J526" s="87" t="n"/>
      <c r="L526" s="87" t="n"/>
      <c r="M526" s="105" t="n"/>
      <c r="N526" s="106" t="n"/>
    </row>
    <row r="527">
      <c r="J527" s="87" t="n"/>
      <c r="L527" s="87" t="n"/>
      <c r="M527" s="105" t="n"/>
      <c r="N527" s="106" t="n"/>
    </row>
    <row r="528">
      <c r="J528" s="87" t="n"/>
      <c r="L528" s="87" t="n"/>
      <c r="M528" s="105" t="n"/>
      <c r="N528" s="106" t="n"/>
    </row>
    <row r="529">
      <c r="J529" s="87" t="n"/>
      <c r="L529" s="87" t="n"/>
      <c r="M529" s="105" t="n"/>
      <c r="N529" s="106" t="n"/>
    </row>
    <row r="530">
      <c r="J530" s="87" t="n"/>
      <c r="L530" s="87" t="n"/>
      <c r="M530" s="105" t="n"/>
      <c r="N530" s="106" t="n"/>
    </row>
    <row r="531">
      <c r="J531" s="87" t="n"/>
      <c r="L531" s="87" t="n"/>
      <c r="M531" s="105" t="n"/>
      <c r="N531" s="106" t="n"/>
    </row>
    <row r="532">
      <c r="J532" s="87" t="n"/>
      <c r="L532" s="87" t="n"/>
      <c r="M532" s="105" t="n"/>
      <c r="N532" s="106" t="n"/>
    </row>
    <row r="533">
      <c r="J533" s="87" t="n"/>
      <c r="L533" s="87" t="n"/>
      <c r="M533" s="105" t="n"/>
      <c r="N533" s="106" t="n"/>
    </row>
    <row r="534">
      <c r="J534" s="87" t="n"/>
      <c r="L534" s="87" t="n"/>
      <c r="M534" s="105" t="n"/>
      <c r="N534" s="106" t="n"/>
    </row>
    <row r="535">
      <c r="J535" s="87" t="n"/>
      <c r="L535" s="87" t="n"/>
      <c r="M535" s="105" t="n"/>
      <c r="N535" s="106" t="n"/>
    </row>
    <row r="536">
      <c r="J536" s="87" t="n"/>
      <c r="L536" s="87" t="n"/>
      <c r="M536" s="105" t="n"/>
      <c r="N536" s="106" t="n"/>
    </row>
    <row r="537">
      <c r="J537" s="87" t="n"/>
      <c r="L537" s="87" t="n"/>
      <c r="M537" s="105" t="n"/>
      <c r="N537" s="106" t="n"/>
    </row>
    <row r="538">
      <c r="J538" s="87" t="n"/>
      <c r="L538" s="87" t="n"/>
      <c r="M538" s="105" t="n"/>
      <c r="N538" s="106" t="n"/>
    </row>
    <row r="539">
      <c r="J539" s="87" t="n"/>
      <c r="L539" s="87" t="n"/>
      <c r="M539" s="105" t="n"/>
      <c r="N539" s="106" t="n"/>
    </row>
    <row r="540">
      <c r="J540" s="87" t="n"/>
      <c r="L540" s="87" t="n"/>
      <c r="M540" s="105" t="n"/>
      <c r="N540" s="106" t="n"/>
    </row>
    <row r="541">
      <c r="J541" s="87" t="n"/>
      <c r="L541" s="87" t="n"/>
      <c r="M541" s="105" t="n"/>
      <c r="N541" s="106" t="n"/>
    </row>
    <row r="542">
      <c r="J542" s="87" t="n"/>
      <c r="L542" s="87" t="n"/>
      <c r="M542" s="105" t="n"/>
      <c r="N542" s="106" t="n"/>
    </row>
    <row r="543">
      <c r="J543" s="87" t="n"/>
      <c r="L543" s="87" t="n"/>
      <c r="M543" s="105" t="n"/>
      <c r="N543" s="106" t="n"/>
    </row>
    <row r="544">
      <c r="J544" s="87" t="n"/>
      <c r="L544" s="87" t="n"/>
      <c r="M544" s="105" t="n"/>
      <c r="N544" s="106" t="n"/>
    </row>
    <row r="545">
      <c r="J545" s="87" t="n"/>
      <c r="L545" s="87" t="n"/>
      <c r="M545" s="105" t="n"/>
      <c r="N545" s="106" t="n"/>
    </row>
    <row r="546">
      <c r="J546" s="87" t="n"/>
      <c r="L546" s="87" t="n"/>
      <c r="M546" s="105" t="n"/>
      <c r="N546" s="106" t="n"/>
    </row>
    <row r="547">
      <c r="J547" s="87" t="n"/>
      <c r="L547" s="87" t="n"/>
      <c r="M547" s="105" t="n"/>
      <c r="N547" s="106" t="n"/>
    </row>
    <row r="548">
      <c r="J548" s="87" t="n"/>
      <c r="L548" s="87" t="n"/>
      <c r="M548" s="105" t="n"/>
      <c r="N548" s="106" t="n"/>
    </row>
    <row r="549">
      <c r="J549" s="87" t="n"/>
      <c r="L549" s="87" t="n"/>
      <c r="M549" s="105" t="n"/>
      <c r="N549" s="106" t="n"/>
    </row>
    <row r="550">
      <c r="J550" s="87" t="n"/>
      <c r="L550" s="87" t="n"/>
      <c r="M550" s="105" t="n"/>
      <c r="N550" s="106" t="n"/>
    </row>
    <row r="551">
      <c r="J551" s="87" t="n"/>
      <c r="L551" s="87" t="n"/>
      <c r="M551" s="105" t="n"/>
      <c r="N551" s="106" t="n"/>
    </row>
    <row r="552">
      <c r="J552" s="87" t="n"/>
      <c r="L552" s="87" t="n"/>
      <c r="M552" s="105" t="n"/>
      <c r="N552" s="106" t="n"/>
    </row>
    <row r="553">
      <c r="J553" s="87" t="n"/>
      <c r="L553" s="87" t="n"/>
      <c r="M553" s="105" t="n"/>
      <c r="N553" s="106" t="n"/>
    </row>
    <row r="554">
      <c r="J554" s="87" t="n"/>
      <c r="L554" s="87" t="n"/>
      <c r="M554" s="105" t="n"/>
      <c r="N554" s="106" t="n"/>
    </row>
    <row r="555">
      <c r="J555" s="87" t="n"/>
      <c r="L555" s="87" t="n"/>
      <c r="M555" s="105" t="n"/>
      <c r="N555" s="106" t="n"/>
    </row>
    <row r="556">
      <c r="J556" s="87" t="n"/>
      <c r="L556" s="87" t="n"/>
      <c r="M556" s="105" t="n"/>
      <c r="N556" s="106" t="n"/>
    </row>
    <row r="557">
      <c r="J557" s="87" t="n"/>
      <c r="L557" s="87" t="n"/>
      <c r="M557" s="105" t="n"/>
      <c r="N557" s="106" t="n"/>
    </row>
    <row r="558">
      <c r="J558" s="87" t="n"/>
      <c r="L558" s="87" t="n"/>
      <c r="M558" s="105" t="n"/>
      <c r="N558" s="106" t="n"/>
    </row>
    <row r="559">
      <c r="J559" s="87" t="n"/>
      <c r="L559" s="87" t="n"/>
      <c r="M559" s="105" t="n"/>
      <c r="N559" s="106" t="n"/>
    </row>
    <row r="560">
      <c r="J560" s="87" t="n"/>
      <c r="L560" s="87" t="n"/>
      <c r="M560" s="105" t="n"/>
      <c r="N560" s="106" t="n"/>
    </row>
    <row r="561">
      <c r="J561" s="87" t="n"/>
      <c r="L561" s="87" t="n"/>
      <c r="M561" s="105" t="n"/>
      <c r="N561" s="106" t="n"/>
    </row>
    <row r="562">
      <c r="J562" s="87" t="n"/>
      <c r="L562" s="87" t="n"/>
      <c r="M562" s="105" t="n"/>
      <c r="N562" s="106" t="n"/>
    </row>
    <row r="563">
      <c r="J563" s="87" t="n"/>
      <c r="L563" s="87" t="n"/>
      <c r="M563" s="105" t="n"/>
      <c r="N563" s="106" t="n"/>
    </row>
    <row r="564">
      <c r="J564" s="87" t="n"/>
      <c r="L564" s="87" t="n"/>
      <c r="M564" s="105" t="n"/>
      <c r="N564" s="106" t="n"/>
    </row>
    <row r="565">
      <c r="J565" s="87" t="n"/>
      <c r="L565" s="87" t="n"/>
      <c r="M565" s="105" t="n"/>
      <c r="N565" s="106" t="n"/>
    </row>
    <row r="566">
      <c r="J566" s="87" t="n"/>
      <c r="L566" s="87" t="n"/>
      <c r="M566" s="105" t="n"/>
      <c r="N566" s="106" t="n"/>
    </row>
    <row r="567">
      <c r="J567" s="87" t="n"/>
      <c r="L567" s="87" t="n"/>
      <c r="M567" s="105" t="n"/>
      <c r="N567" s="106" t="n"/>
    </row>
    <row r="568">
      <c r="J568" s="87" t="n"/>
      <c r="L568" s="87" t="n"/>
      <c r="M568" s="105" t="n"/>
      <c r="N568" s="106" t="n"/>
    </row>
    <row r="569">
      <c r="J569" s="87" t="n"/>
      <c r="L569" s="87" t="n"/>
      <c r="M569" s="105" t="n"/>
      <c r="N569" s="106" t="n"/>
    </row>
    <row r="570">
      <c r="J570" s="87" t="n"/>
      <c r="L570" s="87" t="n"/>
      <c r="M570" s="105" t="n"/>
      <c r="N570" s="106" t="n"/>
    </row>
    <row r="571">
      <c r="J571" s="87" t="n"/>
      <c r="L571" s="87" t="n"/>
      <c r="M571" s="105" t="n"/>
      <c r="N571" s="106" t="n"/>
    </row>
    <row r="572">
      <c r="J572" s="87" t="n"/>
      <c r="L572" s="87" t="n"/>
      <c r="M572" s="105" t="n"/>
      <c r="N572" s="106" t="n"/>
    </row>
    <row r="573">
      <c r="J573" s="87" t="n"/>
      <c r="L573" s="87" t="n"/>
      <c r="M573" s="105" t="n"/>
      <c r="N573" s="106" t="n"/>
    </row>
    <row r="574">
      <c r="J574" s="87" t="n"/>
      <c r="L574" s="87" t="n"/>
      <c r="M574" s="105" t="n"/>
      <c r="N574" s="106" t="n"/>
    </row>
    <row r="575">
      <c r="J575" s="87" t="n"/>
      <c r="L575" s="87" t="n"/>
      <c r="M575" s="105" t="n"/>
      <c r="N575" s="106" t="n"/>
    </row>
    <row r="576">
      <c r="J576" s="87" t="n"/>
      <c r="L576" s="87" t="n"/>
      <c r="M576" s="105" t="n"/>
      <c r="N576" s="106" t="n"/>
    </row>
    <row r="577">
      <c r="J577" s="87" t="n"/>
      <c r="L577" s="87" t="n"/>
      <c r="M577" s="105" t="n"/>
      <c r="N577" s="106" t="n"/>
    </row>
    <row r="578">
      <c r="J578" s="87" t="n"/>
      <c r="L578" s="87" t="n"/>
      <c r="M578" s="105" t="n"/>
      <c r="N578" s="106" t="n"/>
    </row>
    <row r="579">
      <c r="J579" s="87" t="n"/>
      <c r="L579" s="87" t="n"/>
      <c r="M579" s="105" t="n"/>
      <c r="N579" s="106" t="n"/>
    </row>
    <row r="580">
      <c r="J580" s="87" t="n"/>
      <c r="L580" s="87" t="n"/>
      <c r="M580" s="105" t="n"/>
      <c r="N580" s="106" t="n"/>
    </row>
    <row r="581">
      <c r="J581" s="87" t="n"/>
      <c r="L581" s="87" t="n"/>
      <c r="M581" s="105" t="n"/>
      <c r="N581" s="106" t="n"/>
    </row>
    <row r="582">
      <c r="J582" s="87" t="n"/>
      <c r="L582" s="87" t="n"/>
      <c r="M582" s="105" t="n"/>
      <c r="N582" s="106" t="n"/>
    </row>
    <row r="583">
      <c r="J583" s="87" t="n"/>
      <c r="L583" s="87" t="n"/>
      <c r="M583" s="105" t="n"/>
      <c r="N583" s="106" t="n"/>
    </row>
    <row r="584">
      <c r="J584" s="87" t="n"/>
      <c r="L584" s="87" t="n"/>
      <c r="M584" s="105" t="n"/>
      <c r="N584" s="106" t="n"/>
    </row>
    <row r="585">
      <c r="J585" s="87" t="n"/>
      <c r="L585" s="87" t="n"/>
      <c r="M585" s="105" t="n"/>
      <c r="N585" s="106" t="n"/>
    </row>
    <row r="586">
      <c r="J586" s="87" t="n"/>
      <c r="L586" s="87" t="n"/>
      <c r="M586" s="105" t="n"/>
      <c r="N586" s="106" t="n"/>
    </row>
    <row r="587">
      <c r="J587" s="87" t="n"/>
      <c r="L587" s="87" t="n"/>
      <c r="M587" s="105" t="n"/>
      <c r="N587" s="106" t="n"/>
    </row>
    <row r="588">
      <c r="J588" s="87" t="n"/>
      <c r="L588" s="87" t="n"/>
      <c r="M588" s="105" t="n"/>
      <c r="N588" s="106" t="n"/>
    </row>
    <row r="589">
      <c r="J589" s="87" t="n"/>
      <c r="L589" s="87" t="n"/>
      <c r="M589" s="105" t="n"/>
      <c r="N589" s="106" t="n"/>
    </row>
    <row r="590">
      <c r="J590" s="87" t="n"/>
      <c r="L590" s="87" t="n"/>
      <c r="M590" s="105" t="n"/>
      <c r="N590" s="106" t="n"/>
    </row>
    <row r="591">
      <c r="J591" s="87" t="n"/>
      <c r="L591" s="87" t="n"/>
      <c r="M591" s="105" t="n"/>
      <c r="N591" s="106" t="n"/>
    </row>
    <row r="592">
      <c r="J592" s="87" t="n"/>
      <c r="L592" s="87" t="n"/>
      <c r="M592" s="105" t="n"/>
      <c r="N592" s="106" t="n"/>
    </row>
    <row r="593">
      <c r="J593" s="87" t="n"/>
      <c r="L593" s="87" t="n"/>
      <c r="M593" s="105" t="n"/>
      <c r="N593" s="106" t="n"/>
    </row>
    <row r="594">
      <c r="J594" s="87" t="n"/>
      <c r="L594" s="87" t="n"/>
      <c r="M594" s="105" t="n"/>
      <c r="N594" s="106" t="n"/>
    </row>
    <row r="595">
      <c r="J595" s="87" t="n"/>
      <c r="L595" s="87" t="n"/>
      <c r="M595" s="105" t="n"/>
      <c r="N595" s="106" t="n"/>
    </row>
    <row r="596">
      <c r="J596" s="87" t="n"/>
      <c r="L596" s="87" t="n"/>
      <c r="M596" s="105" t="n"/>
      <c r="N596" s="106" t="n"/>
    </row>
    <row r="597">
      <c r="J597" s="87" t="n"/>
      <c r="L597" s="87" t="n"/>
      <c r="M597" s="105" t="n"/>
      <c r="N597" s="106" t="n"/>
    </row>
    <row r="598">
      <c r="J598" s="87" t="n"/>
      <c r="L598" s="87" t="n"/>
      <c r="M598" s="105" t="n"/>
      <c r="N598" s="106" t="n"/>
    </row>
    <row r="599">
      <c r="J599" s="87" t="n"/>
      <c r="L599" s="87" t="n"/>
      <c r="M599" s="105" t="n"/>
      <c r="N599" s="106" t="n"/>
    </row>
    <row r="600">
      <c r="J600" s="87" t="n"/>
      <c r="L600" s="87" t="n"/>
      <c r="M600" s="105" t="n"/>
      <c r="N600" s="106" t="n"/>
    </row>
    <row r="601">
      <c r="J601" s="87" t="n"/>
      <c r="L601" s="87" t="n"/>
      <c r="M601" s="105" t="n"/>
      <c r="N601" s="106" t="n"/>
    </row>
    <row r="602">
      <c r="J602" s="87" t="n"/>
      <c r="L602" s="87" t="n"/>
      <c r="M602" s="105" t="n"/>
      <c r="N602" s="106" t="n"/>
    </row>
    <row r="603">
      <c r="J603" s="87" t="n"/>
      <c r="L603" s="87" t="n"/>
      <c r="M603" s="105" t="n"/>
      <c r="N603" s="106" t="n"/>
    </row>
    <row r="604">
      <c r="J604" s="87" t="n"/>
      <c r="L604" s="87" t="n"/>
      <c r="M604" s="105" t="n"/>
      <c r="N604" s="106" t="n"/>
    </row>
    <row r="605">
      <c r="J605" s="87" t="n"/>
      <c r="L605" s="87" t="n"/>
      <c r="M605" s="105" t="n"/>
      <c r="N605" s="106" t="n"/>
    </row>
    <row r="606">
      <c r="J606" s="87" t="n"/>
      <c r="L606" s="87" t="n"/>
      <c r="M606" s="105" t="n"/>
      <c r="N606" s="106" t="n"/>
    </row>
    <row r="607">
      <c r="J607" s="87" t="n"/>
      <c r="L607" s="87" t="n"/>
      <c r="M607" s="105" t="n"/>
      <c r="N607" s="106" t="n"/>
    </row>
    <row r="608">
      <c r="J608" s="87" t="n"/>
      <c r="L608" s="87" t="n"/>
      <c r="M608" s="105" t="n"/>
      <c r="N608" s="106" t="n"/>
    </row>
    <row r="609">
      <c r="J609" s="87" t="n"/>
      <c r="L609" s="87" t="n"/>
      <c r="M609" s="105" t="n"/>
      <c r="N609" s="106" t="n"/>
    </row>
    <row r="610">
      <c r="J610" s="87" t="n"/>
      <c r="L610" s="87" t="n"/>
      <c r="M610" s="105" t="n"/>
      <c r="N610" s="106" t="n"/>
    </row>
    <row r="611">
      <c r="J611" s="87" t="n"/>
      <c r="L611" s="87" t="n"/>
      <c r="M611" s="105" t="n"/>
      <c r="N611" s="106" t="n"/>
    </row>
    <row r="612">
      <c r="J612" s="87" t="n"/>
      <c r="L612" s="87" t="n"/>
      <c r="M612" s="105" t="n"/>
      <c r="N612" s="106" t="n"/>
    </row>
    <row r="613">
      <c r="J613" s="87" t="n"/>
      <c r="L613" s="87" t="n"/>
      <c r="M613" s="105" t="n"/>
      <c r="N613" s="106" t="n"/>
    </row>
    <row r="614">
      <c r="J614" s="87" t="n"/>
      <c r="L614" s="87" t="n"/>
      <c r="M614" s="105" t="n"/>
      <c r="N614" s="106" t="n"/>
    </row>
    <row r="615">
      <c r="J615" s="87" t="n"/>
      <c r="L615" s="87" t="n"/>
      <c r="M615" s="105" t="n"/>
      <c r="N615" s="106" t="n"/>
    </row>
    <row r="616">
      <c r="J616" s="87" t="n"/>
      <c r="L616" s="87" t="n"/>
      <c r="M616" s="105" t="n"/>
      <c r="N616" s="106" t="n"/>
    </row>
    <row r="617">
      <c r="J617" s="87" t="n"/>
      <c r="L617" s="87" t="n"/>
      <c r="M617" s="105" t="n"/>
      <c r="N617" s="106" t="n"/>
    </row>
    <row r="618">
      <c r="J618" s="87" t="n"/>
      <c r="L618" s="87" t="n"/>
      <c r="M618" s="105" t="n"/>
      <c r="N618" s="106" t="n"/>
    </row>
    <row r="619">
      <c r="J619" s="87" t="n"/>
      <c r="L619" s="87" t="n"/>
      <c r="M619" s="105" t="n"/>
      <c r="N619" s="106" t="n"/>
    </row>
    <row r="620">
      <c r="J620" s="87" t="n"/>
      <c r="L620" s="87" t="n"/>
      <c r="M620" s="105" t="n"/>
      <c r="N620" s="106" t="n"/>
    </row>
    <row r="621">
      <c r="J621" s="87" t="n"/>
      <c r="L621" s="87" t="n"/>
      <c r="M621" s="105" t="n"/>
      <c r="N621" s="106" t="n"/>
    </row>
    <row r="622">
      <c r="J622" s="87" t="n"/>
      <c r="L622" s="87" t="n"/>
      <c r="M622" s="105" t="n"/>
      <c r="N622" s="106" t="n"/>
    </row>
    <row r="623">
      <c r="J623" s="87" t="n"/>
      <c r="L623" s="87" t="n"/>
      <c r="M623" s="105" t="n"/>
      <c r="N623" s="106" t="n"/>
    </row>
    <row r="624">
      <c r="J624" s="87" t="n"/>
      <c r="L624" s="87" t="n"/>
      <c r="M624" s="105" t="n"/>
      <c r="N624" s="106" t="n"/>
    </row>
    <row r="625">
      <c r="J625" s="87" t="n"/>
      <c r="L625" s="87" t="n"/>
      <c r="M625" s="105" t="n"/>
      <c r="N625" s="106" t="n"/>
    </row>
    <row r="626">
      <c r="J626" s="87" t="n"/>
      <c r="L626" s="87" t="n"/>
      <c r="M626" s="105" t="n"/>
      <c r="N626" s="106" t="n"/>
    </row>
    <row r="627">
      <c r="J627" s="87" t="n"/>
      <c r="L627" s="87" t="n"/>
      <c r="M627" s="105" t="n"/>
      <c r="N627" s="106" t="n"/>
    </row>
    <row r="628">
      <c r="J628" s="87" t="n"/>
      <c r="L628" s="87" t="n"/>
      <c r="M628" s="105" t="n"/>
      <c r="N628" s="106" t="n"/>
    </row>
    <row r="629">
      <c r="J629" s="87" t="n"/>
      <c r="L629" s="87" t="n"/>
      <c r="M629" s="105" t="n"/>
      <c r="N629" s="106" t="n"/>
    </row>
    <row r="630">
      <c r="J630" s="87" t="n"/>
      <c r="L630" s="87" t="n"/>
      <c r="M630" s="105" t="n"/>
      <c r="N630" s="106" t="n"/>
    </row>
    <row r="631">
      <c r="J631" s="87" t="n"/>
      <c r="L631" s="87" t="n"/>
      <c r="M631" s="105" t="n"/>
      <c r="N631" s="106" t="n"/>
    </row>
    <row r="632">
      <c r="J632" s="87" t="n"/>
      <c r="L632" s="87" t="n"/>
      <c r="M632" s="105" t="n"/>
      <c r="N632" s="106" t="n"/>
    </row>
    <row r="633">
      <c r="J633" s="87" t="n"/>
      <c r="L633" s="87" t="n"/>
      <c r="M633" s="105" t="n"/>
      <c r="N633" s="106" t="n"/>
    </row>
    <row r="634">
      <c r="J634" s="87" t="n"/>
      <c r="L634" s="87" t="n"/>
      <c r="M634" s="105" t="n"/>
      <c r="N634" s="106" t="n"/>
    </row>
    <row r="635">
      <c r="J635" s="87" t="n"/>
      <c r="L635" s="87" t="n"/>
      <c r="M635" s="105" t="n"/>
      <c r="N635" s="106" t="n"/>
    </row>
    <row r="636">
      <c r="J636" s="87" t="n"/>
      <c r="L636" s="87" t="n"/>
      <c r="M636" s="105" t="n"/>
      <c r="N636" s="106" t="n"/>
    </row>
    <row r="637">
      <c r="J637" s="87" t="n"/>
      <c r="L637" s="87" t="n"/>
      <c r="M637" s="105" t="n"/>
      <c r="N637" s="106" t="n"/>
    </row>
    <row r="638">
      <c r="J638" s="87" t="n"/>
      <c r="L638" s="87" t="n"/>
      <c r="M638" s="105" t="n"/>
      <c r="N638" s="106" t="n"/>
    </row>
    <row r="639">
      <c r="J639" s="87" t="n"/>
      <c r="L639" s="87" t="n"/>
      <c r="M639" s="105" t="n"/>
      <c r="N639" s="106" t="n"/>
    </row>
    <row r="640">
      <c r="J640" s="87" t="n"/>
      <c r="L640" s="87" t="n"/>
      <c r="M640" s="105" t="n"/>
      <c r="N640" s="106" t="n"/>
    </row>
    <row r="641">
      <c r="J641" s="87" t="n"/>
      <c r="L641" s="87" t="n"/>
      <c r="M641" s="105" t="n"/>
      <c r="N641" s="106" t="n"/>
    </row>
    <row r="642">
      <c r="J642" s="87" t="n"/>
      <c r="L642" s="87" t="n"/>
      <c r="M642" s="105" t="n"/>
      <c r="N642" s="106" t="n"/>
    </row>
    <row r="643">
      <c r="J643" s="87" t="n"/>
      <c r="L643" s="87" t="n"/>
      <c r="M643" s="105" t="n"/>
      <c r="N643" s="106" t="n"/>
    </row>
    <row r="644">
      <c r="J644" s="87" t="n"/>
      <c r="L644" s="87" t="n"/>
      <c r="M644" s="105" t="n"/>
      <c r="N644" s="106" t="n"/>
    </row>
    <row r="645">
      <c r="J645" s="87" t="n"/>
      <c r="L645" s="87" t="n"/>
      <c r="M645" s="105" t="n"/>
      <c r="N645" s="106" t="n"/>
    </row>
    <row r="646">
      <c r="J646" s="87" t="n"/>
      <c r="L646" s="87" t="n"/>
      <c r="M646" s="105" t="n"/>
      <c r="N646" s="106" t="n"/>
    </row>
    <row r="647">
      <c r="J647" s="87" t="n"/>
      <c r="L647" s="87" t="n"/>
      <c r="M647" s="105" t="n"/>
      <c r="N647" s="106" t="n"/>
    </row>
    <row r="648">
      <c r="J648" s="87" t="n"/>
      <c r="L648" s="87" t="n"/>
      <c r="M648" s="105" t="n"/>
      <c r="N648" s="106" t="n"/>
    </row>
    <row r="649">
      <c r="J649" s="87" t="n"/>
      <c r="L649" s="87" t="n"/>
      <c r="M649" s="105" t="n"/>
      <c r="N649" s="106" t="n"/>
    </row>
    <row r="650">
      <c r="J650" s="87" t="n"/>
      <c r="L650" s="87" t="n"/>
      <c r="M650" s="105" t="n"/>
      <c r="N650" s="106" t="n"/>
    </row>
    <row r="651">
      <c r="J651" s="87" t="n"/>
      <c r="L651" s="87" t="n"/>
      <c r="M651" s="105" t="n"/>
      <c r="N651" s="106" t="n"/>
    </row>
    <row r="652">
      <c r="J652" s="87" t="n"/>
      <c r="L652" s="87" t="n"/>
      <c r="M652" s="105" t="n"/>
      <c r="N652" s="106" t="n"/>
    </row>
    <row r="653">
      <c r="J653" s="87" t="n"/>
      <c r="L653" s="87" t="n"/>
      <c r="M653" s="105" t="n"/>
      <c r="N653" s="106" t="n"/>
    </row>
    <row r="654">
      <c r="J654" s="87" t="n"/>
      <c r="L654" s="87" t="n"/>
      <c r="M654" s="105" t="n"/>
      <c r="N654" s="106" t="n"/>
    </row>
    <row r="655">
      <c r="J655" s="87" t="n"/>
      <c r="L655" s="87" t="n"/>
      <c r="M655" s="105" t="n"/>
      <c r="N655" s="106" t="n"/>
    </row>
    <row r="656">
      <c r="J656" s="87" t="n"/>
      <c r="L656" s="87" t="n"/>
      <c r="M656" s="105" t="n"/>
      <c r="N656" s="106" t="n"/>
    </row>
    <row r="657">
      <c r="J657" s="87" t="n"/>
      <c r="L657" s="87" t="n"/>
      <c r="M657" s="105" t="n"/>
      <c r="N657" s="106" t="n"/>
    </row>
    <row r="658">
      <c r="J658" s="87" t="n"/>
      <c r="L658" s="87" t="n"/>
      <c r="M658" s="105" t="n"/>
      <c r="N658" s="106" t="n"/>
    </row>
    <row r="659">
      <c r="J659" s="87" t="n"/>
      <c r="L659" s="87" t="n"/>
      <c r="M659" s="105" t="n"/>
      <c r="N659" s="106" t="n"/>
    </row>
    <row r="660">
      <c r="J660" s="87" t="n"/>
      <c r="L660" s="87" t="n"/>
      <c r="M660" s="105" t="n"/>
      <c r="N660" s="106" t="n"/>
    </row>
    <row r="661">
      <c r="J661" s="87" t="n"/>
      <c r="L661" s="87" t="n"/>
      <c r="M661" s="105" t="n"/>
      <c r="N661" s="106" t="n"/>
    </row>
    <row r="662">
      <c r="J662" s="87" t="n"/>
      <c r="L662" s="87" t="n"/>
      <c r="M662" s="105" t="n"/>
      <c r="N662" s="106" t="n"/>
    </row>
    <row r="663">
      <c r="J663" s="87" t="n"/>
      <c r="L663" s="87" t="n"/>
      <c r="M663" s="105" t="n"/>
      <c r="N663" s="106" t="n"/>
    </row>
    <row r="664">
      <c r="J664" s="87" t="n"/>
      <c r="L664" s="87" t="n"/>
      <c r="M664" s="105" t="n"/>
      <c r="N664" s="106" t="n"/>
    </row>
    <row r="665">
      <c r="J665" s="87" t="n"/>
      <c r="L665" s="87" t="n"/>
      <c r="M665" s="105" t="n"/>
      <c r="N665" s="106" t="n"/>
    </row>
    <row r="666">
      <c r="J666" s="87" t="n"/>
      <c r="L666" s="87" t="n"/>
      <c r="M666" s="105" t="n"/>
      <c r="N666" s="106" t="n"/>
    </row>
    <row r="667">
      <c r="J667" s="87" t="n"/>
      <c r="L667" s="87" t="n"/>
      <c r="M667" s="105" t="n"/>
      <c r="N667" s="106" t="n"/>
    </row>
    <row r="668">
      <c r="J668" s="87" t="n"/>
      <c r="L668" s="87" t="n"/>
      <c r="M668" s="105" t="n"/>
      <c r="N668" s="106" t="n"/>
    </row>
    <row r="669">
      <c r="J669" s="87" t="n"/>
      <c r="L669" s="87" t="n"/>
      <c r="M669" s="105" t="n"/>
      <c r="N669" s="106" t="n"/>
    </row>
    <row r="670">
      <c r="J670" s="87" t="n"/>
      <c r="L670" s="87" t="n"/>
      <c r="M670" s="105" t="n"/>
      <c r="N670" s="106" t="n"/>
    </row>
    <row r="671">
      <c r="J671" s="87" t="n"/>
      <c r="L671" s="87" t="n"/>
      <c r="M671" s="105" t="n"/>
      <c r="N671" s="106" t="n"/>
    </row>
    <row r="672">
      <c r="J672" s="87" t="n"/>
      <c r="L672" s="87" t="n"/>
      <c r="M672" s="105" t="n"/>
      <c r="N672" s="106" t="n"/>
    </row>
    <row r="673">
      <c r="J673" s="87" t="n"/>
      <c r="L673" s="87" t="n"/>
      <c r="M673" s="105" t="n"/>
      <c r="N673" s="106" t="n"/>
    </row>
    <row r="674">
      <c r="J674" s="87" t="n"/>
      <c r="L674" s="87" t="n"/>
      <c r="M674" s="105" t="n"/>
      <c r="N674" s="106" t="n"/>
    </row>
    <row r="675">
      <c r="J675" s="87" t="n"/>
      <c r="L675" s="87" t="n"/>
      <c r="M675" s="105" t="n"/>
      <c r="N675" s="106" t="n"/>
    </row>
    <row r="676">
      <c r="J676" s="87" t="n"/>
      <c r="L676" s="87" t="n"/>
      <c r="M676" s="105" t="n"/>
      <c r="N676" s="106" t="n"/>
    </row>
    <row r="677">
      <c r="J677" s="87" t="n"/>
      <c r="L677" s="87" t="n"/>
      <c r="M677" s="105" t="n"/>
      <c r="N677" s="106" t="n"/>
    </row>
    <row r="678">
      <c r="J678" s="87" t="n"/>
      <c r="L678" s="87" t="n"/>
      <c r="M678" s="105" t="n"/>
      <c r="N678" s="106" t="n"/>
    </row>
    <row r="679">
      <c r="J679" s="87" t="n"/>
      <c r="L679" s="87" t="n"/>
      <c r="M679" s="105" t="n"/>
      <c r="N679" s="106" t="n"/>
    </row>
    <row r="680">
      <c r="J680" s="87" t="n"/>
      <c r="L680" s="87" t="n"/>
      <c r="M680" s="105" t="n"/>
      <c r="N680" s="106" t="n"/>
    </row>
    <row r="681">
      <c r="J681" s="87" t="n"/>
      <c r="L681" s="87" t="n"/>
      <c r="M681" s="105" t="n"/>
      <c r="N681" s="106" t="n"/>
    </row>
    <row r="682">
      <c r="J682" s="87" t="n"/>
      <c r="L682" s="87" t="n"/>
      <c r="M682" s="105" t="n"/>
      <c r="N682" s="106" t="n"/>
    </row>
    <row r="683">
      <c r="J683" s="87" t="n"/>
      <c r="L683" s="87" t="n"/>
      <c r="M683" s="105" t="n"/>
      <c r="N683" s="106" t="n"/>
    </row>
    <row r="684">
      <c r="J684" s="87" t="n"/>
      <c r="L684" s="87" t="n"/>
      <c r="M684" s="105" t="n"/>
      <c r="N684" s="106" t="n"/>
    </row>
    <row r="685">
      <c r="J685" s="87" t="n"/>
      <c r="L685" s="87" t="n"/>
      <c r="M685" s="105" t="n"/>
      <c r="N685" s="106" t="n"/>
    </row>
    <row r="686">
      <c r="J686" s="87" t="n"/>
      <c r="L686" s="87" t="n"/>
      <c r="M686" s="105" t="n"/>
      <c r="N686" s="106" t="n"/>
    </row>
    <row r="687">
      <c r="J687" s="87" t="n"/>
      <c r="L687" s="87" t="n"/>
      <c r="M687" s="105" t="n"/>
      <c r="N687" s="106" t="n"/>
    </row>
    <row r="688">
      <c r="J688" s="87" t="n"/>
      <c r="L688" s="87" t="n"/>
      <c r="M688" s="105" t="n"/>
      <c r="N688" s="106" t="n"/>
    </row>
    <row r="689">
      <c r="J689" s="87" t="n"/>
      <c r="L689" s="87" t="n"/>
      <c r="M689" s="105" t="n"/>
      <c r="N689" s="106" t="n"/>
    </row>
    <row r="690">
      <c r="J690" s="87" t="n"/>
      <c r="L690" s="87" t="n"/>
      <c r="M690" s="105" t="n"/>
      <c r="N690" s="106" t="n"/>
    </row>
    <row r="691">
      <c r="J691" s="87" t="n"/>
      <c r="L691" s="87" t="n"/>
      <c r="M691" s="105" t="n"/>
      <c r="N691" s="106" t="n"/>
    </row>
    <row r="692">
      <c r="J692" s="87" t="n"/>
      <c r="L692" s="87" t="n"/>
      <c r="M692" s="105" t="n"/>
      <c r="N692" s="106" t="n"/>
    </row>
    <row r="693">
      <c r="J693" s="87" t="n"/>
      <c r="L693" s="87" t="n"/>
      <c r="M693" s="105" t="n"/>
      <c r="N693" s="106" t="n"/>
    </row>
    <row r="694">
      <c r="J694" s="87" t="n"/>
      <c r="L694" s="87" t="n"/>
      <c r="M694" s="105" t="n"/>
      <c r="N694" s="106" t="n"/>
    </row>
    <row r="695">
      <c r="J695" s="87" t="n"/>
      <c r="L695" s="87" t="n"/>
      <c r="M695" s="105" t="n"/>
      <c r="N695" s="106" t="n"/>
    </row>
    <row r="696">
      <c r="J696" s="87" t="n"/>
      <c r="L696" s="87" t="n"/>
      <c r="M696" s="105" t="n"/>
      <c r="N696" s="106" t="n"/>
    </row>
    <row r="697">
      <c r="J697" s="87" t="n"/>
      <c r="L697" s="87" t="n"/>
      <c r="M697" s="105" t="n"/>
      <c r="N697" s="106" t="n"/>
    </row>
    <row r="698">
      <c r="J698" s="87" t="n"/>
      <c r="L698" s="87" t="n"/>
      <c r="M698" s="105" t="n"/>
      <c r="N698" s="106" t="n"/>
    </row>
    <row r="699">
      <c r="J699" s="87" t="n"/>
      <c r="L699" s="87" t="n"/>
      <c r="M699" s="105" t="n"/>
      <c r="N699" s="106" t="n"/>
    </row>
    <row r="700">
      <c r="J700" s="87" t="n"/>
      <c r="L700" s="87" t="n"/>
      <c r="M700" s="105" t="n"/>
      <c r="N700" s="106" t="n"/>
    </row>
    <row r="701">
      <c r="J701" s="87" t="n"/>
      <c r="L701" s="87" t="n"/>
      <c r="M701" s="105" t="n"/>
      <c r="N701" s="106" t="n"/>
    </row>
    <row r="702">
      <c r="J702" s="87" t="n"/>
      <c r="L702" s="87" t="n"/>
      <c r="M702" s="105" t="n"/>
      <c r="N702" s="106" t="n"/>
    </row>
    <row r="703">
      <c r="J703" s="87" t="n"/>
      <c r="L703" s="87" t="n"/>
      <c r="M703" s="105" t="n"/>
      <c r="N703" s="106" t="n"/>
    </row>
    <row r="704">
      <c r="J704" s="87" t="n"/>
      <c r="L704" s="87" t="n"/>
      <c r="M704" s="105" t="n"/>
      <c r="N704" s="106" t="n"/>
    </row>
    <row r="705">
      <c r="J705" s="87" t="n"/>
      <c r="L705" s="87" t="n"/>
      <c r="M705" s="105" t="n"/>
      <c r="N705" s="106" t="n"/>
    </row>
    <row r="706">
      <c r="J706" s="87" t="n"/>
      <c r="L706" s="87" t="n"/>
      <c r="M706" s="105" t="n"/>
      <c r="N706" s="106" t="n"/>
    </row>
    <row r="707">
      <c r="J707" s="87" t="n"/>
      <c r="L707" s="87" t="n"/>
      <c r="M707" s="105" t="n"/>
      <c r="N707" s="106" t="n"/>
    </row>
    <row r="708">
      <c r="J708" s="87" t="n"/>
      <c r="L708" s="87" t="n"/>
      <c r="M708" s="105" t="n"/>
      <c r="N708" s="106" t="n"/>
    </row>
    <row r="709">
      <c r="J709" s="87" t="n"/>
      <c r="L709" s="87" t="n"/>
      <c r="M709" s="105" t="n"/>
      <c r="N709" s="106" t="n"/>
    </row>
    <row r="710">
      <c r="J710" s="87" t="n"/>
      <c r="L710" s="87" t="n"/>
      <c r="M710" s="105" t="n"/>
      <c r="N710" s="106" t="n"/>
    </row>
    <row r="711">
      <c r="J711" s="87" t="n"/>
      <c r="L711" s="87" t="n"/>
      <c r="M711" s="105" t="n"/>
      <c r="N711" s="106" t="n"/>
    </row>
    <row r="712">
      <c r="J712" s="87" t="n"/>
      <c r="L712" s="87" t="n"/>
      <c r="M712" s="105" t="n"/>
      <c r="N712" s="106" t="n"/>
    </row>
    <row r="713">
      <c r="J713" s="87" t="n"/>
      <c r="L713" s="87" t="n"/>
      <c r="M713" s="105" t="n"/>
      <c r="N713" s="106" t="n"/>
    </row>
    <row r="714">
      <c r="J714" s="87" t="n"/>
      <c r="L714" s="87" t="n"/>
      <c r="M714" s="105" t="n"/>
      <c r="N714" s="106" t="n"/>
    </row>
    <row r="715">
      <c r="J715" s="87" t="n"/>
      <c r="L715" s="87" t="n"/>
      <c r="M715" s="105" t="n"/>
      <c r="N715" s="106" t="n"/>
    </row>
    <row r="716">
      <c r="J716" s="87" t="n"/>
      <c r="L716" s="87" t="n"/>
      <c r="M716" s="105" t="n"/>
      <c r="N716" s="106" t="n"/>
    </row>
    <row r="717">
      <c r="J717" s="87" t="n"/>
      <c r="L717" s="87" t="n"/>
      <c r="M717" s="105" t="n"/>
      <c r="N717" s="106" t="n"/>
    </row>
    <row r="718">
      <c r="J718" s="87" t="n"/>
      <c r="L718" s="87" t="n"/>
      <c r="M718" s="105" t="n"/>
      <c r="N718" s="106" t="n"/>
    </row>
    <row r="719">
      <c r="J719" s="87" t="n"/>
      <c r="L719" s="87" t="n"/>
      <c r="M719" s="105" t="n"/>
      <c r="N719" s="106" t="n"/>
    </row>
    <row r="720">
      <c r="J720" s="87" t="n"/>
      <c r="L720" s="87" t="n"/>
      <c r="M720" s="105" t="n"/>
      <c r="N720" s="106" t="n"/>
    </row>
    <row r="721">
      <c r="J721" s="87" t="n"/>
      <c r="L721" s="87" t="n"/>
      <c r="M721" s="105" t="n"/>
      <c r="N721" s="106" t="n"/>
    </row>
    <row r="722">
      <c r="J722" s="87" t="n"/>
      <c r="L722" s="87" t="n"/>
      <c r="M722" s="105" t="n"/>
      <c r="N722" s="106" t="n"/>
    </row>
    <row r="723">
      <c r="J723" s="87" t="n"/>
      <c r="L723" s="87" t="n"/>
      <c r="M723" s="105" t="n"/>
      <c r="N723" s="106" t="n"/>
    </row>
    <row r="724">
      <c r="J724" s="87" t="n"/>
      <c r="L724" s="87" t="n"/>
      <c r="M724" s="105" t="n"/>
      <c r="N724" s="106" t="n"/>
    </row>
    <row r="725">
      <c r="J725" s="87" t="n"/>
      <c r="L725" s="87" t="n"/>
      <c r="M725" s="105" t="n"/>
      <c r="N725" s="106" t="n"/>
    </row>
    <row r="726">
      <c r="J726" s="87" t="n"/>
      <c r="L726" s="87" t="n"/>
      <c r="M726" s="105" t="n"/>
      <c r="N726" s="106" t="n"/>
    </row>
    <row r="727">
      <c r="J727" s="87" t="n"/>
      <c r="L727" s="87" t="n"/>
      <c r="M727" s="105" t="n"/>
      <c r="N727" s="106" t="n"/>
    </row>
    <row r="728">
      <c r="J728" s="87" t="n"/>
      <c r="L728" s="87" t="n"/>
      <c r="M728" s="105" t="n"/>
      <c r="N728" s="106" t="n"/>
    </row>
    <row r="729">
      <c r="J729" s="87" t="n"/>
      <c r="L729" s="87" t="n"/>
      <c r="M729" s="105" t="n"/>
      <c r="N729" s="106" t="n"/>
    </row>
    <row r="730">
      <c r="J730" s="87" t="n"/>
      <c r="L730" s="87" t="n"/>
      <c r="M730" s="105" t="n"/>
      <c r="N730" s="106" t="n"/>
    </row>
    <row r="731">
      <c r="J731" s="87" t="n"/>
      <c r="L731" s="87" t="n"/>
      <c r="M731" s="105" t="n"/>
      <c r="N731" s="106" t="n"/>
    </row>
    <row r="732">
      <c r="J732" s="87" t="n"/>
      <c r="L732" s="87" t="n"/>
      <c r="M732" s="105" t="n"/>
      <c r="N732" s="106" t="n"/>
    </row>
    <row r="733">
      <c r="J733" s="87" t="n"/>
      <c r="L733" s="87" t="n"/>
      <c r="M733" s="105" t="n"/>
      <c r="N733" s="106" t="n"/>
    </row>
    <row r="734">
      <c r="J734" s="87" t="n"/>
      <c r="L734" s="87" t="n"/>
      <c r="M734" s="105" t="n"/>
      <c r="N734" s="106" t="n"/>
    </row>
    <row r="735">
      <c r="J735" s="87" t="n"/>
      <c r="L735" s="87" t="n"/>
      <c r="M735" s="105" t="n"/>
      <c r="N735" s="106" t="n"/>
    </row>
    <row r="736">
      <c r="J736" s="87" t="n"/>
      <c r="L736" s="87" t="n"/>
      <c r="M736" s="105" t="n"/>
      <c r="N736" s="106" t="n"/>
    </row>
    <row r="737">
      <c r="J737" s="87" t="n"/>
      <c r="L737" s="87" t="n"/>
      <c r="M737" s="105" t="n"/>
      <c r="N737" s="106" t="n"/>
    </row>
    <row r="738">
      <c r="J738" s="87" t="n"/>
      <c r="L738" s="87" t="n"/>
      <c r="M738" s="105" t="n"/>
      <c r="N738" s="106" t="n"/>
    </row>
    <row r="739">
      <c r="J739" s="87" t="n"/>
      <c r="L739" s="87" t="n"/>
      <c r="M739" s="105" t="n"/>
      <c r="N739" s="106" t="n"/>
    </row>
    <row r="740">
      <c r="J740" s="87" t="n"/>
      <c r="L740" s="87" t="n"/>
      <c r="M740" s="105" t="n"/>
      <c r="N740" s="106" t="n"/>
    </row>
    <row r="741">
      <c r="J741" s="87" t="n"/>
      <c r="L741" s="87" t="n"/>
      <c r="M741" s="105" t="n"/>
      <c r="N741" s="106" t="n"/>
    </row>
    <row r="742">
      <c r="J742" s="87" t="n"/>
      <c r="L742" s="87" t="n"/>
      <c r="M742" s="105" t="n"/>
      <c r="N742" s="106" t="n"/>
    </row>
    <row r="743">
      <c r="J743" s="87" t="n"/>
      <c r="L743" s="87" t="n"/>
      <c r="M743" s="105" t="n"/>
      <c r="N743" s="106" t="n"/>
    </row>
    <row r="744">
      <c r="J744" s="87" t="n"/>
      <c r="L744" s="87" t="n"/>
      <c r="M744" s="105" t="n"/>
      <c r="N744" s="106" t="n"/>
    </row>
    <row r="745">
      <c r="J745" s="87" t="n"/>
      <c r="L745" s="87" t="n"/>
      <c r="M745" s="105" t="n"/>
      <c r="N745" s="106" t="n"/>
    </row>
    <row r="746">
      <c r="J746" s="87" t="n"/>
      <c r="L746" s="87" t="n"/>
      <c r="M746" s="105" t="n"/>
      <c r="N746" s="106" t="n"/>
    </row>
    <row r="747">
      <c r="J747" s="87" t="n"/>
      <c r="L747" s="87" t="n"/>
      <c r="M747" s="105" t="n"/>
      <c r="N747" s="106" t="n"/>
    </row>
    <row r="748">
      <c r="J748" s="87" t="n"/>
      <c r="L748" s="87" t="n"/>
      <c r="M748" s="105" t="n"/>
      <c r="N748" s="106" t="n"/>
    </row>
    <row r="749">
      <c r="J749" s="87" t="n"/>
      <c r="L749" s="87" t="n"/>
      <c r="M749" s="105" t="n"/>
      <c r="N749" s="106" t="n"/>
    </row>
    <row r="750">
      <c r="J750" s="87" t="n"/>
      <c r="L750" s="87" t="n"/>
      <c r="M750" s="105" t="n"/>
      <c r="N750" s="106" t="n"/>
    </row>
    <row r="751">
      <c r="J751" s="87" t="n"/>
      <c r="L751" s="87" t="n"/>
      <c r="M751" s="105" t="n"/>
      <c r="N751" s="106" t="n"/>
    </row>
    <row r="752">
      <c r="J752" s="87" t="n"/>
      <c r="L752" s="87" t="n"/>
      <c r="M752" s="105" t="n"/>
      <c r="N752" s="106" t="n"/>
    </row>
    <row r="753">
      <c r="J753" s="87" t="n"/>
      <c r="L753" s="87" t="n"/>
      <c r="M753" s="105" t="n"/>
      <c r="N753" s="106" t="n"/>
    </row>
    <row r="754">
      <c r="J754" s="87" t="n"/>
      <c r="L754" s="87" t="n"/>
      <c r="M754" s="105" t="n"/>
      <c r="N754" s="106" t="n"/>
    </row>
    <row r="755">
      <c r="J755" s="87" t="n"/>
      <c r="L755" s="87" t="n"/>
      <c r="M755" s="105" t="n"/>
      <c r="N755" s="106" t="n"/>
    </row>
    <row r="756">
      <c r="J756" s="87" t="n"/>
      <c r="L756" s="87" t="n"/>
      <c r="M756" s="105" t="n"/>
      <c r="N756" s="106" t="n"/>
    </row>
    <row r="757">
      <c r="J757" s="87" t="n"/>
      <c r="L757" s="87" t="n"/>
      <c r="M757" s="105" t="n"/>
      <c r="N757" s="106" t="n"/>
    </row>
    <row r="758">
      <c r="J758" s="87" t="n"/>
      <c r="L758" s="87" t="n"/>
      <c r="M758" s="105" t="n"/>
      <c r="N758" s="106" t="n"/>
    </row>
    <row r="759">
      <c r="J759" s="87" t="n"/>
      <c r="L759" s="87" t="n"/>
      <c r="M759" s="105" t="n"/>
      <c r="N759" s="106" t="n"/>
    </row>
    <row r="760">
      <c r="J760" s="87" t="n"/>
      <c r="L760" s="87" t="n"/>
      <c r="M760" s="105" t="n"/>
      <c r="N760" s="106" t="n"/>
    </row>
    <row r="761">
      <c r="J761" s="87" t="n"/>
      <c r="L761" s="87" t="n"/>
      <c r="M761" s="105" t="n"/>
      <c r="N761" s="106" t="n"/>
    </row>
    <row r="762">
      <c r="J762" s="87" t="n"/>
      <c r="L762" s="87" t="n"/>
      <c r="M762" s="105" t="n"/>
      <c r="N762" s="106" t="n"/>
    </row>
    <row r="763">
      <c r="J763" s="87" t="n"/>
      <c r="L763" s="87" t="n"/>
      <c r="M763" s="105" t="n"/>
      <c r="N763" s="106" t="n"/>
    </row>
    <row r="764">
      <c r="J764" s="87" t="n"/>
      <c r="L764" s="87" t="n"/>
      <c r="M764" s="105" t="n"/>
      <c r="N764" s="106" t="n"/>
    </row>
    <row r="765">
      <c r="J765" s="87" t="n"/>
      <c r="L765" s="87" t="n"/>
      <c r="M765" s="105" t="n"/>
      <c r="N765" s="106" t="n"/>
    </row>
    <row r="766">
      <c r="J766" s="87" t="n"/>
      <c r="L766" s="87" t="n"/>
      <c r="M766" s="105" t="n"/>
      <c r="N766" s="106" t="n"/>
    </row>
    <row r="767">
      <c r="J767" s="87" t="n"/>
      <c r="L767" s="87" t="n"/>
      <c r="M767" s="105" t="n"/>
      <c r="N767" s="106" t="n"/>
    </row>
    <row r="768">
      <c r="J768" s="87" t="n"/>
      <c r="L768" s="87" t="n"/>
      <c r="M768" s="105" t="n"/>
      <c r="N768" s="106" t="n"/>
    </row>
    <row r="769">
      <c r="J769" s="87" t="n"/>
      <c r="L769" s="87" t="n"/>
      <c r="M769" s="105" t="n"/>
      <c r="N769" s="106" t="n"/>
    </row>
    <row r="770">
      <c r="J770" s="87" t="n"/>
      <c r="L770" s="87" t="n"/>
      <c r="M770" s="105" t="n"/>
      <c r="N770" s="106" t="n"/>
    </row>
    <row r="771">
      <c r="J771" s="87" t="n"/>
      <c r="L771" s="87" t="n"/>
      <c r="M771" s="105" t="n"/>
      <c r="N771" s="106" t="n"/>
    </row>
    <row r="772">
      <c r="J772" s="87" t="n"/>
      <c r="L772" s="87" t="n"/>
      <c r="M772" s="105" t="n"/>
      <c r="N772" s="106" t="n"/>
    </row>
    <row r="773">
      <c r="J773" s="87" t="n"/>
      <c r="L773" s="87" t="n"/>
      <c r="M773" s="105" t="n"/>
      <c r="N773" s="106" t="n"/>
    </row>
    <row r="774">
      <c r="J774" s="87" t="n"/>
      <c r="L774" s="87" t="n"/>
      <c r="M774" s="105" t="n"/>
      <c r="N774" s="106" t="n"/>
    </row>
    <row r="775">
      <c r="J775" s="87" t="n"/>
      <c r="L775" s="87" t="n"/>
      <c r="M775" s="105" t="n"/>
      <c r="N775" s="106" t="n"/>
    </row>
    <row r="776">
      <c r="J776" s="87" t="n"/>
      <c r="L776" s="87" t="n"/>
      <c r="M776" s="105" t="n"/>
      <c r="N776" s="106" t="n"/>
    </row>
    <row r="777">
      <c r="J777" s="87" t="n"/>
      <c r="L777" s="87" t="n"/>
      <c r="M777" s="105" t="n"/>
      <c r="N777" s="106" t="n"/>
    </row>
    <row r="778">
      <c r="J778" s="87" t="n"/>
      <c r="L778" s="87" t="n"/>
      <c r="M778" s="105" t="n"/>
      <c r="N778" s="106" t="n"/>
    </row>
    <row r="779">
      <c r="J779" s="87" t="n"/>
      <c r="L779" s="87" t="n"/>
      <c r="M779" s="105" t="n"/>
      <c r="N779" s="106" t="n"/>
    </row>
    <row r="780">
      <c r="J780" s="87" t="n"/>
      <c r="L780" s="87" t="n"/>
      <c r="M780" s="105" t="n"/>
      <c r="N780" s="106" t="n"/>
    </row>
    <row r="781">
      <c r="J781" s="87" t="n"/>
      <c r="L781" s="87" t="n"/>
      <c r="M781" s="105" t="n"/>
      <c r="N781" s="106" t="n"/>
    </row>
    <row r="782">
      <c r="J782" s="87" t="n"/>
      <c r="L782" s="87" t="n"/>
      <c r="M782" s="105" t="n"/>
      <c r="N782" s="106" t="n"/>
    </row>
    <row r="783">
      <c r="J783" s="87" t="n"/>
      <c r="L783" s="87" t="n"/>
      <c r="M783" s="105" t="n"/>
      <c r="N783" s="106" t="n"/>
    </row>
    <row r="784">
      <c r="J784" s="87" t="n"/>
      <c r="L784" s="87" t="n"/>
      <c r="M784" s="105" t="n"/>
      <c r="N784" s="106" t="n"/>
    </row>
    <row r="785">
      <c r="J785" s="87" t="n"/>
      <c r="L785" s="87" t="n"/>
      <c r="M785" s="105" t="n"/>
      <c r="N785" s="106" t="n"/>
    </row>
    <row r="786">
      <c r="J786" s="87" t="n"/>
      <c r="L786" s="87" t="n"/>
      <c r="M786" s="105" t="n"/>
      <c r="N786" s="106" t="n"/>
    </row>
    <row r="787">
      <c r="J787" s="87" t="n"/>
      <c r="L787" s="87" t="n"/>
      <c r="M787" s="105" t="n"/>
      <c r="N787" s="106" t="n"/>
    </row>
    <row r="788">
      <c r="J788" s="87" t="n"/>
      <c r="L788" s="87" t="n"/>
      <c r="M788" s="105" t="n"/>
      <c r="N788" s="106" t="n"/>
    </row>
    <row r="789">
      <c r="J789" s="87" t="n"/>
      <c r="L789" s="87" t="n"/>
      <c r="M789" s="105" t="n"/>
      <c r="N789" s="106" t="n"/>
    </row>
    <row r="790">
      <c r="J790" s="87" t="n"/>
      <c r="L790" s="87" t="n"/>
      <c r="M790" s="105" t="n"/>
      <c r="N790" s="106" t="n"/>
    </row>
    <row r="791">
      <c r="J791" s="87" t="n"/>
      <c r="L791" s="87" t="n"/>
      <c r="M791" s="105" t="n"/>
      <c r="N791" s="106" t="n"/>
    </row>
    <row r="792">
      <c r="J792" s="87" t="n"/>
      <c r="L792" s="87" t="n"/>
      <c r="M792" s="105" t="n"/>
      <c r="N792" s="106" t="n"/>
    </row>
    <row r="793">
      <c r="J793" s="87" t="n"/>
      <c r="L793" s="87" t="n"/>
      <c r="M793" s="105" t="n"/>
      <c r="N793" s="106" t="n"/>
    </row>
    <row r="794">
      <c r="J794" s="87" t="n"/>
      <c r="L794" s="87" t="n"/>
      <c r="M794" s="105" t="n"/>
      <c r="N794" s="106" t="n"/>
    </row>
    <row r="795">
      <c r="J795" s="87" t="n"/>
      <c r="L795" s="87" t="n"/>
      <c r="M795" s="105" t="n"/>
      <c r="N795" s="106" t="n"/>
    </row>
    <row r="796">
      <c r="J796" s="87" t="n"/>
      <c r="L796" s="87" t="n"/>
      <c r="M796" s="105" t="n"/>
      <c r="N796" s="106" t="n"/>
    </row>
    <row r="797">
      <c r="J797" s="87" t="n"/>
      <c r="L797" s="87" t="n"/>
      <c r="M797" s="105" t="n"/>
      <c r="N797" s="106" t="n"/>
    </row>
    <row r="798">
      <c r="J798" s="87" t="n"/>
      <c r="L798" s="87" t="n"/>
      <c r="M798" s="105" t="n"/>
      <c r="N798" s="106" t="n"/>
    </row>
    <row r="799">
      <c r="J799" s="87" t="n"/>
      <c r="L799" s="87" t="n"/>
      <c r="M799" s="105" t="n"/>
      <c r="N799" s="106" t="n"/>
    </row>
    <row r="800">
      <c r="J800" s="87" t="n"/>
      <c r="L800" s="87" t="n"/>
      <c r="M800" s="105" t="n"/>
      <c r="N800" s="106" t="n"/>
    </row>
    <row r="801">
      <c r="J801" s="87" t="n"/>
      <c r="L801" s="87" t="n"/>
      <c r="M801" s="105" t="n"/>
      <c r="N801" s="106" t="n"/>
    </row>
    <row r="802">
      <c r="J802" s="87" t="n"/>
      <c r="L802" s="87" t="n"/>
      <c r="M802" s="105" t="n"/>
      <c r="N802" s="106" t="n"/>
    </row>
    <row r="803">
      <c r="J803" s="87" t="n"/>
      <c r="L803" s="87" t="n"/>
      <c r="M803" s="105" t="n"/>
      <c r="N803" s="106" t="n"/>
    </row>
    <row r="804">
      <c r="J804" s="87" t="n"/>
      <c r="L804" s="87" t="n"/>
      <c r="M804" s="105" t="n"/>
      <c r="N804" s="106" t="n"/>
    </row>
    <row r="805">
      <c r="J805" s="87" t="n"/>
      <c r="L805" s="87" t="n"/>
      <c r="M805" s="105" t="n"/>
      <c r="N805" s="106" t="n"/>
    </row>
    <row r="806">
      <c r="J806" s="87" t="n"/>
      <c r="L806" s="87" t="n"/>
      <c r="M806" s="105" t="n"/>
      <c r="N806" s="106" t="n"/>
    </row>
    <row r="807">
      <c r="J807" s="87" t="n"/>
      <c r="L807" s="87" t="n"/>
      <c r="M807" s="105" t="n"/>
      <c r="N807" s="106" t="n"/>
    </row>
    <row r="808">
      <c r="J808" s="87" t="n"/>
      <c r="L808" s="87" t="n"/>
      <c r="M808" s="105" t="n"/>
      <c r="N808" s="106" t="n"/>
    </row>
    <row r="809">
      <c r="J809" s="87" t="n"/>
      <c r="L809" s="87" t="n"/>
      <c r="M809" s="105" t="n"/>
      <c r="N809" s="106" t="n"/>
    </row>
    <row r="810">
      <c r="J810" s="87" t="n"/>
      <c r="L810" s="87" t="n"/>
      <c r="M810" s="105" t="n"/>
      <c r="N810" s="106" t="n"/>
    </row>
    <row r="811">
      <c r="J811" s="87" t="n"/>
      <c r="L811" s="87" t="n"/>
      <c r="M811" s="105" t="n"/>
      <c r="N811" s="106" t="n"/>
    </row>
    <row r="812">
      <c r="J812" s="87" t="n"/>
      <c r="L812" s="87" t="n"/>
      <c r="M812" s="105" t="n"/>
      <c r="N812" s="106" t="n"/>
    </row>
    <row r="813">
      <c r="J813" s="87" t="n"/>
      <c r="L813" s="87" t="n"/>
      <c r="M813" s="105" t="n"/>
      <c r="N813" s="106" t="n"/>
    </row>
    <row r="814">
      <c r="J814" s="87" t="n"/>
      <c r="L814" s="87" t="n"/>
      <c r="M814" s="105" t="n"/>
      <c r="N814" s="106" t="n"/>
    </row>
    <row r="815">
      <c r="J815" s="87" t="n"/>
      <c r="L815" s="87" t="n"/>
      <c r="M815" s="105" t="n"/>
      <c r="N815" s="106" t="n"/>
    </row>
    <row r="816">
      <c r="J816" s="87" t="n"/>
      <c r="L816" s="87" t="n"/>
      <c r="M816" s="105" t="n"/>
      <c r="N816" s="106" t="n"/>
    </row>
    <row r="817">
      <c r="J817" s="87" t="n"/>
      <c r="L817" s="87" t="n"/>
      <c r="M817" s="105" t="n"/>
      <c r="N817" s="106" t="n"/>
    </row>
    <row r="818">
      <c r="J818" s="87" t="n"/>
      <c r="L818" s="87" t="n"/>
      <c r="M818" s="105" t="n"/>
      <c r="N818" s="106" t="n"/>
    </row>
    <row r="819">
      <c r="J819" s="87" t="n"/>
      <c r="L819" s="87" t="n"/>
      <c r="M819" s="105" t="n"/>
      <c r="N819" s="106" t="n"/>
    </row>
    <row r="820">
      <c r="J820" s="87" t="n"/>
      <c r="L820" s="87" t="n"/>
      <c r="M820" s="105" t="n"/>
      <c r="N820" s="106" t="n"/>
    </row>
    <row r="821">
      <c r="J821" s="87" t="n"/>
      <c r="L821" s="87" t="n"/>
      <c r="M821" s="105" t="n"/>
      <c r="N821" s="106" t="n"/>
    </row>
    <row r="822">
      <c r="J822" s="87" t="n"/>
      <c r="L822" s="87" t="n"/>
      <c r="M822" s="105" t="n"/>
      <c r="N822" s="106" t="n"/>
    </row>
    <row r="823">
      <c r="J823" s="87" t="n"/>
      <c r="L823" s="87" t="n"/>
      <c r="M823" s="105" t="n"/>
      <c r="N823" s="106" t="n"/>
    </row>
    <row r="824">
      <c r="J824" s="87" t="n"/>
      <c r="L824" s="87" t="n"/>
      <c r="M824" s="105" t="n"/>
      <c r="N824" s="106" t="n"/>
    </row>
    <row r="825">
      <c r="J825" s="87" t="n"/>
      <c r="L825" s="87" t="n"/>
      <c r="M825" s="105" t="n"/>
      <c r="N825" s="106" t="n"/>
    </row>
    <row r="826">
      <c r="J826" s="87" t="n"/>
      <c r="L826" s="87" t="n"/>
      <c r="M826" s="105" t="n"/>
      <c r="N826" s="106" t="n"/>
    </row>
    <row r="827">
      <c r="J827" s="87" t="n"/>
      <c r="L827" s="87" t="n"/>
      <c r="M827" s="105" t="n"/>
      <c r="N827" s="106" t="n"/>
    </row>
    <row r="828">
      <c r="J828" s="87" t="n"/>
      <c r="L828" s="87" t="n"/>
      <c r="M828" s="105" t="n"/>
      <c r="N828" s="106" t="n"/>
    </row>
    <row r="829">
      <c r="J829" s="87" t="n"/>
      <c r="L829" s="87" t="n"/>
      <c r="M829" s="105" t="n"/>
      <c r="N829" s="106" t="n"/>
    </row>
    <row r="830">
      <c r="J830" s="87" t="n"/>
      <c r="L830" s="87" t="n"/>
      <c r="M830" s="105" t="n"/>
      <c r="N830" s="106" t="n"/>
    </row>
    <row r="831">
      <c r="J831" s="87" t="n"/>
      <c r="L831" s="87" t="n"/>
      <c r="M831" s="105" t="n"/>
      <c r="N831" s="106" t="n"/>
    </row>
    <row r="832">
      <c r="J832" s="87" t="n"/>
      <c r="L832" s="87" t="n"/>
      <c r="M832" s="105" t="n"/>
      <c r="N832" s="106" t="n"/>
    </row>
    <row r="833">
      <c r="J833" s="87" t="n"/>
      <c r="L833" s="87" t="n"/>
      <c r="M833" s="105" t="n"/>
      <c r="N833" s="106" t="n"/>
    </row>
    <row r="834">
      <c r="J834" s="87" t="n"/>
      <c r="L834" s="87" t="n"/>
      <c r="M834" s="105" t="n"/>
      <c r="N834" s="106" t="n"/>
    </row>
    <row r="835">
      <c r="J835" s="87" t="n"/>
      <c r="L835" s="87" t="n"/>
      <c r="M835" s="105" t="n"/>
      <c r="N835" s="106" t="n"/>
    </row>
    <row r="836">
      <c r="J836" s="87" t="n"/>
      <c r="L836" s="87" t="n"/>
      <c r="M836" s="105" t="n"/>
      <c r="N836" s="106" t="n"/>
    </row>
    <row r="837">
      <c r="J837" s="87" t="n"/>
      <c r="L837" s="87" t="n"/>
      <c r="M837" s="105" t="n"/>
      <c r="N837" s="106" t="n"/>
    </row>
    <row r="838">
      <c r="J838" s="87" t="n"/>
      <c r="L838" s="87" t="n"/>
      <c r="M838" s="105" t="n"/>
      <c r="N838" s="106" t="n"/>
    </row>
    <row r="839">
      <c r="J839" s="87" t="n"/>
      <c r="L839" s="87" t="n"/>
      <c r="M839" s="105" t="n"/>
      <c r="N839" s="106" t="n"/>
    </row>
    <row r="840">
      <c r="J840" s="87" t="n"/>
      <c r="L840" s="87" t="n"/>
      <c r="M840" s="105" t="n"/>
      <c r="N840" s="106" t="n"/>
    </row>
    <row r="841">
      <c r="J841" s="87" t="n"/>
      <c r="L841" s="87" t="n"/>
      <c r="M841" s="105" t="n"/>
      <c r="N841" s="106" t="n"/>
    </row>
    <row r="842">
      <c r="J842" s="87" t="n"/>
      <c r="L842" s="87" t="n"/>
      <c r="M842" s="105" t="n"/>
      <c r="N842" s="106" t="n"/>
    </row>
    <row r="843">
      <c r="J843" s="87" t="n"/>
      <c r="L843" s="87" t="n"/>
      <c r="M843" s="105" t="n"/>
      <c r="N843" s="106" t="n"/>
    </row>
    <row r="844">
      <c r="J844" s="87" t="n"/>
      <c r="L844" s="87" t="n"/>
      <c r="M844" s="105" t="n"/>
      <c r="N844" s="106" t="n"/>
    </row>
    <row r="845">
      <c r="J845" s="87" t="n"/>
      <c r="L845" s="87" t="n"/>
      <c r="M845" s="105" t="n"/>
      <c r="N845" s="106" t="n"/>
    </row>
    <row r="846">
      <c r="J846" s="87" t="n"/>
      <c r="L846" s="87" t="n"/>
      <c r="M846" s="105" t="n"/>
      <c r="N846" s="106" t="n"/>
    </row>
    <row r="847">
      <c r="J847" s="87" t="n"/>
      <c r="L847" s="87" t="n"/>
      <c r="M847" s="105" t="n"/>
      <c r="N847" s="106" t="n"/>
    </row>
    <row r="848">
      <c r="J848" s="87" t="n"/>
      <c r="L848" s="87" t="n"/>
      <c r="M848" s="105" t="n"/>
      <c r="N848" s="106" t="n"/>
    </row>
    <row r="849">
      <c r="J849" s="87" t="n"/>
      <c r="L849" s="87" t="n"/>
      <c r="M849" s="105" t="n"/>
      <c r="N849" s="106" t="n"/>
    </row>
    <row r="850">
      <c r="J850" s="87" t="n"/>
      <c r="L850" s="87" t="n"/>
      <c r="M850" s="105" t="n"/>
      <c r="N850" s="106" t="n"/>
    </row>
    <row r="851">
      <c r="J851" s="87" t="n"/>
      <c r="L851" s="87" t="n"/>
      <c r="M851" s="105" t="n"/>
      <c r="N851" s="106" t="n"/>
    </row>
    <row r="852">
      <c r="J852" s="87" t="n"/>
      <c r="L852" s="87" t="n"/>
      <c r="M852" s="105" t="n"/>
      <c r="N852" s="106" t="n"/>
    </row>
    <row r="853">
      <c r="J853" s="87" t="n"/>
      <c r="L853" s="87" t="n"/>
      <c r="M853" s="105" t="n"/>
      <c r="N853" s="106" t="n"/>
    </row>
    <row r="854">
      <c r="J854" s="87" t="n"/>
      <c r="L854" s="87" t="n"/>
      <c r="M854" s="105" t="n"/>
      <c r="N854" s="106" t="n"/>
    </row>
    <row r="855">
      <c r="J855" s="87" t="n"/>
      <c r="L855" s="87" t="n"/>
      <c r="M855" s="105" t="n"/>
      <c r="N855" s="106" t="n"/>
    </row>
    <row r="856">
      <c r="J856" s="87" t="n"/>
      <c r="L856" s="87" t="n"/>
      <c r="M856" s="105" t="n"/>
      <c r="N856" s="106" t="n"/>
    </row>
    <row r="857">
      <c r="J857" s="87" t="n"/>
      <c r="L857" s="87" t="n"/>
      <c r="M857" s="105" t="n"/>
      <c r="N857" s="106" t="n"/>
    </row>
    <row r="858">
      <c r="J858" s="87" t="n"/>
      <c r="L858" s="87" t="n"/>
      <c r="M858" s="105" t="n"/>
      <c r="N858" s="106" t="n"/>
    </row>
    <row r="859">
      <c r="J859" s="87" t="n"/>
      <c r="L859" s="87" t="n"/>
      <c r="M859" s="105" t="n"/>
      <c r="N859" s="106" t="n"/>
    </row>
    <row r="860">
      <c r="J860" s="87" t="n"/>
      <c r="L860" s="87" t="n"/>
      <c r="M860" s="105" t="n"/>
      <c r="N860" s="106" t="n"/>
    </row>
    <row r="861">
      <c r="J861" s="87" t="n"/>
      <c r="L861" s="87" t="n"/>
      <c r="M861" s="105" t="n"/>
      <c r="N861" s="106" t="n"/>
    </row>
    <row r="862">
      <c r="J862" s="87" t="n"/>
      <c r="L862" s="87" t="n"/>
      <c r="M862" s="105" t="n"/>
      <c r="N862" s="106" t="n"/>
    </row>
    <row r="863">
      <c r="J863" s="87" t="n"/>
      <c r="L863" s="87" t="n"/>
      <c r="M863" s="105" t="n"/>
      <c r="N863" s="106" t="n"/>
    </row>
    <row r="864">
      <c r="J864" s="87" t="n"/>
      <c r="L864" s="87" t="n"/>
      <c r="M864" s="105" t="n"/>
      <c r="N864" s="106" t="n"/>
    </row>
    <row r="865">
      <c r="J865" s="87" t="n"/>
      <c r="L865" s="87" t="n"/>
      <c r="M865" s="105" t="n"/>
      <c r="N865" s="106" t="n"/>
    </row>
    <row r="866">
      <c r="J866" s="87" t="n"/>
      <c r="L866" s="87" t="n"/>
      <c r="M866" s="105" t="n"/>
      <c r="N866" s="106" t="n"/>
    </row>
    <row r="867">
      <c r="J867" s="87" t="n"/>
      <c r="L867" s="87" t="n"/>
      <c r="M867" s="105" t="n"/>
      <c r="N867" s="106" t="n"/>
    </row>
    <row r="868">
      <c r="J868" s="87" t="n"/>
      <c r="L868" s="87" t="n"/>
      <c r="M868" s="105" t="n"/>
      <c r="N868" s="106" t="n"/>
    </row>
    <row r="869">
      <c r="J869" s="87" t="n"/>
      <c r="L869" s="87" t="n"/>
      <c r="M869" s="105" t="n"/>
      <c r="N869" s="106" t="n"/>
    </row>
    <row r="870">
      <c r="J870" s="87" t="n"/>
      <c r="L870" s="87" t="n"/>
      <c r="M870" s="105" t="n"/>
      <c r="N870" s="106" t="n"/>
    </row>
    <row r="871">
      <c r="J871" s="87" t="n"/>
      <c r="L871" s="87" t="n"/>
      <c r="M871" s="105" t="n"/>
      <c r="N871" s="106" t="n"/>
    </row>
    <row r="872">
      <c r="J872" s="87" t="n"/>
      <c r="L872" s="87" t="n"/>
      <c r="M872" s="105" t="n"/>
      <c r="N872" s="106" t="n"/>
    </row>
    <row r="873">
      <c r="J873" s="87" t="n"/>
      <c r="L873" s="87" t="n"/>
      <c r="M873" s="105" t="n"/>
      <c r="N873" s="106" t="n"/>
    </row>
    <row r="874">
      <c r="J874" s="87" t="n"/>
      <c r="L874" s="87" t="n"/>
      <c r="M874" s="105" t="n"/>
      <c r="N874" s="106" t="n"/>
    </row>
    <row r="875">
      <c r="J875" s="87" t="n"/>
      <c r="L875" s="87" t="n"/>
      <c r="M875" s="105" t="n"/>
      <c r="N875" s="106" t="n"/>
    </row>
    <row r="876">
      <c r="J876" s="87" t="n"/>
      <c r="L876" s="87" t="n"/>
      <c r="M876" s="105" t="n"/>
      <c r="N876" s="106" t="n"/>
    </row>
    <row r="877">
      <c r="J877" s="87" t="n"/>
      <c r="L877" s="87" t="n"/>
      <c r="M877" s="105" t="n"/>
      <c r="N877" s="106" t="n"/>
    </row>
    <row r="878">
      <c r="J878" s="87" t="n"/>
      <c r="L878" s="87" t="n"/>
      <c r="M878" s="105" t="n"/>
      <c r="N878" s="106" t="n"/>
    </row>
    <row r="879">
      <c r="J879" s="87" t="n"/>
      <c r="L879" s="87" t="n"/>
      <c r="M879" s="105" t="n"/>
      <c r="N879" s="106" t="n"/>
    </row>
    <row r="880">
      <c r="J880" s="87" t="n"/>
      <c r="L880" s="87" t="n"/>
      <c r="M880" s="105" t="n"/>
      <c r="N880" s="106" t="n"/>
    </row>
    <row r="881">
      <c r="J881" s="87" t="n"/>
      <c r="L881" s="87" t="n"/>
      <c r="M881" s="105" t="n"/>
      <c r="N881" s="106" t="n"/>
    </row>
    <row r="882">
      <c r="J882" s="87" t="n"/>
      <c r="L882" s="87" t="n"/>
      <c r="M882" s="105" t="n"/>
      <c r="N882" s="106" t="n"/>
    </row>
    <row r="883">
      <c r="J883" s="87" t="n"/>
      <c r="L883" s="87" t="n"/>
      <c r="M883" s="105" t="n"/>
      <c r="N883" s="106" t="n"/>
    </row>
    <row r="884">
      <c r="J884" s="87" t="n"/>
      <c r="L884" s="87" t="n"/>
      <c r="M884" s="105" t="n"/>
      <c r="N884" s="106" t="n"/>
    </row>
    <row r="885">
      <c r="J885" s="87" t="n"/>
      <c r="L885" s="87" t="n"/>
      <c r="M885" s="105" t="n"/>
      <c r="N885" s="106" t="n"/>
    </row>
    <row r="886">
      <c r="J886" s="87" t="n"/>
      <c r="L886" s="87" t="n"/>
      <c r="M886" s="105" t="n"/>
      <c r="N886" s="106" t="n"/>
    </row>
    <row r="887">
      <c r="J887" s="87" t="n"/>
      <c r="L887" s="87" t="n"/>
      <c r="M887" s="105" t="n"/>
      <c r="N887" s="106" t="n"/>
    </row>
    <row r="888">
      <c r="J888" s="87" t="n"/>
      <c r="L888" s="87" t="n"/>
      <c r="M888" s="105" t="n"/>
      <c r="N888" s="106" t="n"/>
    </row>
    <row r="889">
      <c r="J889" s="87" t="n"/>
      <c r="L889" s="87" t="n"/>
      <c r="M889" s="105" t="n"/>
      <c r="N889" s="106" t="n"/>
    </row>
    <row r="890">
      <c r="J890" s="87" t="n"/>
      <c r="L890" s="87" t="n"/>
      <c r="M890" s="105" t="n"/>
      <c r="N890" s="106" t="n"/>
    </row>
    <row r="891">
      <c r="J891" s="87" t="n"/>
      <c r="L891" s="87" t="n"/>
      <c r="M891" s="105" t="n"/>
      <c r="N891" s="106" t="n"/>
    </row>
    <row r="892">
      <c r="J892" s="87" t="n"/>
      <c r="L892" s="87" t="n"/>
      <c r="M892" s="105" t="n"/>
      <c r="N892" s="106" t="n"/>
    </row>
    <row r="893">
      <c r="J893" s="87" t="n"/>
      <c r="L893" s="87" t="n"/>
      <c r="M893" s="105" t="n"/>
      <c r="N893" s="106" t="n"/>
    </row>
    <row r="894">
      <c r="J894" s="87" t="n"/>
      <c r="L894" s="87" t="n"/>
      <c r="M894" s="105" t="n"/>
      <c r="N894" s="106" t="n"/>
    </row>
    <row r="895">
      <c r="J895" s="87" t="n"/>
      <c r="L895" s="87" t="n"/>
      <c r="M895" s="105" t="n"/>
      <c r="N895" s="106" t="n"/>
    </row>
    <row r="896">
      <c r="J896" s="87" t="n"/>
      <c r="L896" s="87" t="n"/>
      <c r="M896" s="105" t="n"/>
      <c r="N896" s="106" t="n"/>
    </row>
    <row r="897">
      <c r="J897" s="87" t="n"/>
      <c r="L897" s="87" t="n"/>
      <c r="M897" s="105" t="n"/>
      <c r="N897" s="106" t="n"/>
    </row>
    <row r="898">
      <c r="J898" s="87" t="n"/>
      <c r="L898" s="87" t="n"/>
      <c r="M898" s="105" t="n"/>
      <c r="N898" s="106" t="n"/>
    </row>
    <row r="899">
      <c r="J899" s="87" t="n"/>
      <c r="L899" s="87" t="n"/>
      <c r="M899" s="105" t="n"/>
      <c r="N899" s="106" t="n"/>
    </row>
    <row r="900">
      <c r="J900" s="87" t="n"/>
      <c r="L900" s="87" t="n"/>
      <c r="M900" s="105" t="n"/>
      <c r="N900" s="106" t="n"/>
    </row>
    <row r="901">
      <c r="J901" s="87" t="n"/>
      <c r="L901" s="87" t="n"/>
      <c r="M901" s="105" t="n"/>
      <c r="N901" s="106" t="n"/>
    </row>
    <row r="902">
      <c r="J902" s="87" t="n"/>
      <c r="L902" s="87" t="n"/>
      <c r="M902" s="105" t="n"/>
      <c r="N902" s="106" t="n"/>
    </row>
    <row r="903">
      <c r="J903" s="87" t="n"/>
      <c r="L903" s="87" t="n"/>
      <c r="M903" s="105" t="n"/>
      <c r="N903" s="106" t="n"/>
    </row>
    <row r="904">
      <c r="J904" s="87" t="n"/>
      <c r="L904" s="87" t="n"/>
      <c r="M904" s="105" t="n"/>
      <c r="N904" s="106" t="n"/>
    </row>
    <row r="905">
      <c r="J905" s="87" t="n"/>
      <c r="L905" s="87" t="n"/>
      <c r="M905" s="105" t="n"/>
      <c r="N905" s="106" t="n"/>
    </row>
    <row r="906">
      <c r="J906" s="87" t="n"/>
      <c r="L906" s="87" t="n"/>
      <c r="M906" s="105" t="n"/>
      <c r="N906" s="106" t="n"/>
    </row>
    <row r="907">
      <c r="J907" s="87" t="n"/>
      <c r="L907" s="87" t="n"/>
      <c r="M907" s="105" t="n"/>
      <c r="N907" s="106" t="n"/>
    </row>
    <row r="908">
      <c r="J908" s="87" t="n"/>
      <c r="L908" s="87" t="n"/>
      <c r="M908" s="105" t="n"/>
      <c r="N908" s="106" t="n"/>
    </row>
    <row r="909">
      <c r="J909" s="87" t="n"/>
      <c r="L909" s="87" t="n"/>
      <c r="M909" s="105" t="n"/>
      <c r="N909" s="106" t="n"/>
    </row>
    <row r="910">
      <c r="J910" s="87" t="n"/>
      <c r="L910" s="87" t="n"/>
      <c r="M910" s="105" t="n"/>
      <c r="N910" s="106" t="n"/>
    </row>
    <row r="911">
      <c r="J911" s="87" t="n"/>
      <c r="L911" s="87" t="n"/>
      <c r="M911" s="105" t="n"/>
      <c r="N911" s="106" t="n"/>
    </row>
    <row r="912">
      <c r="J912" s="87" t="n"/>
      <c r="L912" s="87" t="n"/>
      <c r="M912" s="105" t="n"/>
      <c r="N912" s="106" t="n"/>
    </row>
    <row r="913">
      <c r="J913" s="87" t="n"/>
      <c r="L913" s="87" t="n"/>
      <c r="M913" s="105" t="n"/>
      <c r="N913" s="106" t="n"/>
    </row>
    <row r="914">
      <c r="J914" s="87" t="n"/>
      <c r="L914" s="87" t="n"/>
      <c r="M914" s="105" t="n"/>
      <c r="N914" s="106" t="n"/>
    </row>
    <row r="915">
      <c r="J915" s="87" t="n"/>
      <c r="L915" s="87" t="n"/>
      <c r="M915" s="105" t="n"/>
      <c r="N915" s="106" t="n"/>
    </row>
    <row r="916">
      <c r="J916" s="87" t="n"/>
      <c r="L916" s="87" t="n"/>
      <c r="M916" s="105" t="n"/>
      <c r="N916" s="106" t="n"/>
    </row>
    <row r="917">
      <c r="J917" s="87" t="n"/>
      <c r="L917" s="87" t="n"/>
      <c r="M917" s="105" t="n"/>
      <c r="N917" s="106" t="n"/>
    </row>
    <row r="918">
      <c r="J918" s="87" t="n"/>
      <c r="L918" s="87" t="n"/>
      <c r="M918" s="105" t="n"/>
      <c r="N918" s="106" t="n"/>
    </row>
    <row r="919">
      <c r="J919" s="87" t="n"/>
      <c r="L919" s="87" t="n"/>
      <c r="M919" s="105" t="n"/>
      <c r="N919" s="106" t="n"/>
    </row>
    <row r="920">
      <c r="J920" s="87" t="n"/>
      <c r="L920" s="87" t="n"/>
      <c r="M920" s="105" t="n"/>
      <c r="N920" s="106" t="n"/>
    </row>
    <row r="921">
      <c r="J921" s="87" t="n"/>
      <c r="L921" s="87" t="n"/>
      <c r="M921" s="105" t="n"/>
      <c r="N921" s="106" t="n"/>
    </row>
    <row r="922">
      <c r="J922" s="87" t="n"/>
      <c r="L922" s="87" t="n"/>
      <c r="M922" s="105" t="n"/>
      <c r="N922" s="106" t="n"/>
    </row>
    <row r="923">
      <c r="J923" s="87" t="n"/>
      <c r="L923" s="87" t="n"/>
      <c r="M923" s="105" t="n"/>
      <c r="N923" s="106" t="n"/>
    </row>
    <row r="924">
      <c r="J924" s="87" t="n"/>
      <c r="L924" s="87" t="n"/>
      <c r="M924" s="105" t="n"/>
      <c r="N924" s="106" t="n"/>
    </row>
    <row r="925">
      <c r="J925" s="87" t="n"/>
      <c r="L925" s="87" t="n"/>
      <c r="M925" s="105" t="n"/>
      <c r="N925" s="106" t="n"/>
    </row>
    <row r="926">
      <c r="J926" s="87" t="n"/>
      <c r="L926" s="87" t="n"/>
      <c r="M926" s="105" t="n"/>
      <c r="N926" s="106" t="n"/>
    </row>
    <row r="927">
      <c r="J927" s="87" t="n"/>
      <c r="L927" s="87" t="n"/>
      <c r="M927" s="105" t="n"/>
      <c r="N927" s="106" t="n"/>
    </row>
    <row r="928">
      <c r="J928" s="87" t="n"/>
      <c r="L928" s="87" t="n"/>
      <c r="M928" s="105" t="n"/>
      <c r="N928" s="106" t="n"/>
    </row>
    <row r="929">
      <c r="J929" s="87" t="n"/>
      <c r="L929" s="87" t="n"/>
      <c r="M929" s="105" t="n"/>
      <c r="N929" s="106" t="n"/>
    </row>
    <row r="930">
      <c r="J930" s="87" t="n"/>
      <c r="L930" s="87" t="n"/>
      <c r="M930" s="105" t="n"/>
      <c r="N930" s="106" t="n"/>
    </row>
    <row r="931">
      <c r="J931" s="87" t="n"/>
      <c r="L931" s="87" t="n"/>
      <c r="M931" s="105" t="n"/>
      <c r="N931" s="106" t="n"/>
    </row>
    <row r="932">
      <c r="J932" s="87" t="n"/>
      <c r="L932" s="87" t="n"/>
      <c r="M932" s="105" t="n"/>
      <c r="N932" s="106" t="n"/>
    </row>
    <row r="933">
      <c r="J933" s="87" t="n"/>
      <c r="L933" s="87" t="n"/>
      <c r="M933" s="105" t="n"/>
      <c r="N933" s="106" t="n"/>
    </row>
    <row r="934">
      <c r="J934" s="87" t="n"/>
      <c r="L934" s="87" t="n"/>
      <c r="M934" s="105" t="n"/>
      <c r="N934" s="106" t="n"/>
    </row>
    <row r="935">
      <c r="J935" s="87" t="n"/>
      <c r="L935" s="87" t="n"/>
      <c r="M935" s="105" t="n"/>
      <c r="N935" s="106" t="n"/>
    </row>
    <row r="936">
      <c r="J936" s="87" t="n"/>
      <c r="L936" s="87" t="n"/>
      <c r="M936" s="105" t="n"/>
      <c r="N936" s="106" t="n"/>
    </row>
    <row r="937">
      <c r="J937" s="87" t="n"/>
      <c r="L937" s="87" t="n"/>
      <c r="M937" s="105" t="n"/>
      <c r="N937" s="106" t="n"/>
    </row>
    <row r="938">
      <c r="J938" s="87" t="n"/>
      <c r="L938" s="87" t="n"/>
      <c r="M938" s="105" t="n"/>
      <c r="N938" s="106" t="n"/>
    </row>
    <row r="939">
      <c r="J939" s="87" t="n"/>
      <c r="L939" s="87" t="n"/>
      <c r="M939" s="105" t="n"/>
      <c r="N939" s="106" t="n"/>
    </row>
    <row r="940">
      <c r="J940" s="87" t="n"/>
      <c r="L940" s="87" t="n"/>
      <c r="M940" s="105" t="n"/>
      <c r="N940" s="106" t="n"/>
    </row>
    <row r="941">
      <c r="J941" s="87" t="n"/>
      <c r="L941" s="87" t="n"/>
      <c r="M941" s="105" t="n"/>
      <c r="N941" s="106" t="n"/>
    </row>
    <row r="942">
      <c r="J942" s="87" t="n"/>
      <c r="L942" s="87" t="n"/>
      <c r="M942" s="105" t="n"/>
      <c r="N942" s="106" t="n"/>
    </row>
    <row r="943">
      <c r="J943" s="87" t="n"/>
      <c r="L943" s="87" t="n"/>
      <c r="M943" s="105" t="n"/>
      <c r="N943" s="106" t="n"/>
    </row>
    <row r="944">
      <c r="J944" s="87" t="n"/>
      <c r="L944" s="87" t="n"/>
      <c r="M944" s="105" t="n"/>
      <c r="N944" s="106" t="n"/>
    </row>
    <row r="945">
      <c r="J945" s="87" t="n"/>
      <c r="L945" s="87" t="n"/>
      <c r="M945" s="105" t="n"/>
      <c r="N945" s="106" t="n"/>
    </row>
    <row r="946">
      <c r="J946" s="87" t="n"/>
      <c r="L946" s="87" t="n"/>
      <c r="M946" s="105" t="n"/>
      <c r="N946" s="106" t="n"/>
    </row>
    <row r="947">
      <c r="J947" s="87" t="n"/>
      <c r="L947" s="87" t="n"/>
      <c r="M947" s="105" t="n"/>
      <c r="N947" s="106" t="n"/>
    </row>
    <row r="948">
      <c r="J948" s="87" t="n"/>
      <c r="L948" s="87" t="n"/>
      <c r="M948" s="105" t="n"/>
      <c r="N948" s="106" t="n"/>
    </row>
    <row r="949">
      <c r="J949" s="87" t="n"/>
      <c r="L949" s="87" t="n"/>
      <c r="M949" s="105" t="n"/>
      <c r="N949" s="106" t="n"/>
    </row>
    <row r="950">
      <c r="J950" s="87" t="n"/>
      <c r="L950" s="87" t="n"/>
      <c r="M950" s="105" t="n"/>
      <c r="N950" s="106" t="n"/>
    </row>
    <row r="951">
      <c r="J951" s="87" t="n"/>
      <c r="L951" s="87" t="n"/>
      <c r="M951" s="105" t="n"/>
      <c r="N951" s="106" t="n"/>
    </row>
    <row r="952">
      <c r="J952" s="87" t="n"/>
      <c r="L952" s="87" t="n"/>
      <c r="M952" s="105" t="n"/>
      <c r="N952" s="106" t="n"/>
    </row>
    <row r="953">
      <c r="J953" s="87" t="n"/>
      <c r="L953" s="87" t="n"/>
      <c r="M953" s="105" t="n"/>
      <c r="N953" s="106" t="n"/>
    </row>
    <row r="954">
      <c r="J954" s="87" t="n"/>
      <c r="L954" s="87" t="n"/>
      <c r="M954" s="105" t="n"/>
      <c r="N954" s="106" t="n"/>
    </row>
    <row r="955">
      <c r="J955" s="87" t="n"/>
      <c r="L955" s="87" t="n"/>
      <c r="M955" s="105" t="n"/>
      <c r="N955" s="106" t="n"/>
    </row>
    <row r="956">
      <c r="J956" s="87" t="n"/>
      <c r="L956" s="87" t="n"/>
      <c r="M956" s="105" t="n"/>
      <c r="N956" s="106" t="n"/>
    </row>
    <row r="957">
      <c r="J957" s="87" t="n"/>
      <c r="L957" s="87" t="n"/>
      <c r="M957" s="105" t="n"/>
      <c r="N957" s="106" t="n"/>
    </row>
    <row r="958">
      <c r="J958" s="87" t="n"/>
      <c r="L958" s="87" t="n"/>
      <c r="M958" s="105" t="n"/>
      <c r="N958" s="106" t="n"/>
    </row>
    <row r="959">
      <c r="J959" s="87" t="n"/>
      <c r="L959" s="87" t="n"/>
      <c r="M959" s="105" t="n"/>
      <c r="N959" s="106" t="n"/>
    </row>
    <row r="960">
      <c r="J960" s="87" t="n"/>
      <c r="L960" s="87" t="n"/>
      <c r="M960" s="105" t="n"/>
      <c r="N960" s="106" t="n"/>
    </row>
    <row r="961">
      <c r="J961" s="87" t="n"/>
      <c r="L961" s="87" t="n"/>
      <c r="M961" s="105" t="n"/>
      <c r="N961" s="106" t="n"/>
    </row>
    <row r="962">
      <c r="J962" s="87" t="n"/>
      <c r="L962" s="87" t="n"/>
      <c r="M962" s="105" t="n"/>
      <c r="N962" s="106" t="n"/>
    </row>
    <row r="963">
      <c r="J963" s="87" t="n"/>
      <c r="L963" s="87" t="n"/>
      <c r="M963" s="105" t="n"/>
      <c r="N963" s="106" t="n"/>
    </row>
    <row r="964">
      <c r="J964" s="87" t="n"/>
      <c r="L964" s="87" t="n"/>
      <c r="M964" s="105" t="n"/>
      <c r="N964" s="106" t="n"/>
    </row>
    <row r="965">
      <c r="J965" s="87" t="n"/>
      <c r="L965" s="87" t="n"/>
      <c r="M965" s="105" t="n"/>
      <c r="N965" s="106" t="n"/>
    </row>
    <row r="966">
      <c r="J966" s="87" t="n"/>
      <c r="L966" s="87" t="n"/>
      <c r="M966" s="105" t="n"/>
      <c r="N966" s="106" t="n"/>
    </row>
    <row r="967">
      <c r="J967" s="87" t="n"/>
      <c r="L967" s="87" t="n"/>
      <c r="M967" s="105" t="n"/>
      <c r="N967" s="106" t="n"/>
    </row>
    <row r="968">
      <c r="J968" s="87" t="n"/>
      <c r="L968" s="87" t="n"/>
      <c r="M968" s="105" t="n"/>
      <c r="N968" s="106" t="n"/>
    </row>
    <row r="969">
      <c r="J969" s="87" t="n"/>
      <c r="L969" s="87" t="n"/>
      <c r="M969" s="105" t="n"/>
      <c r="N969" s="106" t="n"/>
    </row>
    <row r="970">
      <c r="J970" s="87" t="n"/>
      <c r="L970" s="87" t="n"/>
      <c r="M970" s="105" t="n"/>
      <c r="N970" s="106" t="n"/>
    </row>
    <row r="971">
      <c r="J971" s="87" t="n"/>
      <c r="L971" s="87" t="n"/>
      <c r="M971" s="105" t="n"/>
      <c r="N971" s="106" t="n"/>
    </row>
    <row r="972">
      <c r="J972" s="87" t="n"/>
      <c r="L972" s="87" t="n"/>
      <c r="M972" s="105" t="n"/>
      <c r="N972" s="106" t="n"/>
    </row>
    <row r="973">
      <c r="J973" s="87" t="n"/>
      <c r="L973" s="87" t="n"/>
      <c r="M973" s="105" t="n"/>
      <c r="N973" s="106" t="n"/>
    </row>
    <row r="974">
      <c r="J974" s="87" t="n"/>
      <c r="L974" s="87" t="n"/>
      <c r="M974" s="105" t="n"/>
      <c r="N974" s="106" t="n"/>
    </row>
    <row r="975">
      <c r="J975" s="87" t="n"/>
      <c r="L975" s="87" t="n"/>
      <c r="M975" s="105" t="n"/>
      <c r="N975" s="106" t="n"/>
    </row>
    <row r="976">
      <c r="J976" s="87" t="n"/>
      <c r="L976" s="87" t="n"/>
      <c r="M976" s="105" t="n"/>
      <c r="N976" s="106" t="n"/>
    </row>
    <row r="977">
      <c r="J977" s="87" t="n"/>
      <c r="L977" s="87" t="n"/>
      <c r="M977" s="105" t="n"/>
      <c r="N977" s="106" t="n"/>
    </row>
    <row r="978">
      <c r="J978" s="87" t="n"/>
      <c r="L978" s="87" t="n"/>
      <c r="M978" s="105" t="n"/>
      <c r="N978" s="106" t="n"/>
    </row>
    <row r="979">
      <c r="J979" s="87" t="n"/>
      <c r="L979" s="87" t="n"/>
      <c r="M979" s="105" t="n"/>
      <c r="N979" s="106" t="n"/>
    </row>
    <row r="980">
      <c r="J980" s="87" t="n"/>
      <c r="L980" s="87" t="n"/>
      <c r="M980" s="105" t="n"/>
      <c r="N980" s="106" t="n"/>
    </row>
    <row r="981">
      <c r="J981" s="87" t="n"/>
      <c r="L981" s="87" t="n"/>
      <c r="M981" s="105" t="n"/>
      <c r="N981" s="106" t="n"/>
    </row>
    <row r="982">
      <c r="J982" s="87" t="n"/>
      <c r="L982" s="87" t="n"/>
      <c r="M982" s="105" t="n"/>
      <c r="N982" s="106" t="n"/>
    </row>
    <row r="983">
      <c r="J983" s="87" t="n"/>
      <c r="L983" s="87" t="n"/>
      <c r="M983" s="105" t="n"/>
      <c r="N983" s="106" t="n"/>
    </row>
    <row r="984">
      <c r="J984" s="87" t="n"/>
      <c r="L984" s="87" t="n"/>
      <c r="M984" s="105" t="n"/>
      <c r="N984" s="106" t="n"/>
    </row>
    <row r="985">
      <c r="J985" s="87" t="n"/>
      <c r="L985" s="87" t="n"/>
      <c r="M985" s="105" t="n"/>
      <c r="N985" s="106" t="n"/>
    </row>
    <row r="986">
      <c r="J986" s="87" t="n"/>
      <c r="L986" s="87" t="n"/>
      <c r="M986" s="105" t="n"/>
      <c r="N986" s="106" t="n"/>
    </row>
    <row r="987">
      <c r="J987" s="87" t="n"/>
      <c r="L987" s="87" t="n"/>
      <c r="M987" s="105" t="n"/>
      <c r="N987" s="106" t="n"/>
    </row>
    <row r="988">
      <c r="J988" s="87" t="n"/>
      <c r="L988" s="87" t="n"/>
      <c r="M988" s="105" t="n"/>
      <c r="N988" s="106" t="n"/>
    </row>
    <row r="989">
      <c r="J989" s="87" t="n"/>
      <c r="L989" s="87" t="n"/>
      <c r="M989" s="105" t="n"/>
      <c r="N989" s="106" t="n"/>
    </row>
    <row r="990">
      <c r="J990" s="87" t="n"/>
      <c r="L990" s="87" t="n"/>
      <c r="M990" s="105" t="n"/>
      <c r="N990" s="106" t="n"/>
    </row>
    <row r="991">
      <c r="J991" s="87" t="n"/>
      <c r="L991" s="87" t="n"/>
      <c r="M991" s="105" t="n"/>
      <c r="N991" s="106" t="n"/>
    </row>
    <row r="992">
      <c r="J992" s="87" t="n"/>
      <c r="L992" s="87" t="n"/>
      <c r="M992" s="105" t="n"/>
      <c r="N992" s="106" t="n"/>
    </row>
    <row r="993">
      <c r="J993" s="87" t="n"/>
      <c r="L993" s="87" t="n"/>
      <c r="M993" s="105" t="n"/>
      <c r="N993" s="106" t="n"/>
    </row>
    <row r="994">
      <c r="J994" s="87" t="n"/>
      <c r="L994" s="87" t="n"/>
      <c r="M994" s="105" t="n"/>
      <c r="N994" s="106" t="n"/>
    </row>
    <row r="995">
      <c r="J995" s="87" t="n"/>
      <c r="L995" s="87" t="n"/>
      <c r="M995" s="105" t="n"/>
      <c r="N995" s="106" t="n"/>
    </row>
    <row r="996">
      <c r="J996" s="87" t="n"/>
      <c r="L996" s="87" t="n"/>
      <c r="M996" s="105" t="n"/>
      <c r="N996" s="106" t="n"/>
    </row>
    <row r="997">
      <c r="J997" s="87" t="n"/>
      <c r="L997" s="87" t="n"/>
      <c r="M997" s="105" t="n"/>
      <c r="N997" s="106" t="n"/>
    </row>
    <row r="998">
      <c r="J998" s="87" t="n"/>
      <c r="L998" s="87" t="n"/>
      <c r="M998" s="105" t="n"/>
      <c r="N998" s="106" t="n"/>
    </row>
    <row r="999">
      <c r="J999" s="87" t="n"/>
      <c r="L999" s="87" t="n"/>
      <c r="M999" s="105" t="n"/>
      <c r="N999" s="106" t="n"/>
    </row>
    <row r="1000">
      <c r="J1000" s="87" t="n"/>
      <c r="L1000" s="87" t="n"/>
      <c r="M1000" s="105" t="n"/>
      <c r="N1000" s="106" t="n"/>
    </row>
  </sheetData>
  <mergeCells count="73">
    <mergeCell ref="B91:C91"/>
    <mergeCell ref="B97:C97"/>
    <mergeCell ref="A24:B24"/>
    <mergeCell ref="B100:C100"/>
    <mergeCell ref="B16:C16"/>
    <mergeCell ref="B54:C54"/>
    <mergeCell ref="B7:C7"/>
    <mergeCell ref="B90:C90"/>
    <mergeCell ref="B81:C81"/>
    <mergeCell ref="M111:N11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M110:N110"/>
    <mergeCell ref="B70:C70"/>
    <mergeCell ref="B21:C21"/>
    <mergeCell ref="B48:C48"/>
    <mergeCell ref="B52:C52"/>
    <mergeCell ref="B79:C79"/>
    <mergeCell ref="A99:B99"/>
    <mergeCell ref="B42:C42"/>
    <mergeCell ref="B61:C61"/>
    <mergeCell ref="A46:B46"/>
    <mergeCell ref="B101:C101"/>
    <mergeCell ref="B17:C17"/>
    <mergeCell ref="M99:N99"/>
    <mergeCell ref="B88:C88"/>
    <mergeCell ref="B8:C8"/>
    <mergeCell ref="B82:C82"/>
    <mergeCell ref="B53:C53"/>
    <mergeCell ref="B73:C73"/>
    <mergeCell ref="B69:C69"/>
    <mergeCell ref="B44:C44"/>
    <mergeCell ref="B38:C38"/>
    <mergeCell ref="B29:C29"/>
    <mergeCell ref="A77:B77"/>
    <mergeCell ref="M77:N77"/>
    <mergeCell ref="A111:C111"/>
    <mergeCell ref="B103:C103"/>
    <mergeCell ref="B19:C19"/>
    <mergeCell ref="B34:C34"/>
    <mergeCell ref="B28:C28"/>
    <mergeCell ref="M46:N46"/>
    <mergeCell ref="B37:C37"/>
    <mergeCell ref="B40:C40"/>
    <mergeCell ref="B49:C49"/>
    <mergeCell ref="B55:C55"/>
    <mergeCell ref="B92:C92"/>
    <mergeCell ref="M24:N24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41:C41"/>
    <mergeCell ref="B35:C35"/>
    <mergeCell ref="B106:C106"/>
    <mergeCell ref="M87:N8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Right="0"/>
    <pageSetUpPr/>
  </sheetPr>
  <dimension ref="A1:AB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 outlineLevelRow="1"/>
  <cols>
    <col width="31" customWidth="1" style="270" min="3" max="3"/>
    <col width="16.13" customWidth="1" style="270" min="4" max="4"/>
  </cols>
  <sheetData>
    <row r="1">
      <c r="A1" s="111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215" t="n"/>
      <c r="M1" s="87" t="n"/>
    </row>
    <row r="2">
      <c r="A2" s="186" t="inlineStr">
        <is>
          <t>VIGENCIA:</t>
        </is>
      </c>
      <c r="B2" s="108" t="n">
        <v>44998</v>
      </c>
      <c r="C2" s="223" t="n"/>
      <c r="D2" s="110" t="n"/>
      <c r="E2" s="111" t="n"/>
      <c r="F2" s="111" t="n"/>
      <c r="G2" s="111" t="n"/>
      <c r="H2" s="111" t="n"/>
      <c r="I2" s="215" t="n"/>
      <c r="M2" s="87" t="n"/>
    </row>
    <row r="3">
      <c r="A3" s="223" t="n"/>
      <c r="B3" s="223" t="n"/>
      <c r="C3" s="223" t="n"/>
      <c r="D3" s="215" t="n"/>
      <c r="E3" s="223" t="n"/>
      <c r="F3" s="223" t="n"/>
      <c r="G3" s="223" t="n"/>
      <c r="H3" s="223" t="n"/>
      <c r="I3" s="215" t="n"/>
      <c r="M3" s="87" t="n"/>
    </row>
    <row r="4">
      <c r="A4" s="117" t="inlineStr">
        <is>
          <t>JABONES</t>
        </is>
      </c>
      <c r="B4" s="223" t="n"/>
      <c r="C4" s="223" t="n"/>
      <c r="D4" s="118" t="inlineStr">
        <is>
          <t>Lista 20 con -7 y -2</t>
        </is>
      </c>
      <c r="E4" s="188" t="inlineStr">
        <is>
          <t xml:space="preserve">Mayorista </t>
        </is>
      </c>
      <c r="F4" s="188" t="inlineStr">
        <is>
          <t xml:space="preserve">Minorista </t>
        </is>
      </c>
      <c r="G4" s="188" t="inlineStr">
        <is>
          <t>Minorista con IVA</t>
        </is>
      </c>
      <c r="H4" s="188" t="inlineStr">
        <is>
          <t>Redondeado</t>
        </is>
      </c>
      <c r="I4" s="118" t="inlineStr">
        <is>
          <t>menos 20%</t>
        </is>
      </c>
      <c r="M4" s="87" t="inlineStr">
        <is>
          <t>Anterior</t>
        </is>
      </c>
    </row>
    <row r="5" outlineLevel="1" s="270">
      <c r="A5" s="131" t="n"/>
      <c r="B5" s="223" t="n"/>
      <c r="C5" s="223" t="n"/>
      <c r="D5" s="118" t="n"/>
      <c r="E5" s="188" t="n"/>
      <c r="F5" s="188" t="n"/>
      <c r="G5" s="188" t="n"/>
      <c r="H5" s="188" t="n"/>
      <c r="I5" s="118" t="n"/>
      <c r="M5" s="87" t="n"/>
    </row>
    <row r="6">
      <c r="A6" s="124" t="n"/>
      <c r="B6" s="223" t="n"/>
      <c r="C6" s="223" t="n"/>
      <c r="D6" s="237" t="n"/>
      <c r="E6" s="200" t="n"/>
      <c r="F6" s="200" t="n"/>
      <c r="G6" s="200" t="n"/>
      <c r="H6" s="200" t="n"/>
      <c r="I6" s="237" t="n"/>
      <c r="M6" s="87" t="n"/>
    </row>
    <row r="7">
      <c r="A7" s="124" t="n">
        <v>701</v>
      </c>
      <c r="B7" s="223" t="inlineStr">
        <is>
          <t>Botella 1 lt. Servicio Dilución DMQ</t>
        </is>
      </c>
      <c r="D7" s="237">
        <f>I7*0.93*0.98</f>
        <v/>
      </c>
      <c r="E7" s="237">
        <f>D7*1.3*1.105</f>
        <v/>
      </c>
      <c r="F7" s="237">
        <f>D7*1.3*1.105/0.9</f>
        <v/>
      </c>
      <c r="G7" s="237">
        <f>F7*1.21</f>
        <v/>
      </c>
      <c r="H7" s="237">
        <f>ROUND(G7/100,0)*100</f>
        <v/>
      </c>
      <c r="I7" s="127" t="n">
        <v>1169.06</v>
      </c>
      <c r="M7" s="87" t="n">
        <v>830.7137580000001</v>
      </c>
    </row>
    <row r="8">
      <c r="A8" s="124" t="n">
        <v>720</v>
      </c>
      <c r="B8" s="223" t="inlineStr">
        <is>
          <t>Bidon x 5 lts. Jabón Líquido Tocador</t>
        </is>
      </c>
      <c r="D8" s="237">
        <f>I8*0.93*0.98</f>
        <v/>
      </c>
      <c r="E8" s="237">
        <f>D8*1.3*1.105</f>
        <v/>
      </c>
      <c r="F8" s="237">
        <f>D8*1.3*1.105/0.9</f>
        <v/>
      </c>
      <c r="G8" s="237">
        <f>F8*1.21</f>
        <v/>
      </c>
      <c r="H8" s="237">
        <f>ROUND(G8/100,0)*100</f>
        <v/>
      </c>
      <c r="I8" s="230" t="n">
        <v>3666.6</v>
      </c>
      <c r="M8" s="87" t="n">
        <v>2605.437408</v>
      </c>
    </row>
    <row r="9">
      <c r="A9" s="124" t="n"/>
      <c r="B9" s="223" t="n"/>
      <c r="C9" s="223" t="n"/>
      <c r="D9" s="237" t="n"/>
      <c r="E9" s="200" t="n"/>
      <c r="F9" s="200" t="n"/>
      <c r="G9" s="200" t="n"/>
      <c r="H9" s="200" t="n"/>
      <c r="I9" s="215" t="n"/>
      <c r="M9" s="87" t="n"/>
    </row>
    <row r="10">
      <c r="A10" s="117" t="inlineStr">
        <is>
          <t>TOALLAS</t>
        </is>
      </c>
      <c r="B10" s="223" t="n"/>
      <c r="C10" s="223" t="n"/>
      <c r="D10" s="237" t="n"/>
      <c r="E10" s="200" t="n"/>
      <c r="F10" s="200" t="n"/>
      <c r="G10" s="200" t="n"/>
      <c r="H10" s="200" t="n"/>
      <c r="I10" s="215" t="n"/>
      <c r="M10" s="87" t="n"/>
    </row>
    <row r="11">
      <c r="A11" s="131" t="n"/>
      <c r="B11" s="223" t="n"/>
      <c r="C11" s="223" t="n"/>
      <c r="D11" s="237" t="n"/>
      <c r="E11" s="200" t="n"/>
      <c r="F11" s="200" t="n"/>
      <c r="G11" s="200" t="n"/>
      <c r="H11" s="200" t="n"/>
      <c r="I11" s="215" t="n"/>
      <c r="M11" s="87" t="n"/>
    </row>
    <row r="12">
      <c r="A12" s="124" t="n">
        <v>901</v>
      </c>
      <c r="B12" s="223" t="inlineStr">
        <is>
          <t>Toallas Blancas Super 21x25</t>
        </is>
      </c>
      <c r="C12" s="223" t="n"/>
      <c r="D12" s="237">
        <f>I12*0.93*0.98</f>
        <v/>
      </c>
      <c r="E12" s="237">
        <f>D12*1.3*1.105</f>
        <v/>
      </c>
      <c r="F12" s="237">
        <f>D12*1.3*1.105/0.9</f>
        <v/>
      </c>
      <c r="G12" s="237">
        <f>F12*1.21</f>
        <v/>
      </c>
      <c r="H12" s="237">
        <f>ROUND(G12/100,0)*100</f>
        <v/>
      </c>
      <c r="I12" s="127" t="n">
        <v>4350.88</v>
      </c>
      <c r="M12" s="87" t="n">
        <v>3091.678422</v>
      </c>
    </row>
    <row r="13">
      <c r="A13" s="124" t="n">
        <v>902</v>
      </c>
      <c r="B13" s="223" t="inlineStr">
        <is>
          <t>Toallas Blancas Pura Simple</t>
        </is>
      </c>
      <c r="C13" s="223" t="n"/>
      <c r="D13" s="237">
        <f>I13*0.93*0.98</f>
        <v/>
      </c>
      <c r="E13" s="237">
        <f>D13*1.3*1.105</f>
        <v/>
      </c>
      <c r="F13" s="237">
        <f>D13*1.3*1.105/0.9</f>
        <v/>
      </c>
      <c r="G13" s="237">
        <f>F13*1.21</f>
        <v/>
      </c>
      <c r="H13" s="237">
        <f>ROUND(G13/100,0)*100</f>
        <v/>
      </c>
      <c r="I13" s="230" t="n">
        <v>4824.2</v>
      </c>
      <c r="M13" s="87" t="n">
        <v>3428.012364</v>
      </c>
    </row>
    <row r="14">
      <c r="A14" s="124" t="n">
        <v>903</v>
      </c>
      <c r="B14" s="223" t="inlineStr">
        <is>
          <t>Toallas Blancas Pura Doble</t>
        </is>
      </c>
      <c r="C14" s="223" t="n"/>
      <c r="D14" s="237">
        <f>I14*0.93*0.98</f>
        <v/>
      </c>
      <c r="E14" s="237">
        <f>D14*1.3*1.105</f>
        <v/>
      </c>
      <c r="F14" s="237">
        <f>D14*1.3*1.105/0.9</f>
        <v/>
      </c>
      <c r="G14" s="237">
        <f>F14*1.21</f>
        <v/>
      </c>
      <c r="H14" s="237">
        <f>ROUND(G14/100,0)*100</f>
        <v/>
      </c>
      <c r="I14" s="230" t="n">
        <v>6012.08</v>
      </c>
      <c r="M14" s="87" t="n">
        <v>4272.105474</v>
      </c>
    </row>
    <row r="15">
      <c r="A15" s="124" t="n">
        <v>914</v>
      </c>
      <c r="B15" s="223" t="inlineStr">
        <is>
          <t>Toalla Blanca Unitas (17,5x25 cm)</t>
        </is>
      </c>
      <c r="D15" s="237">
        <f>I15*0.93*0.98</f>
        <v/>
      </c>
      <c r="E15" s="237">
        <f>D15*1.3*1.105</f>
        <v/>
      </c>
      <c r="F15" s="237">
        <f>D15*1.3*1.105/0.9</f>
        <v/>
      </c>
      <c r="G15" s="237">
        <f>F15*1.21</f>
        <v/>
      </c>
      <c r="H15" s="237">
        <f>ROUND(G15/100,0)*100</f>
        <v/>
      </c>
      <c r="I15" s="230" t="n">
        <v>3315.24</v>
      </c>
      <c r="M15" s="87" t="n">
        <v>2355.768492</v>
      </c>
    </row>
    <row r="16">
      <c r="A16" s="124" t="n">
        <v>916</v>
      </c>
      <c r="B16" s="223" t="inlineStr">
        <is>
          <t>Toalla Blanca Especial 21 x 25 ( tiza )</t>
        </is>
      </c>
      <c r="D16" s="237">
        <f>I16*0.93*0.98</f>
        <v/>
      </c>
      <c r="E16" s="237">
        <f>D16*1.3*1.105</f>
        <v/>
      </c>
      <c r="F16" s="237">
        <f>D16*1.3*1.105/0.9</f>
        <v/>
      </c>
      <c r="G16" s="237">
        <f>F16*1.21</f>
        <v/>
      </c>
      <c r="H16" s="237">
        <f>ROUND(G16/100,0)*100</f>
        <v/>
      </c>
      <c r="I16" s="230" t="n">
        <v>4057.68</v>
      </c>
      <c r="M16" s="87" t="n">
        <v>2883.323268</v>
      </c>
    </row>
    <row r="17">
      <c r="A17" s="124" t="n">
        <v>920</v>
      </c>
      <c r="B17" s="223" t="inlineStr">
        <is>
          <t>Toalla Blanca Especial 21 x 37 ( tiza )</t>
        </is>
      </c>
      <c r="D17" s="237">
        <f>I17*0.93*0.98</f>
        <v/>
      </c>
      <c r="E17" s="237">
        <f>D17*1.3*1.105</f>
        <v/>
      </c>
      <c r="F17" s="237">
        <f>D17*1.3*1.105/0.9</f>
        <v/>
      </c>
      <c r="G17" s="237">
        <f>F17*1.21</f>
        <v/>
      </c>
      <c r="H17" s="237">
        <f>ROUND(G17/100,0)*100</f>
        <v/>
      </c>
      <c r="I17" s="230" t="n">
        <v>5535.28</v>
      </c>
      <c r="M17" s="87" t="n">
        <v>3933.28341</v>
      </c>
    </row>
    <row r="18">
      <c r="A18" s="124" t="n">
        <v>927</v>
      </c>
      <c r="B18" s="223" t="inlineStr">
        <is>
          <t>Toalla Blanca Especial 17,5 x 25 ( tiza ) Unita</t>
        </is>
      </c>
      <c r="D18" s="237">
        <f>I18*0.93*0.98</f>
        <v/>
      </c>
      <c r="E18" s="237">
        <f>D18*1.3*1.105</f>
        <v/>
      </c>
      <c r="F18" s="237">
        <f>D18*1.3*1.105/0.9</f>
        <v/>
      </c>
      <c r="G18" s="237">
        <f>F18*1.21</f>
        <v/>
      </c>
      <c r="H18" s="237">
        <f>ROUND(G18/100,0)*100</f>
        <v/>
      </c>
      <c r="I18" s="230" t="n">
        <v>3180.7</v>
      </c>
      <c r="M18" s="87" t="n">
        <v>2260.18086</v>
      </c>
    </row>
    <row r="19">
      <c r="A19" s="124" t="n">
        <v>928</v>
      </c>
      <c r="B19" s="223" t="inlineStr">
        <is>
          <t>Cajas x 2500 Toallas Beige 21x37</t>
        </is>
      </c>
      <c r="D19" s="237">
        <f>I19*0.93*0.98</f>
        <v/>
      </c>
      <c r="E19" s="237">
        <f>D19*1.3*1.105</f>
        <v/>
      </c>
      <c r="F19" s="237">
        <f>D19*1.3*1.105/0.9</f>
        <v/>
      </c>
      <c r="G19" s="237">
        <f>F19*1.21</f>
        <v/>
      </c>
      <c r="H19" s="237">
        <f>ROUND(G19/100,0)*100</f>
        <v/>
      </c>
      <c r="I19" s="230" t="n">
        <v>4687.93</v>
      </c>
      <c r="M19" s="87" t="n">
        <v>3331.167</v>
      </c>
    </row>
    <row r="20">
      <c r="A20" s="124" t="n">
        <v>930</v>
      </c>
      <c r="B20" s="223" t="inlineStr">
        <is>
          <t>Toalla Blanca Super 21x37 cm</t>
        </is>
      </c>
      <c r="C20" s="223" t="n"/>
      <c r="D20" s="237">
        <f>I20*0.93*0.98</f>
        <v/>
      </c>
      <c r="E20" s="237">
        <f>D20*1.3*1.105</f>
        <v/>
      </c>
      <c r="F20" s="237">
        <f>D20*1.3*1.105/0.9</f>
        <v/>
      </c>
      <c r="G20" s="237">
        <f>F20*1.21</f>
        <v/>
      </c>
      <c r="H20" s="237">
        <f>ROUND(G20/100,0)*100</f>
        <v/>
      </c>
      <c r="I20" s="230" t="n">
        <v>5983.21</v>
      </c>
      <c r="M20" s="87" t="n">
        <v>4251.580746000001</v>
      </c>
    </row>
    <row r="21">
      <c r="A21" s="124" t="n">
        <v>931</v>
      </c>
      <c r="B21" s="223" t="inlineStr">
        <is>
          <t>Caja x 2500 Toallas Beige Unitas 17,5 cm x 25 cm</t>
        </is>
      </c>
      <c r="D21" s="237">
        <f>I21*0.93*0.98</f>
        <v/>
      </c>
      <c r="E21" s="237">
        <f>D21*1.3*1.105</f>
        <v/>
      </c>
      <c r="F21" s="237">
        <f>D21*1.3*1.105/0.9</f>
        <v/>
      </c>
      <c r="G21" s="237">
        <f>F21*1.21</f>
        <v/>
      </c>
      <c r="H21" s="237">
        <f>ROUND(G21/100,0)*100</f>
        <v/>
      </c>
      <c r="I21" s="230" t="n">
        <v>2926.26</v>
      </c>
      <c r="M21" s="87" t="n">
        <v>2079.3591</v>
      </c>
    </row>
    <row r="22">
      <c r="A22" s="124" t="n">
        <v>932</v>
      </c>
      <c r="B22" s="223" t="inlineStr">
        <is>
          <t>Caja x 2500 Toallas Beige 21 cm x 25 cm simple hoja</t>
        </is>
      </c>
      <c r="D22" s="237">
        <f>I22*0.93*0.98</f>
        <v/>
      </c>
      <c r="E22" s="237">
        <f>D22*1.3*1.105</f>
        <v/>
      </c>
      <c r="F22" s="237">
        <f>D22*1.3*1.105/0.9</f>
        <v/>
      </c>
      <c r="G22" s="237">
        <f>F22*1.21</f>
        <v/>
      </c>
      <c r="H22" s="237">
        <f>ROUND(G22/100,0)*100</f>
        <v/>
      </c>
      <c r="I22" s="230" t="n">
        <v>3336.44</v>
      </c>
      <c r="M22" s="87" t="n">
        <v>2370.815706</v>
      </c>
    </row>
    <row r="23">
      <c r="A23" s="124" t="n"/>
      <c r="B23" s="223" t="n"/>
      <c r="C23" s="223" t="n"/>
      <c r="D23" s="237" t="n"/>
      <c r="E23" s="200" t="n"/>
      <c r="F23" s="200" t="n"/>
      <c r="G23" s="200" t="n"/>
      <c r="H23" s="200" t="n"/>
      <c r="I23" s="215" t="n"/>
      <c r="M23" s="87" t="n"/>
    </row>
    <row r="24">
      <c r="A24" s="117" t="inlineStr">
        <is>
          <t>TOALLAS EN ROLLO</t>
        </is>
      </c>
      <c r="B24" s="271" t="n"/>
      <c r="C24" s="223" t="n"/>
      <c r="D24" s="237" t="n"/>
      <c r="E24" s="200" t="n"/>
      <c r="F24" s="200" t="n"/>
      <c r="G24" s="200" t="n"/>
      <c r="H24" s="200" t="n"/>
      <c r="I24" s="215" t="n"/>
      <c r="M24" s="87" t="n"/>
    </row>
    <row r="25">
      <c r="A25" s="131" t="n"/>
      <c r="B25" s="111" t="n"/>
      <c r="C25" s="223" t="n"/>
      <c r="D25" s="237" t="n"/>
      <c r="E25" s="200" t="n"/>
      <c r="F25" s="200" t="n"/>
      <c r="G25" s="200" t="n"/>
      <c r="H25" s="200" t="n"/>
      <c r="I25" s="215" t="n"/>
      <c r="M25" s="87" t="n"/>
    </row>
    <row r="26">
      <c r="A26" s="124" t="n">
        <v>204</v>
      </c>
      <c r="B26" s="223" t="inlineStr">
        <is>
          <t>Pack X 2 Rollos de toalla x 300 mts Blanca</t>
        </is>
      </c>
      <c r="D26" s="237">
        <f>I26*0.93*0.98</f>
        <v/>
      </c>
      <c r="E26" s="237">
        <f>D26*1.3*1.105</f>
        <v/>
      </c>
      <c r="F26" s="237">
        <f>D26*1.3*1.105/0.9</f>
        <v/>
      </c>
      <c r="G26" s="237">
        <f>F26*1.21</f>
        <v/>
      </c>
      <c r="H26" s="237">
        <f>ROUND(G26/100,0)*100</f>
        <v/>
      </c>
      <c r="I26" s="127" t="n">
        <v>6566.48</v>
      </c>
      <c r="M26" s="87" t="n">
        <v>2279.8671</v>
      </c>
    </row>
    <row r="27">
      <c r="A27" s="124" t="n">
        <v>205</v>
      </c>
      <c r="B27" s="223" t="inlineStr">
        <is>
          <t>Pack X 2 Rollos de toalla x 240 mts Blanca</t>
        </is>
      </c>
      <c r="D27" s="237">
        <f>I27*0.93*0.98</f>
        <v/>
      </c>
      <c r="E27" s="237">
        <f>D27*1.3*1.105</f>
        <v/>
      </c>
      <c r="F27" s="237">
        <f>D27*1.3*1.105/0.9</f>
        <v/>
      </c>
      <c r="G27" s="237">
        <f>F27*1.21</f>
        <v/>
      </c>
      <c r="H27" s="237">
        <f>ROUND(G27/100,0)*100</f>
        <v/>
      </c>
      <c r="I27" s="230" t="n">
        <v>8368</v>
      </c>
      <c r="M27" s="87" t="n">
        <v>1816.96704</v>
      </c>
    </row>
    <row r="28">
      <c r="A28" s="133" t="n">
        <v>116</v>
      </c>
      <c r="B28" s="134" t="inlineStr">
        <is>
          <t>Pack x 6 Rollos de Toallas x 200 mts. Blanca</t>
        </is>
      </c>
      <c r="D28" s="135">
        <f>I28*0.93*0.98</f>
        <v/>
      </c>
      <c r="E28" s="135">
        <f>D28*1.3*1.105</f>
        <v/>
      </c>
      <c r="F28" s="135">
        <f>D28*1.3*1.105/0.9</f>
        <v/>
      </c>
      <c r="G28" s="135">
        <f>F28*1.21</f>
        <v/>
      </c>
      <c r="H28" s="135">
        <f>ROUND(G28/100,0)*100</f>
        <v/>
      </c>
      <c r="I28" s="230" t="n">
        <v>6620.2</v>
      </c>
      <c r="J28" s="146" t="n"/>
      <c r="K28" s="146" t="n"/>
      <c r="L28" s="146" t="n"/>
      <c r="M28" s="147" t="n">
        <v>4666.058124</v>
      </c>
      <c r="N28" s="146" t="n"/>
      <c r="O28" s="146" t="n"/>
      <c r="P28" s="146" t="n"/>
      <c r="Q28" s="146" t="n"/>
      <c r="R28" s="146" t="n"/>
      <c r="S28" s="146" t="n"/>
      <c r="T28" s="146" t="n"/>
      <c r="U28" s="146" t="n"/>
      <c r="V28" s="146" t="n"/>
      <c r="W28" s="146" t="n"/>
      <c r="X28" s="146" t="n"/>
      <c r="Y28" s="146" t="n"/>
      <c r="Z28" s="146" t="n"/>
      <c r="AA28" s="146" t="n"/>
      <c r="AB28" s="146" t="n"/>
    </row>
    <row r="29">
      <c r="A29" s="124" t="n">
        <v>135</v>
      </c>
      <c r="B29" s="223" t="inlineStr">
        <is>
          <t>Recarga Original P/Dispenser Celmatic 2500 U. Dobles</t>
        </is>
      </c>
      <c r="D29" s="237">
        <f>I29*0.93*0.98</f>
        <v/>
      </c>
      <c r="E29" s="237">
        <f>D29*1.3*1.105</f>
        <v/>
      </c>
      <c r="F29" s="237">
        <f>D29*1.3*1.105/0.9</f>
        <v/>
      </c>
      <c r="G29" s="237">
        <f>F29*1.21</f>
        <v/>
      </c>
      <c r="H29" s="237">
        <f>ROUND(G29/100,0)*100</f>
        <v/>
      </c>
      <c r="I29" s="230" t="n">
        <v>3208.44</v>
      </c>
      <c r="M29" s="87" t="n">
        <v>5997.28542</v>
      </c>
    </row>
    <row r="30">
      <c r="A30" s="124" t="n">
        <v>136</v>
      </c>
      <c r="B30" s="223" t="inlineStr">
        <is>
          <t>Pack x 4 Recarga Celmatic Due 2400 U. Dobles</t>
        </is>
      </c>
      <c r="D30" s="237">
        <f>I30*0.93*0.98</f>
        <v/>
      </c>
      <c r="E30" s="237">
        <f>D30*1.3*1.105</f>
        <v/>
      </c>
      <c r="F30" s="237">
        <f>D30*1.3*1.105/0.9</f>
        <v/>
      </c>
      <c r="G30" s="237">
        <f>F30*1.21</f>
        <v/>
      </c>
      <c r="H30" s="237">
        <f>ROUND(G30/100,0)*100</f>
        <v/>
      </c>
      <c r="I30" s="230" t="n">
        <v>2557</v>
      </c>
      <c r="M30" s="87" t="n">
        <v>4485.692064000001</v>
      </c>
    </row>
    <row r="31">
      <c r="A31" s="124" t="n"/>
      <c r="B31" s="223" t="n"/>
      <c r="C31" s="223" t="n"/>
      <c r="D31" s="237" t="n"/>
      <c r="E31" s="200" t="n"/>
      <c r="F31" s="200" t="n"/>
      <c r="G31" s="200" t="n"/>
      <c r="H31" s="200" t="n"/>
      <c r="I31" s="237" t="n"/>
      <c r="M31" s="87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 t="n"/>
      <c r="E32" s="190" t="n"/>
      <c r="F32" s="190" t="n"/>
      <c r="G32" s="190" t="n"/>
      <c r="H32" s="190" t="n"/>
      <c r="I32" s="137" t="n"/>
      <c r="M32" s="87" t="n"/>
    </row>
    <row r="33">
      <c r="A33" s="131" t="n"/>
      <c r="B33" s="158" t="n"/>
      <c r="C33" s="223" t="n"/>
      <c r="D33" s="169" t="n"/>
      <c r="E33" s="197" t="n"/>
      <c r="F33" s="197" t="n"/>
      <c r="G33" s="197" t="n"/>
      <c r="H33" s="197" t="n"/>
      <c r="I33" s="192" t="n"/>
      <c r="M33" s="87" t="n"/>
    </row>
    <row r="34">
      <c r="A34" s="124" t="n">
        <v>501</v>
      </c>
      <c r="B34" s="140" t="inlineStr">
        <is>
          <t>Pack x 2 rollos Cel-Soft de 22,5 x 150 mts</t>
        </is>
      </c>
      <c r="D34" s="237">
        <f>I34*0.93*0.98</f>
        <v/>
      </c>
      <c r="E34" s="237">
        <f>D34*1.3*1.105</f>
        <v/>
      </c>
      <c r="F34" s="237">
        <f>D34*1.3*1.105/0.9</f>
        <v/>
      </c>
      <c r="G34" s="237">
        <f>F34*1.21</f>
        <v/>
      </c>
      <c r="H34" s="237">
        <f>ROUND(G34/100,0)*100</f>
        <v/>
      </c>
      <c r="I34" s="230" t="n">
        <v>57</v>
      </c>
      <c r="M34" s="87" t="n">
        <v>51.9498</v>
      </c>
    </row>
    <row r="35">
      <c r="A35" s="124" t="n">
        <v>505</v>
      </c>
      <c r="B35" s="223" t="inlineStr">
        <is>
          <t>Caja x 2000 U. Servilletas Cel-Soft 30 x 40 cm</t>
        </is>
      </c>
      <c r="D35" s="237">
        <f>I35*0.93*0.98</f>
        <v/>
      </c>
      <c r="E35" s="237">
        <f>D35*1.3*1.105</f>
        <v/>
      </c>
      <c r="F35" s="237">
        <f>D35*1.3*1.105/0.9</f>
        <v/>
      </c>
      <c r="G35" s="237">
        <f>F35*1.21</f>
        <v/>
      </c>
      <c r="H35" s="237">
        <f>ROUND(G35/100,0)*100</f>
        <v/>
      </c>
      <c r="I35" s="230" t="n">
        <v>273.74</v>
      </c>
      <c r="M35" s="87" t="n">
        <v>249.486636</v>
      </c>
    </row>
    <row r="36">
      <c r="A36" s="124" t="n">
        <v>506</v>
      </c>
      <c r="B36" s="223" t="inlineStr">
        <is>
          <t>Caja x 3500 Toallas Cel-Soft 21 x 25 cm Blancas</t>
        </is>
      </c>
      <c r="D36" s="237">
        <f>I36*0.93*0.98</f>
        <v/>
      </c>
      <c r="E36" s="237">
        <f>D36*1.3*1.105</f>
        <v/>
      </c>
      <c r="F36" s="237">
        <f>D36*1.3*1.105/0.9</f>
        <v/>
      </c>
      <c r="G36" s="237">
        <f>F36*1.21</f>
        <v/>
      </c>
      <c r="H36" s="237">
        <f>ROUND(G36/100,0)*100</f>
        <v/>
      </c>
      <c r="I36" s="230" t="n">
        <v>153.22</v>
      </c>
      <c r="M36" s="87" t="n">
        <v>139.644708</v>
      </c>
    </row>
    <row r="37">
      <c r="A37" s="133" t="n">
        <v>512</v>
      </c>
      <c r="B37" s="134" t="inlineStr">
        <is>
          <t>Caja x 2000 U. Servilletas Cel-Soft 30 x 25 cm</t>
        </is>
      </c>
      <c r="D37" s="135">
        <f>I37*0.93*0.98</f>
        <v/>
      </c>
      <c r="E37" s="135">
        <f>D37*1.3*1.105</f>
        <v/>
      </c>
      <c r="F37" s="135">
        <f>D37*1.3*1.105/0.9</f>
        <v/>
      </c>
      <c r="G37" s="135">
        <f>F37*1.21</f>
        <v/>
      </c>
      <c r="H37" s="135">
        <f>ROUND(G37/100,0)*100</f>
        <v/>
      </c>
      <c r="I37" s="199" t="n">
        <v>173.66</v>
      </c>
      <c r="J37" s="146" t="n"/>
      <c r="K37" s="146" t="n"/>
      <c r="L37" s="146" t="n"/>
      <c r="M37" s="147" t="n">
        <v>158.273724</v>
      </c>
      <c r="N37" s="146" t="n"/>
      <c r="O37" s="146" t="n"/>
      <c r="P37" s="146" t="n"/>
      <c r="Q37" s="146" t="n"/>
      <c r="R37" s="146" t="n"/>
      <c r="S37" s="146" t="n"/>
      <c r="T37" s="146" t="n"/>
      <c r="U37" s="146" t="n"/>
      <c r="V37" s="146" t="n"/>
      <c r="W37" s="146" t="n"/>
      <c r="X37" s="146" t="n"/>
      <c r="Y37" s="146" t="n"/>
      <c r="Z37" s="146" t="n"/>
      <c r="AA37" s="146" t="n"/>
      <c r="AB37" s="146" t="n"/>
    </row>
    <row r="38">
      <c r="A38" s="124" t="n">
        <v>514</v>
      </c>
      <c r="B38" s="223" t="inlineStr">
        <is>
          <t>Caja por 600 servilletas Celsoft 40x40 Victoria Ambra</t>
        </is>
      </c>
      <c r="D38" s="237">
        <f>I38*0.93*0.98</f>
        <v/>
      </c>
      <c r="E38" s="237">
        <f>D38*1.3*1.105</f>
        <v/>
      </c>
      <c r="F38" s="237">
        <f>D38*1.3*1.105/0.9</f>
        <v/>
      </c>
      <c r="G38" s="237">
        <f>F38*1.21</f>
        <v/>
      </c>
      <c r="H38" s="237">
        <f>ROUND(G38/100,0)*100</f>
        <v/>
      </c>
      <c r="I38" s="230" t="n">
        <v>187.2</v>
      </c>
      <c r="M38" s="87" t="n">
        <v>170.61408</v>
      </c>
    </row>
    <row r="39">
      <c r="A39" s="124" t="n">
        <v>515</v>
      </c>
      <c r="B39" s="223" t="inlineStr">
        <is>
          <t>Caja por 600 servilletas Celsoft 40x40 Victoria Nero</t>
        </is>
      </c>
      <c r="D39" s="237">
        <f>I39*0.93*0.98</f>
        <v/>
      </c>
      <c r="E39" s="237">
        <f>D39*1.3*1.105</f>
        <v/>
      </c>
      <c r="F39" s="237">
        <f>D39*1.3*1.105/0.9</f>
        <v/>
      </c>
      <c r="G39" s="237">
        <f>F39*1.21</f>
        <v/>
      </c>
      <c r="H39" s="237">
        <f>ROUND(G39/100,0)*100</f>
        <v/>
      </c>
      <c r="I39" s="230" t="n">
        <v>187.2</v>
      </c>
      <c r="M39" s="87" t="n">
        <v>170.61408</v>
      </c>
    </row>
    <row r="40">
      <c r="A40" s="124" t="n">
        <v>516</v>
      </c>
      <c r="B40" s="223" t="inlineStr">
        <is>
          <t>Caja por 600 servilletas Celsoft 40x40 Tasca Bordeaux</t>
        </is>
      </c>
      <c r="D40" s="237">
        <f>I40*0.93*0.98</f>
        <v/>
      </c>
      <c r="E40" s="237">
        <f>D40*1.3*1.105</f>
        <v/>
      </c>
      <c r="F40" s="237">
        <f>D40*1.3*1.105/0.9</f>
        <v/>
      </c>
      <c r="G40" s="237">
        <f>F40*1.21</f>
        <v/>
      </c>
      <c r="H40" s="237">
        <f>ROUND(G40/100,0)*100</f>
        <v/>
      </c>
      <c r="I40" s="230" t="n">
        <v>220.74</v>
      </c>
      <c r="M40" s="87" t="n">
        <v>201.182436</v>
      </c>
    </row>
    <row r="41">
      <c r="A41" s="124" t="n">
        <v>517</v>
      </c>
      <c r="B41" s="223" t="inlineStr">
        <is>
          <t>Caja por 600 servilletas Celsoft 40x40 Tasca Nero</t>
        </is>
      </c>
      <c r="D41" s="237">
        <f>I41*0.93*0.98</f>
        <v/>
      </c>
      <c r="E41" s="237">
        <f>D41*1.3*1.105</f>
        <v/>
      </c>
      <c r="F41" s="237">
        <f>D41*1.3*1.105/0.9</f>
        <v/>
      </c>
      <c r="G41" s="237">
        <f>F41*1.21</f>
        <v/>
      </c>
      <c r="H41" s="237">
        <f>ROUND(G41/100,0)*100</f>
        <v/>
      </c>
      <c r="I41" s="230" t="n">
        <v>220.74</v>
      </c>
      <c r="M41" s="87" t="n">
        <v>201.182436</v>
      </c>
    </row>
    <row r="42">
      <c r="A42" s="124" t="n">
        <v>518</v>
      </c>
      <c r="B42" s="223" t="inlineStr">
        <is>
          <t>Caja por 600 servilletas Celsoft 40x40 Tasca Lino Avorio</t>
        </is>
      </c>
      <c r="D42" s="237">
        <f>I42*0.93*0.98</f>
        <v/>
      </c>
      <c r="E42" s="237">
        <f>D42*1.3*1.105</f>
        <v/>
      </c>
      <c r="F42" s="237">
        <f>D42*1.3*1.105/0.9</f>
        <v/>
      </c>
      <c r="G42" s="237">
        <f>F42*1.21</f>
        <v/>
      </c>
      <c r="H42" s="237">
        <f>ROUND(G42/100,0)*100</f>
        <v/>
      </c>
      <c r="I42" s="230" t="n">
        <v>187.2</v>
      </c>
      <c r="M42" s="87" t="n">
        <v>170.61408</v>
      </c>
    </row>
    <row r="43">
      <c r="A43" s="124" t="n">
        <v>519</v>
      </c>
      <c r="B43" s="223" t="inlineStr">
        <is>
          <t>Caja por 600 servilletas Celsoft 40x40 Taca Iuta Grigio</t>
        </is>
      </c>
      <c r="D43" s="237">
        <f>I43*0.93*0.98</f>
        <v/>
      </c>
      <c r="E43" s="237">
        <f>D43*1.3*1.105</f>
        <v/>
      </c>
      <c r="F43" s="237">
        <f>D43*1.3*1.105/0.9</f>
        <v/>
      </c>
      <c r="G43" s="237">
        <f>F43*1.21</f>
        <v/>
      </c>
      <c r="H43" s="237">
        <f>ROUND(G43/100,0)*100</f>
        <v/>
      </c>
      <c r="I43" s="230" t="n">
        <v>187.2</v>
      </c>
      <c r="M43" s="87" t="n">
        <v>170.61408</v>
      </c>
    </row>
    <row r="44">
      <c r="A44" s="124" t="n">
        <v>520</v>
      </c>
      <c r="B44" s="223" t="inlineStr">
        <is>
          <t>Caja de servilletas Celsoft 40 x 40 SAMPLER 300 Unid</t>
        </is>
      </c>
      <c r="D44" s="237">
        <f>I44*0.93*0.98</f>
        <v/>
      </c>
      <c r="E44" s="237">
        <f>D44*1.3*1.105</f>
        <v/>
      </c>
      <c r="F44" s="237">
        <f>D44*1.3*1.105/0.9</f>
        <v/>
      </c>
      <c r="G44" s="237">
        <f>F44*1.21</f>
        <v/>
      </c>
      <c r="H44" s="237">
        <f>ROUND(G44/100,0)*100</f>
        <v/>
      </c>
      <c r="I44" s="230" t="n">
        <v>99.09</v>
      </c>
      <c r="M44" s="87" t="n">
        <v>90.31062600000001</v>
      </c>
    </row>
    <row r="45">
      <c r="A45" s="124" t="n"/>
      <c r="B45" s="223" t="n"/>
      <c r="C45" s="223" t="n"/>
      <c r="D45" s="237" t="n"/>
      <c r="E45" s="200" t="n"/>
      <c r="F45" s="200" t="n"/>
      <c r="G45" s="200" t="n"/>
      <c r="H45" s="200" t="n"/>
      <c r="I45" s="237" t="n"/>
      <c r="M45" s="87" t="n"/>
    </row>
    <row r="46">
      <c r="A46" s="142" t="inlineStr">
        <is>
          <t>PAPEL HIGIENICO</t>
        </is>
      </c>
      <c r="B46" s="271" t="n"/>
      <c r="C46" s="223" t="n"/>
      <c r="D46" s="237" t="n"/>
      <c r="E46" s="200" t="n"/>
      <c r="F46" s="200" t="n"/>
      <c r="G46" s="200" t="n"/>
      <c r="H46" s="200" t="n"/>
      <c r="I46" s="237" t="n"/>
      <c r="M46" s="87" t="n"/>
    </row>
    <row r="47">
      <c r="A47" s="111" t="n"/>
      <c r="B47" s="223" t="n"/>
      <c r="C47" s="223" t="n"/>
      <c r="D47" s="237" t="n"/>
      <c r="E47" s="200" t="n"/>
      <c r="F47" s="200" t="n"/>
      <c r="G47" s="200" t="n"/>
      <c r="H47" s="200" t="n"/>
      <c r="I47" s="237" t="n"/>
      <c r="M47" s="87" t="n"/>
    </row>
    <row r="48">
      <c r="A48" s="124" t="n">
        <v>211</v>
      </c>
      <c r="B48" s="223" t="inlineStr">
        <is>
          <t>Pack x18 Rollos Higienico Racional D/H x 60 mts</t>
        </is>
      </c>
      <c r="D48" s="237">
        <f>I48*0.93*0.98</f>
        <v/>
      </c>
      <c r="E48" s="237">
        <f>D48*1.3*1.105</f>
        <v/>
      </c>
      <c r="F48" s="237">
        <f>D48*1.3*1.105/0.9</f>
        <v/>
      </c>
      <c r="G48" s="237">
        <f>F48*1.21</f>
        <v/>
      </c>
      <c r="H48" s="237">
        <f>ROUND(G48/100,0)*100</f>
        <v/>
      </c>
      <c r="I48" s="127" t="n">
        <v>4702.88</v>
      </c>
      <c r="M48" s="87" t="n">
        <v>3341.803038</v>
      </c>
    </row>
    <row r="49">
      <c r="A49" s="124" t="n">
        <v>213</v>
      </c>
      <c r="B49" s="223" t="inlineStr">
        <is>
          <t>Pack x 4 Rollos Higienico Racional x 500 mts Buje 7,5</t>
        </is>
      </c>
      <c r="D49" s="237">
        <f>I49*0.93*0.98</f>
        <v/>
      </c>
      <c r="E49" s="237">
        <f>D49*1.3*1.105</f>
        <v/>
      </c>
      <c r="F49" s="237">
        <f>D49*1.3*1.105/0.9</f>
        <v/>
      </c>
      <c r="G49" s="237">
        <f>F49*1.21</f>
        <v/>
      </c>
      <c r="H49" s="237">
        <f>ROUND(G49/100,0)*100</f>
        <v/>
      </c>
      <c r="I49" s="230" t="n">
        <v>3644.81</v>
      </c>
      <c r="M49" s="87" t="n">
        <v>2589.934494</v>
      </c>
    </row>
    <row r="50">
      <c r="A50" s="182" t="n">
        <v>214</v>
      </c>
      <c r="B50" s="224" t="inlineStr">
        <is>
          <t>Pack x 18 rollos Papel Higienico Racional x 122 mts</t>
        </is>
      </c>
      <c r="D50" s="184">
        <f>I50*0.93*0.98</f>
        <v/>
      </c>
      <c r="E50" s="184">
        <f>D50*1.3*1.105</f>
        <v/>
      </c>
      <c r="F50" s="184">
        <f>D50*1.3*1.105/0.9</f>
        <v/>
      </c>
      <c r="G50" s="184">
        <f>F50*1.21</f>
        <v/>
      </c>
      <c r="H50" s="184">
        <f>ROUND(G50/100,0)*100</f>
        <v/>
      </c>
      <c r="I50" s="230" t="n">
        <v>4477.88</v>
      </c>
      <c r="J50" s="193" t="n"/>
      <c r="K50" s="193" t="n"/>
      <c r="L50" s="193" t="n"/>
      <c r="M50" s="194" t="n">
        <v>3181.934364</v>
      </c>
      <c r="N50" s="193" t="n"/>
      <c r="O50" s="193" t="n"/>
      <c r="P50" s="193" t="n"/>
      <c r="Q50" s="193" t="n"/>
      <c r="R50" s="193" t="n"/>
      <c r="S50" s="193" t="n"/>
      <c r="T50" s="193" t="n"/>
      <c r="U50" s="193" t="n"/>
      <c r="V50" s="193" t="n"/>
      <c r="W50" s="193" t="n"/>
      <c r="X50" s="193" t="n"/>
      <c r="Y50" s="193" t="n"/>
      <c r="Z50" s="193" t="n"/>
      <c r="AA50" s="193" t="n"/>
      <c r="AB50" s="193" t="n"/>
    </row>
    <row r="51">
      <c r="A51" s="124" t="n">
        <v>218</v>
      </c>
      <c r="B51" s="223" t="inlineStr">
        <is>
          <t>Pack x 8 rollos Higienico Racional x 265 mts buje 7,5</t>
        </is>
      </c>
      <c r="D51" s="237">
        <f>I51*0.93*0.98</f>
        <v/>
      </c>
      <c r="E51" s="237">
        <f>D51*1.3*1.105</f>
        <v/>
      </c>
      <c r="F51" s="237">
        <f>D51*1.3*1.105/0.9</f>
        <v/>
      </c>
      <c r="G51" s="237">
        <f>F51*1.21</f>
        <v/>
      </c>
      <c r="H51" s="237">
        <f>ROUND(G51/100,0)*100</f>
        <v/>
      </c>
      <c r="I51" s="230" t="n">
        <v>4121.36</v>
      </c>
      <c r="M51" s="87" t="n">
        <v>2928.565164000001</v>
      </c>
    </row>
    <row r="52">
      <c r="A52" s="133" t="n">
        <v>220</v>
      </c>
      <c r="B52" s="134" t="inlineStr">
        <is>
          <t>Pack x 8 Rollos Papel Higienico Racional x 300 mts</t>
        </is>
      </c>
      <c r="D52" s="135">
        <f>I52*0.93*0.98</f>
        <v/>
      </c>
      <c r="E52" s="135">
        <f>D52*1.3*1.105</f>
        <v/>
      </c>
      <c r="F52" s="135">
        <f>D52*1.3*1.105/0.9</f>
        <v/>
      </c>
      <c r="G52" s="135">
        <f>F52*1.21</f>
        <v/>
      </c>
      <c r="H52" s="135">
        <f>ROUND(G52/100,0)*100</f>
        <v/>
      </c>
      <c r="I52" s="230" t="n">
        <v>4696.41</v>
      </c>
      <c r="J52" s="146" t="n"/>
      <c r="K52" s="146" t="n"/>
      <c r="L52" s="146" t="n"/>
      <c r="M52" s="147" t="n">
        <v>3337.209582</v>
      </c>
      <c r="N52" s="146" t="n"/>
      <c r="O52" s="146" t="n"/>
      <c r="P52" s="146" t="n"/>
      <c r="Q52" s="146" t="n"/>
      <c r="R52" s="146" t="n"/>
      <c r="S52" s="146" t="n"/>
      <c r="T52" s="146" t="n"/>
      <c r="U52" s="146" t="n"/>
      <c r="V52" s="146" t="n"/>
      <c r="W52" s="146" t="n"/>
      <c r="X52" s="146" t="n"/>
      <c r="Y52" s="146" t="n"/>
      <c r="Z52" s="146" t="n"/>
      <c r="AA52" s="146" t="n"/>
      <c r="AB52" s="146" t="n"/>
    </row>
    <row r="53">
      <c r="A53" s="124" t="n">
        <v>222</v>
      </c>
      <c r="B53" s="223" t="inlineStr">
        <is>
          <t>Pack x 8 Rollos Papel Higienico x 260 mts Buje4,5</t>
        </is>
      </c>
      <c r="D53" s="237">
        <f>I53*0.93*0.98</f>
        <v/>
      </c>
      <c r="E53" s="237">
        <f>D53*1.3*1.105</f>
        <v/>
      </c>
      <c r="F53" s="237">
        <f>D53*1.3*1.105/0.9</f>
        <v/>
      </c>
      <c r="G53" s="237">
        <f>F53*1.21</f>
        <v/>
      </c>
      <c r="H53" s="237">
        <f>ROUND(G53/100,0)*100</f>
        <v/>
      </c>
      <c r="I53" s="230" t="n">
        <v>3986.9</v>
      </c>
      <c r="M53" s="87" t="n">
        <v>2833.050444</v>
      </c>
    </row>
    <row r="54">
      <c r="A54" s="124" t="n">
        <v>909</v>
      </c>
      <c r="B54" s="223" t="inlineStr">
        <is>
          <t>Papel Higiénico 20 x 14,5 8000 h. 4000 usos</t>
        </is>
      </c>
      <c r="D54" s="237">
        <f>I54*0.93*0.98</f>
        <v/>
      </c>
      <c r="E54" s="237">
        <f>D54*1.3*1.105</f>
        <v/>
      </c>
      <c r="F54" s="237">
        <f>D54*1.3*1.105/0.9</f>
        <v/>
      </c>
      <c r="G54" s="237">
        <f>F54*1.21</f>
        <v/>
      </c>
      <c r="H54" s="237">
        <f>ROUND(G54/100,0)*100</f>
        <v/>
      </c>
      <c r="I54" s="230" t="n">
        <v>6157.45</v>
      </c>
      <c r="M54" s="87" t="n">
        <v>4375.35798</v>
      </c>
    </row>
    <row r="55">
      <c r="A55" s="124" t="n">
        <v>912</v>
      </c>
      <c r="B55" s="223" t="inlineStr">
        <is>
          <t>Papel Higienico UNITAS(18x14,5cm) 8000 h/4000 usos</t>
        </is>
      </c>
      <c r="D55" s="237">
        <f>I55*0.93*0.98</f>
        <v/>
      </c>
      <c r="E55" s="237">
        <f>D55*1.3*1.105</f>
        <v/>
      </c>
      <c r="F55" s="237">
        <f>D55*1.3*1.105/0.9</f>
        <v/>
      </c>
      <c r="G55" s="237">
        <f>F55*1.21</f>
        <v/>
      </c>
      <c r="H55" s="237">
        <f>ROUND(G55/100,0)*100</f>
        <v/>
      </c>
      <c r="I55" s="230" t="n">
        <v>4947.65</v>
      </c>
      <c r="M55" s="87" t="n">
        <v>3515.743728</v>
      </c>
    </row>
    <row r="56">
      <c r="A56" s="124" t="n"/>
      <c r="B56" s="223" t="n"/>
      <c r="C56" s="223" t="n"/>
      <c r="D56" s="237" t="n"/>
      <c r="E56" s="200" t="n"/>
      <c r="F56" s="200" t="n"/>
      <c r="G56" s="200" t="n"/>
      <c r="H56" s="200" t="n"/>
      <c r="I56" s="237" t="n"/>
      <c r="M56" s="87" t="n"/>
    </row>
    <row r="57">
      <c r="A57" s="124" t="n"/>
      <c r="B57" s="108" t="n">
        <v>44896</v>
      </c>
      <c r="C57" s="223" t="n"/>
      <c r="D57" s="237" t="n"/>
      <c r="E57" s="200" t="n"/>
      <c r="F57" s="200" t="n"/>
      <c r="G57" s="200" t="n"/>
      <c r="H57" s="200" t="n"/>
      <c r="I57" s="237" t="n"/>
      <c r="M57" s="87" t="n"/>
    </row>
    <row r="58">
      <c r="A58" s="124" t="n"/>
      <c r="B58" s="223" t="n"/>
      <c r="C58" s="223" t="n"/>
      <c r="D58" s="237" t="n"/>
      <c r="E58" s="200" t="n"/>
      <c r="F58" s="200" t="n"/>
      <c r="G58" s="200" t="n"/>
      <c r="H58" s="200" t="n"/>
      <c r="I58" s="237" t="n"/>
      <c r="M58" s="87" t="n"/>
    </row>
    <row r="59">
      <c r="A59" s="117" t="inlineStr">
        <is>
          <t>CAMILLEROS</t>
        </is>
      </c>
      <c r="B59" s="223" t="n"/>
      <c r="C59" s="223" t="n"/>
      <c r="D59" s="237" t="n"/>
      <c r="E59" s="200" t="n"/>
      <c r="F59" s="200" t="n"/>
      <c r="G59" s="200" t="n"/>
      <c r="H59" s="200" t="n"/>
      <c r="I59" s="237" t="n"/>
      <c r="M59" s="87" t="n"/>
    </row>
    <row r="60">
      <c r="A60" s="131" t="n"/>
      <c r="B60" s="223" t="n"/>
      <c r="C60" s="223" t="n"/>
      <c r="D60" s="237" t="n"/>
      <c r="E60" s="200" t="n"/>
      <c r="F60" s="200" t="n"/>
      <c r="G60" s="200" t="n"/>
      <c r="H60" s="200" t="n"/>
      <c r="I60" s="237" t="n"/>
      <c r="M60" s="87" t="n"/>
    </row>
    <row r="61">
      <c r="A61" s="124" t="n">
        <v>301</v>
      </c>
      <c r="B61" s="223" t="inlineStr">
        <is>
          <t>Pack x 2 Rollos Camilleros bco s/h 54x100mts Prec</t>
        </is>
      </c>
      <c r="D61" s="154">
        <f>3293.5*1.1</f>
        <v/>
      </c>
      <c r="E61" s="237">
        <f>D61*1.3*1.105</f>
        <v/>
      </c>
      <c r="F61" s="237">
        <f>D61*1.3*1.105/0.9</f>
        <v/>
      </c>
      <c r="G61" s="237">
        <f>F61*1.21</f>
        <v/>
      </c>
      <c r="H61" s="237">
        <f>ROUND(G61/100,0)*100</f>
        <v/>
      </c>
      <c r="I61" s="127" t="n">
        <v>4961</v>
      </c>
      <c r="M61" s="87" t="n">
        <v>3524.875956</v>
      </c>
    </row>
    <row r="62">
      <c r="A62" s="124" t="n"/>
      <c r="B62" s="155" t="n"/>
      <c r="C62" s="223" t="n"/>
      <c r="D62" s="237" t="n"/>
      <c r="E62" s="200" t="n"/>
      <c r="F62" s="200" t="n"/>
      <c r="G62" s="200" t="n"/>
      <c r="H62" s="200" t="n"/>
      <c r="I62" s="237" t="n"/>
      <c r="M62" s="87" t="n"/>
    </row>
    <row r="63">
      <c r="A63" s="142" t="inlineStr">
        <is>
          <t>DISPENSERS</t>
        </is>
      </c>
      <c r="B63" s="223" t="n"/>
      <c r="C63" s="223" t="n"/>
      <c r="D63" s="237" t="n"/>
      <c r="E63" s="200" t="n"/>
      <c r="F63" s="200" t="n"/>
      <c r="G63" s="200" t="n"/>
      <c r="H63" s="200" t="n"/>
      <c r="I63" s="237" t="n"/>
      <c r="M63" s="87" t="n"/>
    </row>
    <row r="64">
      <c r="A64" s="111" t="n"/>
      <c r="B64" s="223" t="n"/>
      <c r="C64" s="223" t="n"/>
      <c r="D64" s="237" t="n"/>
      <c r="E64" s="200" t="n"/>
      <c r="F64" s="200" t="n"/>
      <c r="G64" s="200" t="n"/>
      <c r="H64" s="200" t="n"/>
      <c r="I64" s="237" t="n"/>
      <c r="M64" s="87" t="n"/>
    </row>
    <row r="65">
      <c r="A65" s="124" t="n">
        <v>403</v>
      </c>
      <c r="B65" s="223" t="inlineStr">
        <is>
          <t>Portabobina de Pared</t>
        </is>
      </c>
      <c r="C65" s="223" t="n"/>
      <c r="D65" s="237">
        <f>I65*0.93*0.98</f>
        <v/>
      </c>
      <c r="E65" s="237">
        <f>D65*1.3*1.105</f>
        <v/>
      </c>
      <c r="F65" s="237">
        <f>D65*1.3*1.105/0.9</f>
        <v/>
      </c>
      <c r="G65" s="237">
        <f>F65*1.21</f>
        <v/>
      </c>
      <c r="H65" s="237">
        <f>ROUND(G65/100,0)*100</f>
        <v/>
      </c>
      <c r="I65" s="127" t="n">
        <v>8066.73</v>
      </c>
      <c r="M65" s="87" t="n">
        <v>5732.122704</v>
      </c>
    </row>
    <row r="66">
      <c r="A66" s="124" t="n">
        <v>404</v>
      </c>
      <c r="B66" s="223" t="inlineStr">
        <is>
          <t>Portarollo para Camilla</t>
        </is>
      </c>
      <c r="C66" s="223" t="n"/>
      <c r="D66" s="237">
        <f>I66*0.93*0.98</f>
        <v/>
      </c>
      <c r="E66" s="237">
        <f>D66*1.3*1.105</f>
        <v/>
      </c>
      <c r="F66" s="237">
        <f>D66*1.3*1.105/0.9</f>
        <v/>
      </c>
      <c r="G66" s="237">
        <f>F66*1.21</f>
        <v/>
      </c>
      <c r="H66" s="237">
        <f>ROUND(G66/100,0)*100</f>
        <v/>
      </c>
      <c r="I66" s="230" t="n">
        <v>0</v>
      </c>
      <c r="M66" s="87" t="n">
        <v>0</v>
      </c>
    </row>
    <row r="67">
      <c r="A67" s="124" t="n">
        <v>418</v>
      </c>
      <c r="B67" s="223" t="inlineStr">
        <is>
          <t>Portabobina de Piso</t>
        </is>
      </c>
      <c r="C67" s="223" t="n"/>
      <c r="D67" s="237">
        <f>I67*0.93*0.98</f>
        <v/>
      </c>
      <c r="E67" s="237">
        <f>D67*1.3*1.105</f>
        <v/>
      </c>
      <c r="F67" s="237">
        <f>D67*1.3*1.105/0.9</f>
        <v/>
      </c>
      <c r="G67" s="237">
        <f>F67*1.21</f>
        <v/>
      </c>
      <c r="H67" s="237">
        <f>ROUND(G67/100,0)*100</f>
        <v/>
      </c>
      <c r="I67" s="230" t="n">
        <v>8873.200000000001</v>
      </c>
      <c r="M67" s="87" t="n">
        <v>6305.165454</v>
      </c>
    </row>
    <row r="68">
      <c r="A68" s="124" t="n">
        <v>422</v>
      </c>
      <c r="B68" s="223" t="inlineStr">
        <is>
          <t>Dispenser Celmatic Due</t>
        </is>
      </c>
      <c r="C68" s="223" t="n"/>
      <c r="D68" s="237">
        <f>I68*0.93*0.98</f>
        <v/>
      </c>
      <c r="E68" s="237">
        <f>D68*1.3*1.105</f>
        <v/>
      </c>
      <c r="F68" s="237">
        <f>D68*1.3*1.105/0.9</f>
        <v/>
      </c>
      <c r="G68" s="237">
        <f>F68*1.21</f>
        <v/>
      </c>
      <c r="H68" s="237">
        <f>ROUND(G68/100,0)*100</f>
        <v/>
      </c>
      <c r="I68" s="230" t="n">
        <v>11369.52</v>
      </c>
      <c r="M68" s="87" t="n">
        <v>8074.612098000001</v>
      </c>
    </row>
    <row r="69">
      <c r="A69" s="124" t="n">
        <v>425</v>
      </c>
      <c r="B69" s="223" t="inlineStr">
        <is>
          <t>Dosificador para Jabón Líquido Recargable</t>
        </is>
      </c>
      <c r="D69" s="237">
        <f>I69*0.93*0.98</f>
        <v/>
      </c>
      <c r="E69" s="237">
        <f>D69*1.3*1.105</f>
        <v/>
      </c>
      <c r="F69" s="237">
        <f>D69*1.3*1.105/0.9</f>
        <v/>
      </c>
      <c r="G69" s="237">
        <f>F69*1.21</f>
        <v/>
      </c>
      <c r="H69" s="237">
        <f>ROUND(G69/100,0)*100</f>
        <v/>
      </c>
      <c r="I69" s="230" t="n">
        <v>4265.01</v>
      </c>
      <c r="M69" s="87" t="n">
        <v>3030.487026</v>
      </c>
    </row>
    <row r="70">
      <c r="A70" s="124" t="n">
        <v>427</v>
      </c>
      <c r="B70" s="223" t="inlineStr">
        <is>
          <t>Dispenser Para Papel Higienico Racional 350</t>
        </is>
      </c>
      <c r="D70" s="237">
        <f>I70*0.93*0.98</f>
        <v/>
      </c>
      <c r="E70" s="237">
        <f>D70*1.3*1.105</f>
        <v/>
      </c>
      <c r="F70" s="237">
        <f>D70*1.3*1.105/0.9</f>
        <v/>
      </c>
      <c r="G70" s="237">
        <f>F70*1.21</f>
        <v/>
      </c>
      <c r="H70" s="237">
        <f>ROUND(G70/100,0)*100</f>
        <v/>
      </c>
      <c r="I70" s="230" t="n">
        <v>5209.78</v>
      </c>
      <c r="M70" s="87" t="n">
        <v>3701.6511</v>
      </c>
    </row>
    <row r="71">
      <c r="A71" s="124" t="n">
        <v>428</v>
      </c>
      <c r="B71" s="223" t="inlineStr">
        <is>
          <t>Dispenser para Papel Higiénico</t>
        </is>
      </c>
      <c r="C71" s="223" t="n"/>
      <c r="D71" s="237">
        <f>I71*0.93*0.98</f>
        <v/>
      </c>
      <c r="E71" s="237">
        <f>D71*1.3*1.105</f>
        <v/>
      </c>
      <c r="F71" s="237">
        <f>D71*1.3*1.105/0.9</f>
        <v/>
      </c>
      <c r="G71" s="237">
        <f>F71*1.21</f>
        <v/>
      </c>
      <c r="H71" s="237">
        <f>ROUND(G71/100,0)*100</f>
        <v/>
      </c>
      <c r="I71" s="230" t="n">
        <v>5957.56</v>
      </c>
      <c r="M71" s="87" t="n">
        <v>4233.325404</v>
      </c>
    </row>
    <row r="72">
      <c r="A72" s="124" t="n">
        <v>429</v>
      </c>
      <c r="B72" s="223" t="inlineStr">
        <is>
          <t>Dispenser para Toallas de Papel</t>
        </is>
      </c>
      <c r="C72" s="223" t="n"/>
      <c r="D72" s="237">
        <f>I72*0.93*0.98</f>
        <v/>
      </c>
      <c r="E72" s="237">
        <f>D72*1.3*1.105</f>
        <v/>
      </c>
      <c r="F72" s="237">
        <f>D72*1.3*1.105/0.9</f>
        <v/>
      </c>
      <c r="G72" s="237">
        <f>F72*1.21</f>
        <v/>
      </c>
      <c r="H72" s="237">
        <f>ROUND(G72/100,0)*100</f>
        <v/>
      </c>
      <c r="I72" s="230" t="n">
        <v>4274.12</v>
      </c>
      <c r="M72" s="87" t="n">
        <v>3037.112904</v>
      </c>
    </row>
    <row r="73">
      <c r="A73" s="124" t="n">
        <v>430</v>
      </c>
      <c r="B73" s="223" t="inlineStr">
        <is>
          <t>Dispenser Para Papel Higienico Racional 600</t>
        </is>
      </c>
      <c r="D73" s="237">
        <f>I73*0.93*0.98</f>
        <v/>
      </c>
      <c r="E73" s="237">
        <f>D73*1.3*1.105</f>
        <v/>
      </c>
      <c r="F73" s="237">
        <f>D73*1.3*1.105/0.9</f>
        <v/>
      </c>
      <c r="G73" s="237">
        <f>F73*1.21</f>
        <v/>
      </c>
      <c r="H73" s="237">
        <f>ROUND(G73/100,0)*100</f>
        <v/>
      </c>
      <c r="I73" s="230" t="n">
        <v>8386.17</v>
      </c>
      <c r="M73" s="87" t="n">
        <v>5959.09776</v>
      </c>
    </row>
    <row r="74">
      <c r="A74" s="124" t="n"/>
      <c r="B74" s="223" t="n"/>
      <c r="C74" s="223" t="n"/>
      <c r="D74" s="237" t="n"/>
      <c r="E74" s="200" t="n"/>
      <c r="F74" s="200" t="n"/>
      <c r="G74" s="200" t="n"/>
      <c r="H74" s="200" t="n"/>
      <c r="I74" s="237" t="n"/>
      <c r="M74" s="87" t="n"/>
    </row>
    <row r="75">
      <c r="A75" s="124" t="n"/>
      <c r="B75" s="223" t="n"/>
      <c r="C75" s="223" t="n"/>
      <c r="D75" s="237" t="n"/>
      <c r="E75" s="200" t="n"/>
      <c r="F75" s="200" t="n"/>
      <c r="G75" s="200" t="n"/>
      <c r="H75" s="200" t="n"/>
      <c r="I75" s="237" t="n"/>
      <c r="M75" s="87" t="n"/>
    </row>
    <row r="76">
      <c r="A76" s="124" t="n"/>
      <c r="B76" s="223" t="n"/>
      <c r="C76" s="223" t="n"/>
      <c r="D76" s="237" t="n"/>
      <c r="E76" s="200" t="n"/>
      <c r="F76" s="200" t="n"/>
      <c r="G76" s="200" t="n"/>
      <c r="H76" s="200" t="n"/>
      <c r="I76" s="237" t="n"/>
      <c r="M76" s="87" t="n"/>
    </row>
    <row r="77">
      <c r="A77" s="117" t="inlineStr">
        <is>
          <t>LIMPIEZA INDUSTRIAL</t>
        </is>
      </c>
      <c r="B77" s="271" t="n"/>
      <c r="C77" s="223" t="n"/>
      <c r="D77" s="237" t="n"/>
      <c r="E77" s="200" t="n"/>
      <c r="F77" s="200" t="n"/>
      <c r="G77" s="200" t="n"/>
      <c r="H77" s="200" t="n"/>
      <c r="I77" s="237" t="n"/>
      <c r="M77" s="87" t="n"/>
    </row>
    <row r="78">
      <c r="A78" s="131" t="n"/>
      <c r="B78" s="223" t="n"/>
      <c r="C78" s="223" t="n"/>
      <c r="D78" s="237" t="n"/>
      <c r="E78" s="200" t="n"/>
      <c r="F78" s="200" t="n"/>
      <c r="G78" s="200" t="n"/>
      <c r="H78" s="200" t="n"/>
      <c r="I78" s="237" t="n"/>
      <c r="M78" s="87" t="n"/>
    </row>
    <row r="79">
      <c r="A79" s="182" t="n">
        <v>101</v>
      </c>
      <c r="B79" s="224" t="inlineStr">
        <is>
          <t>Pack x 6 bobinas 22,5 cm x 300 porciones</t>
        </is>
      </c>
      <c r="D79" s="184">
        <f>I79*0.93*0.98</f>
        <v/>
      </c>
      <c r="E79" s="184">
        <f>D79*1.3*1.105</f>
        <v/>
      </c>
      <c r="F79" s="184">
        <f>D79*1.3*1.105/0.9</f>
        <v/>
      </c>
      <c r="G79" s="184">
        <f>F79*1.21</f>
        <v/>
      </c>
      <c r="H79" s="184">
        <f>ROUND(G79/100,0)*100</f>
        <v/>
      </c>
      <c r="I79" s="127" t="n">
        <v>6411.8</v>
      </c>
      <c r="J79" s="193" t="n"/>
      <c r="K79" s="193" t="n"/>
      <c r="L79" s="193" t="n"/>
      <c r="M79" s="194" t="n">
        <v>4556.13417</v>
      </c>
      <c r="N79" s="193" t="n"/>
      <c r="O79" s="193" t="n"/>
      <c r="P79" s="193" t="n"/>
      <c r="Q79" s="193" t="n"/>
      <c r="R79" s="193" t="n"/>
      <c r="S79" s="193" t="n"/>
      <c r="T79" s="193" t="n"/>
      <c r="U79" s="193" t="n"/>
      <c r="V79" s="193" t="n"/>
      <c r="W79" s="193" t="n"/>
      <c r="X79" s="193" t="n"/>
      <c r="Y79" s="193" t="n"/>
      <c r="Z79" s="193" t="n"/>
      <c r="AA79" s="193" t="n"/>
      <c r="AB79" s="193" t="n"/>
    </row>
    <row r="80">
      <c r="A80" s="124" t="n">
        <v>109</v>
      </c>
      <c r="B80" s="223" t="inlineStr">
        <is>
          <t>Pack x 2 bobinas papel original 22,5 cm x 270 mts</t>
        </is>
      </c>
      <c r="D80" s="237">
        <f>I80*0.93*0.98</f>
        <v/>
      </c>
      <c r="E80" s="237">
        <f>D80*1.3*1.105</f>
        <v/>
      </c>
      <c r="F80" s="237">
        <f>D80*1.3*1.105/0.9</f>
        <v/>
      </c>
      <c r="G80" s="237">
        <f>F80*1.21</f>
        <v/>
      </c>
      <c r="H80" s="237">
        <f>ROUND(G80/100,0)*100</f>
        <v/>
      </c>
      <c r="I80" s="230" t="n">
        <v>5004.08</v>
      </c>
      <c r="M80" s="87" t="n">
        <v>3555.808872</v>
      </c>
    </row>
    <row r="81">
      <c r="A81" s="182" t="n">
        <v>123</v>
      </c>
      <c r="B81" s="224" t="inlineStr">
        <is>
          <t>Pack x 2 bobinas Papel Original 900 hjs/360 mts.</t>
        </is>
      </c>
      <c r="D81" s="184">
        <f>I81*0.93*0.98</f>
        <v/>
      </c>
      <c r="E81" s="184">
        <f>D81*1.3*1.105</f>
        <v/>
      </c>
      <c r="F81" s="184">
        <f>D81*1.3*1.105/0.9</f>
        <v/>
      </c>
      <c r="G81" s="184">
        <f>F81*1.21</f>
        <v/>
      </c>
      <c r="H81" s="184">
        <f>ROUND(G81/100,0)*100</f>
        <v/>
      </c>
      <c r="I81" s="230" t="n">
        <v>7326.8</v>
      </c>
      <c r="J81" s="193" t="n"/>
      <c r="K81" s="193" t="n"/>
      <c r="L81" s="193" t="n"/>
      <c r="M81" s="194" t="n">
        <v>5223.196944</v>
      </c>
      <c r="N81" s="193" t="n"/>
      <c r="O81" s="193" t="n"/>
      <c r="P81" s="193" t="n"/>
      <c r="Q81" s="193" t="n"/>
      <c r="R81" s="193" t="n"/>
      <c r="S81" s="193" t="n"/>
      <c r="T81" s="193" t="n"/>
      <c r="U81" s="193" t="n"/>
      <c r="V81" s="193" t="n"/>
      <c r="W81" s="193" t="n"/>
      <c r="X81" s="193" t="n"/>
      <c r="Y81" s="193" t="n"/>
      <c r="Z81" s="193" t="n"/>
      <c r="AA81" s="193" t="n"/>
      <c r="AB81" s="193" t="n"/>
    </row>
    <row r="82">
      <c r="A82" s="124" t="n">
        <v>809</v>
      </c>
      <c r="B82" s="223" t="inlineStr">
        <is>
          <t>Pack x 4 Rollos 600 porc 25x25 Rep Tambo</t>
        </is>
      </c>
      <c r="D82" s="237">
        <f>I82*0.93*0.98</f>
        <v/>
      </c>
      <c r="E82" s="237">
        <f>D82*1.3*1.105</f>
        <v/>
      </c>
      <c r="F82" s="237">
        <f>D82*1.3*1.105/0.9</f>
        <v/>
      </c>
      <c r="G82" s="237">
        <f>F82*1.21</f>
        <v/>
      </c>
      <c r="H82" s="237">
        <f>ROUND(G82/100,0)*100</f>
        <v/>
      </c>
      <c r="I82" s="230" t="n">
        <v>7635.88</v>
      </c>
      <c r="M82" s="87" t="n">
        <v>5425.965216</v>
      </c>
    </row>
    <row r="83">
      <c r="A83" s="124" t="n"/>
      <c r="B83" s="223" t="n"/>
      <c r="C83" s="223" t="n"/>
      <c r="D83" s="237" t="n"/>
      <c r="E83" s="200" t="n"/>
      <c r="F83" s="200" t="n"/>
      <c r="G83" s="200" t="n"/>
      <c r="H83" s="200" t="n"/>
      <c r="I83" s="237" t="n"/>
      <c r="M83" s="87" t="n"/>
    </row>
    <row r="84">
      <c r="A84" s="124" t="n"/>
      <c r="B84" s="223" t="n"/>
      <c r="C84" s="223" t="n"/>
      <c r="D84" s="237" t="n"/>
      <c r="E84" s="200" t="n"/>
      <c r="F84" s="200" t="n"/>
      <c r="G84" s="200" t="n"/>
      <c r="H84" s="200" t="n"/>
      <c r="I84" s="237" t="n"/>
      <c r="M84" s="87" t="n"/>
    </row>
    <row r="85">
      <c r="A85" s="117" t="inlineStr">
        <is>
          <t>PAÑOS DE LIMPIEZA DE ALTA PERFORMANCE</t>
        </is>
      </c>
      <c r="B85" s="223" t="n"/>
      <c r="C85" s="223" t="n"/>
      <c r="D85" s="237" t="n"/>
      <c r="E85" s="200" t="n"/>
      <c r="F85" s="200" t="n"/>
      <c r="G85" s="200" t="n"/>
      <c r="H85" s="200" t="n"/>
      <c r="I85" s="237" t="n"/>
      <c r="M85" s="87" t="n"/>
    </row>
    <row r="86">
      <c r="A86" s="131" t="n"/>
      <c r="B86" s="223" t="n"/>
      <c r="C86" s="223" t="n"/>
      <c r="D86" s="237" t="n"/>
      <c r="E86" s="200" t="n"/>
      <c r="F86" s="200" t="n"/>
      <c r="G86" s="200" t="n"/>
      <c r="H86" s="200" t="n"/>
      <c r="I86" s="237" t="n"/>
      <c r="M86" s="87" t="n"/>
    </row>
    <row r="87">
      <c r="A87" s="157" t="inlineStr">
        <is>
          <t>Linea Softclean</t>
        </is>
      </c>
      <c r="C87" s="158" t="n"/>
      <c r="D87" s="169" t="n"/>
      <c r="E87" s="197" t="n"/>
      <c r="F87" s="197" t="n"/>
      <c r="G87" s="197" t="n"/>
      <c r="H87" s="197" t="n"/>
      <c r="I87" s="192" t="n"/>
      <c r="M87" s="87" t="n"/>
    </row>
    <row r="88">
      <c r="A88" s="186" t="n">
        <v>601</v>
      </c>
      <c r="B88" s="223" t="inlineStr">
        <is>
          <t>Rollo precortado Maxi blanco 30 x 38 x 500 softclean</t>
        </is>
      </c>
      <c r="D88" s="166">
        <f>I88*0.93*0.98</f>
        <v/>
      </c>
      <c r="E88" s="166">
        <f>D88*1.3*1.105</f>
        <v/>
      </c>
      <c r="F88" s="166">
        <f>D88*1.3*1.105/0.9</f>
        <v/>
      </c>
      <c r="G88" s="166">
        <f>F88*1.21</f>
        <v/>
      </c>
      <c r="H88" s="166">
        <f>ROUND(G88/100,0)*100</f>
        <v/>
      </c>
      <c r="I88" s="240" t="n">
        <v>54.43</v>
      </c>
      <c r="M88" s="87" t="n">
        <v>49.607502</v>
      </c>
    </row>
    <row r="89">
      <c r="A89" s="186" t="n">
        <v>605</v>
      </c>
      <c r="B89" s="223" t="inlineStr">
        <is>
          <t>Caja x 250 Paños Ultratex de 34cm x 60cm</t>
        </is>
      </c>
      <c r="D89" s="166">
        <f>I89*0.93*0.98</f>
        <v/>
      </c>
      <c r="E89" s="166">
        <f>D89*1.3*1.105</f>
        <v/>
      </c>
      <c r="F89" s="166">
        <f>D89*1.3*1.105/0.9</f>
        <v/>
      </c>
      <c r="G89" s="166">
        <f>F89*1.21</f>
        <v/>
      </c>
      <c r="H89" s="166">
        <f>ROUND(G89/100,0)*100</f>
        <v/>
      </c>
      <c r="I89" s="240" t="n">
        <v>228.4</v>
      </c>
      <c r="M89" s="87" t="n">
        <v>208.16376</v>
      </c>
    </row>
    <row r="90">
      <c r="A90" s="186" t="n">
        <v>606</v>
      </c>
      <c r="B90" s="223" t="inlineStr">
        <is>
          <t>Caja x 300 Paños Ultratex de 45,7cm x 53,3cm</t>
        </is>
      </c>
      <c r="D90" s="166">
        <f>I90*0.93*0.98</f>
        <v/>
      </c>
      <c r="E90" s="166">
        <f>D90*1.3*1.105</f>
        <v/>
      </c>
      <c r="F90" s="166">
        <f>D90*1.3*1.105/0.9</f>
        <v/>
      </c>
      <c r="G90" s="166">
        <f>F90*1.21</f>
        <v/>
      </c>
      <c r="H90" s="166">
        <f>ROUND(G90/100,0)*100</f>
        <v/>
      </c>
      <c r="I90" s="240" t="n">
        <v>323.14</v>
      </c>
      <c r="M90" s="87" t="n">
        <v>294.509796</v>
      </c>
    </row>
    <row r="91">
      <c r="A91" s="186" t="n">
        <v>608</v>
      </c>
      <c r="B91" s="223" t="inlineStr">
        <is>
          <t>Repuesto x 2 rollos Softclean x 350 mts</t>
        </is>
      </c>
      <c r="D91" s="166">
        <f>I91*0.93*0.98</f>
        <v/>
      </c>
      <c r="E91" s="166">
        <f>D91*1.3*1.105</f>
        <v/>
      </c>
      <c r="F91" s="166">
        <f>D91*1.3*1.105/0.9</f>
        <v/>
      </c>
      <c r="G91" s="166">
        <f>F91*1.21</f>
        <v/>
      </c>
      <c r="H91" s="166">
        <f>ROUND(G91/100,0)*100</f>
        <v/>
      </c>
      <c r="I91" s="240" t="n">
        <v>49.43</v>
      </c>
      <c r="M91" s="87" t="n">
        <v>45.050502</v>
      </c>
    </row>
    <row r="92">
      <c r="A92" s="186" t="n">
        <v>612</v>
      </c>
      <c r="B92" s="223" t="inlineStr">
        <is>
          <t>Contenedor Mini Softclean x 150 porc. 13 x 26.5cm</t>
        </is>
      </c>
      <c r="D92" s="166">
        <f>I92*0.93*0.98</f>
        <v/>
      </c>
      <c r="E92" s="166">
        <f>D92*1.3*1.105</f>
        <v/>
      </c>
      <c r="F92" s="166">
        <f>D92*1.3*1.105/0.9</f>
        <v/>
      </c>
      <c r="G92" s="166">
        <f>F92*1.21</f>
        <v/>
      </c>
      <c r="H92" s="166">
        <f>ROUND(G92/100,0)*100</f>
        <v/>
      </c>
      <c r="I92" s="240" t="n">
        <v>7.53</v>
      </c>
      <c r="M92" s="87" t="n">
        <v>6.862842000000001</v>
      </c>
    </row>
    <row r="93">
      <c r="A93" s="186" t="n">
        <v>614</v>
      </c>
      <c r="B93" s="223" t="inlineStr">
        <is>
          <t>Rollo SoftClean S 70x 875 Porciones de 30x 25</t>
        </is>
      </c>
      <c r="D93" s="166">
        <f>I93*0.93*0.98</f>
        <v/>
      </c>
      <c r="E93" s="166">
        <f>D93*1.3*1.105</f>
        <v/>
      </c>
      <c r="F93" s="166">
        <f>D93*1.3*1.105/0.9</f>
        <v/>
      </c>
      <c r="G93" s="166">
        <f>F93*1.21</f>
        <v/>
      </c>
      <c r="H93" s="166">
        <f>ROUND(G93/100,0)*100</f>
        <v/>
      </c>
      <c r="I93" s="240" t="n">
        <v>59.55</v>
      </c>
      <c r="M93" s="87" t="n">
        <v>54.27387</v>
      </c>
    </row>
    <row r="94">
      <c r="A94" s="186" t="n">
        <v>615</v>
      </c>
      <c r="B94" s="223" t="inlineStr">
        <is>
          <t>Contenedor Center Softclean x 350 22,5 x26,5</t>
        </is>
      </c>
      <c r="D94" s="166">
        <f>I94*0.93*0.98</f>
        <v/>
      </c>
      <c r="E94" s="166">
        <f>D94*1.3*1.105</f>
        <v/>
      </c>
      <c r="F94" s="166">
        <f>D94*1.3*1.105/0.9</f>
        <v/>
      </c>
      <c r="G94" s="166">
        <f>F94*1.21</f>
        <v/>
      </c>
      <c r="H94" s="166">
        <f>ROUND(G94/100,0)*100</f>
        <v/>
      </c>
      <c r="I94" s="240" t="n">
        <v>25.9</v>
      </c>
      <c r="M94" s="87" t="n">
        <v>23.60526</v>
      </c>
    </row>
    <row r="95">
      <c r="A95" s="186" t="n">
        <v>616</v>
      </c>
      <c r="B95" s="223" t="inlineStr">
        <is>
          <t>Rollo Mini Sofclean x 190 porciones de 22,5 x 26,5</t>
        </is>
      </c>
      <c r="D95" s="166">
        <f>I95*0.93*0.98</f>
        <v/>
      </c>
      <c r="E95" s="166">
        <f>D95*1.3*1.105</f>
        <v/>
      </c>
      <c r="F95" s="166">
        <f>D95*1.3*1.105/0.9</f>
        <v/>
      </c>
      <c r="G95" s="166">
        <f>F95*1.21</f>
        <v/>
      </c>
      <c r="H95" s="166">
        <f>ROUND(G95/100,0)*100</f>
        <v/>
      </c>
      <c r="I95" s="240" t="n">
        <v>12.94</v>
      </c>
      <c r="M95" s="87" t="n">
        <v>11.793516</v>
      </c>
    </row>
    <row r="96">
      <c r="A96" s="186" t="n">
        <v>617</v>
      </c>
      <c r="B96" s="223" t="inlineStr">
        <is>
          <t>Caja 1/4 Folded Softclean 500 30 x 30 cm Celeste</t>
        </is>
      </c>
      <c r="D96" s="166">
        <f>I96*0.93*0.98</f>
        <v/>
      </c>
      <c r="E96" s="166">
        <f>D96*1.3*1.105</f>
        <v/>
      </c>
      <c r="F96" s="166">
        <f>D96*1.3*1.105/0.9</f>
        <v/>
      </c>
      <c r="G96" s="166">
        <f>F96*1.21</f>
        <v/>
      </c>
      <c r="H96" s="166">
        <f>ROUND(G96/100,0)*100</f>
        <v/>
      </c>
      <c r="I96" s="240" t="n">
        <v>42.96</v>
      </c>
      <c r="M96" s="87" t="n">
        <v>39.153744</v>
      </c>
    </row>
    <row r="97">
      <c r="A97" s="186" t="n">
        <v>618</v>
      </c>
      <c r="B97" s="223" t="inlineStr">
        <is>
          <t>Rollo Precortado Softclean 600 porciones de 30x 26,5</t>
        </is>
      </c>
      <c r="D97" s="166">
        <f>I97*0.93*0.98</f>
        <v/>
      </c>
      <c r="E97" s="166">
        <f>D97*1.3*1.105</f>
        <v/>
      </c>
      <c r="F97" s="166">
        <f>D97*1.3*1.105/0.9</f>
        <v/>
      </c>
      <c r="G97" s="166">
        <f>F97*1.21</f>
        <v/>
      </c>
      <c r="H97" s="166">
        <f>ROUND(G97/100,0)*100</f>
        <v/>
      </c>
      <c r="I97" s="240" t="n">
        <v>42.96</v>
      </c>
      <c r="M97" s="87" t="n">
        <v>39.153744</v>
      </c>
    </row>
    <row r="98">
      <c r="A98" s="186" t="n"/>
      <c r="B98" s="223" t="n"/>
      <c r="C98" s="223" t="n"/>
      <c r="D98" s="166" t="n"/>
      <c r="E98" s="195" t="n"/>
      <c r="F98" s="195" t="n"/>
      <c r="G98" s="195" t="n"/>
      <c r="H98" s="195" t="n"/>
      <c r="I98" s="244" t="n"/>
      <c r="M98" s="87" t="n"/>
    </row>
    <row r="99">
      <c r="A99" s="168" t="inlineStr">
        <is>
          <t>Linea Sontara</t>
        </is>
      </c>
      <c r="C99" s="158" t="n"/>
      <c r="D99" s="169" t="n"/>
      <c r="E99" s="197" t="n"/>
      <c r="F99" s="197" t="n"/>
      <c r="G99" s="197" t="n"/>
      <c r="H99" s="197" t="n"/>
      <c r="I99" s="198" t="n"/>
      <c r="M99" s="87" t="n"/>
    </row>
    <row r="100">
      <c r="A100" s="186" t="n">
        <v>604</v>
      </c>
      <c r="B100" s="223" t="inlineStr">
        <is>
          <t>Rollo precortado Maxi de 30 x38 blanco</t>
        </is>
      </c>
      <c r="D100" s="166">
        <f>I100*0.93*0.98</f>
        <v/>
      </c>
      <c r="E100" s="166">
        <f>D100*1.3*1.105</f>
        <v/>
      </c>
      <c r="F100" s="166">
        <f>D100*1.3*1.105/0.9</f>
        <v/>
      </c>
      <c r="G100" s="166">
        <f>F100*1.21</f>
        <v/>
      </c>
      <c r="H100" s="166">
        <f>ROUND(G100/100,0)*100</f>
        <v/>
      </c>
      <c r="I100" s="240" t="n">
        <v>113.44</v>
      </c>
      <c r="M100" s="87" t="n">
        <v>103.389216</v>
      </c>
    </row>
    <row r="101">
      <c r="A101" s="186" t="n">
        <v>619</v>
      </c>
      <c r="B101" s="223" t="inlineStr">
        <is>
          <t>Centerfeed Sontara Celeste 350 porc22,5 x 26,5</t>
        </is>
      </c>
      <c r="D101" s="166">
        <f>I101*0.93*0.98</f>
        <v/>
      </c>
      <c r="E101" s="166">
        <f>D101*1.3*1.105</f>
        <v/>
      </c>
      <c r="F101" s="166">
        <f>D101*1.3*1.105/0.9</f>
        <v/>
      </c>
      <c r="G101" s="166">
        <f>F101*1.21</f>
        <v/>
      </c>
      <c r="H101" s="166">
        <f>ROUND(G101/100,0)*100</f>
        <v/>
      </c>
      <c r="I101" s="240" t="n">
        <v>57.54</v>
      </c>
      <c r="M101" s="87" t="n">
        <v>52.441956</v>
      </c>
    </row>
    <row r="102">
      <c r="A102" s="186" t="n">
        <v>620</v>
      </c>
      <c r="B102" s="223" t="inlineStr">
        <is>
          <t>Rollo prec Sontara por 600 porc 30 x26,5 celeste</t>
        </is>
      </c>
      <c r="D102" s="166">
        <f>I102*0.93*0.98</f>
        <v/>
      </c>
      <c r="E102" s="166">
        <f>D102*1.3*1.105</f>
        <v/>
      </c>
      <c r="F102" s="166">
        <f>D102*1.3*1.105/0.9</f>
        <v/>
      </c>
      <c r="G102" s="166">
        <f>F102*1.21</f>
        <v/>
      </c>
      <c r="H102" s="166">
        <f>ROUND(G102/100,0)*100</f>
        <v/>
      </c>
      <c r="I102" s="240" t="n">
        <v>106.81</v>
      </c>
      <c r="M102" s="87" t="n">
        <v>97.34663400000001</v>
      </c>
    </row>
    <row r="103">
      <c r="A103" s="186" t="n">
        <v>621</v>
      </c>
      <c r="B103" s="223" t="inlineStr">
        <is>
          <t>Rollo Sontara Mini x 190 porc 22,5 x26,5 celeste</t>
        </is>
      </c>
      <c r="D103" s="166">
        <f>I103*0.93*0.98</f>
        <v/>
      </c>
      <c r="E103" s="166">
        <f>D103*1.3*1.105</f>
        <v/>
      </c>
      <c r="F103" s="166">
        <f>D103*1.3*1.105/0.9</f>
        <v/>
      </c>
      <c r="G103" s="166">
        <f>F103*1.21</f>
        <v/>
      </c>
      <c r="H103" s="166">
        <f>ROUND(G103/100,0)*100</f>
        <v/>
      </c>
      <c r="I103" s="240" t="n">
        <v>26.14</v>
      </c>
      <c r="M103" s="87" t="n">
        <v>23.823996</v>
      </c>
    </row>
    <row r="104">
      <c r="A104" s="186" t="n">
        <v>627</v>
      </c>
      <c r="B104" s="223" t="inlineStr">
        <is>
          <t>SMP 300 Paños de 22,5 cm x 22,5 cm</t>
        </is>
      </c>
      <c r="D104" s="166">
        <f>I104*0.93*0.98</f>
        <v/>
      </c>
      <c r="E104" s="166">
        <f>D104*1.3*1.105</f>
        <v/>
      </c>
      <c r="F104" s="166">
        <f>D104*1.3*1.105/0.9</f>
        <v/>
      </c>
      <c r="G104" s="166">
        <f>F104*1.21</f>
        <v/>
      </c>
      <c r="H104" s="166">
        <f>ROUND(G104/100,0)*100</f>
        <v/>
      </c>
      <c r="I104" s="240" t="n">
        <v>69.04000000000001</v>
      </c>
      <c r="M104" s="87" t="n">
        <v>62.92305600000001</v>
      </c>
    </row>
    <row r="105">
      <c r="A105" s="171" t="n">
        <v>645</v>
      </c>
      <c r="B105" s="175" t="inlineStr">
        <is>
          <t>Caja por 500Paños Sontara de 30 x 30 cm celeste</t>
        </is>
      </c>
      <c r="D105" s="166">
        <f>I105*0.93*0.98</f>
        <v/>
      </c>
      <c r="E105" s="166">
        <f>D105*1.3*1.105</f>
        <v/>
      </c>
      <c r="F105" s="166">
        <f>D105*1.3*1.105/0.9</f>
        <v/>
      </c>
      <c r="G105" s="166">
        <f>F105*1.21</f>
        <v/>
      </c>
      <c r="H105" s="166">
        <f>ROUND(G105/100,0)*100</f>
        <v/>
      </c>
      <c r="I105" s="240" t="n">
        <v>75.94</v>
      </c>
      <c r="M105" s="87" t="n">
        <v>69.211716</v>
      </c>
    </row>
    <row r="106">
      <c r="A106" s="186" t="n">
        <v>656</v>
      </c>
      <c r="B106" s="175" t="inlineStr">
        <is>
          <t>Caja por 400 Paños Sontara de 30 x 30 cm Blancos</t>
        </is>
      </c>
      <c r="D106" s="166">
        <f>I106*0.93*0.98</f>
        <v/>
      </c>
      <c r="E106" s="166">
        <f>D106*1.3*1.105</f>
        <v/>
      </c>
      <c r="F106" s="166">
        <f>D106*1.3*1.105/0.9</f>
        <v/>
      </c>
      <c r="G106" s="166">
        <f>F106*1.21</f>
        <v/>
      </c>
      <c r="H106" s="166">
        <f>ROUND(G106/100,0)*100</f>
        <v/>
      </c>
      <c r="I106" s="240" t="n">
        <v>73.48999999999999</v>
      </c>
      <c r="M106" s="87" t="n">
        <v>66.978786</v>
      </c>
    </row>
    <row r="107">
      <c r="A107" s="223" t="n"/>
      <c r="B107" s="175" t="n"/>
      <c r="C107" s="175" t="n"/>
      <c r="D107" s="215" t="n"/>
      <c r="E107" s="223" t="n"/>
      <c r="F107" s="223" t="n"/>
      <c r="G107" s="223" t="n"/>
      <c r="H107" s="223" t="n"/>
      <c r="I107" s="215" t="n"/>
      <c r="M107" s="87" t="n"/>
    </row>
    <row r="108">
      <c r="A108" s="223" t="n"/>
      <c r="B108" s="175" t="n"/>
      <c r="C108" s="223" t="n"/>
      <c r="D108" s="215" t="n"/>
      <c r="E108" s="223" t="n"/>
      <c r="F108" s="223" t="n"/>
      <c r="G108" s="223" t="n"/>
      <c r="H108" s="223" t="n"/>
      <c r="I108" s="215" t="n"/>
      <c r="M108" s="87" t="n"/>
    </row>
    <row r="109">
      <c r="A109" s="223" t="n"/>
      <c r="B109" s="175" t="n"/>
      <c r="C109" s="223" t="n"/>
      <c r="D109" s="215" t="n"/>
      <c r="E109" s="223" t="n"/>
      <c r="F109" s="223" t="n"/>
      <c r="G109" s="223" t="n"/>
      <c r="H109" s="223" t="n"/>
      <c r="I109" s="215" t="n"/>
      <c r="M109" s="87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E110" s="223" t="n"/>
      <c r="F110" s="223" t="n"/>
      <c r="G110" s="223" t="n"/>
      <c r="H110" s="223" t="n"/>
      <c r="I110" s="215" t="n"/>
      <c r="M110" s="87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E111" s="223" t="n"/>
      <c r="F111" s="223" t="n"/>
      <c r="G111" s="223" t="n"/>
      <c r="H111" s="223" t="n"/>
      <c r="I111" s="215" t="n"/>
      <c r="M111" s="87" t="n"/>
    </row>
    <row r="112">
      <c r="D112" s="87" t="n"/>
      <c r="I112" s="87" t="n"/>
      <c r="M112" s="87" t="n"/>
    </row>
    <row r="113">
      <c r="D113" s="87" t="n"/>
      <c r="I113" s="87" t="n"/>
      <c r="M113" s="87" t="n"/>
    </row>
    <row r="114">
      <c r="D114" s="87" t="n"/>
      <c r="I114" s="87" t="n"/>
      <c r="M114" s="87" t="n"/>
    </row>
    <row r="115">
      <c r="D115" s="87" t="n"/>
      <c r="I115" s="87" t="n"/>
      <c r="M115" s="87" t="n"/>
    </row>
    <row r="116">
      <c r="D116" s="87" t="n"/>
      <c r="I116" s="87" t="n"/>
      <c r="M116" s="87" t="n"/>
    </row>
    <row r="117">
      <c r="D117" s="87" t="n"/>
      <c r="I117" s="87" t="n"/>
      <c r="M117" s="87" t="n"/>
    </row>
    <row r="118">
      <c r="D118" s="87" t="n"/>
      <c r="I118" s="87" t="n"/>
      <c r="M118" s="87" t="n"/>
    </row>
    <row r="119">
      <c r="D119" s="87" t="n"/>
      <c r="I119" s="87" t="n"/>
      <c r="M119" s="87" t="n"/>
    </row>
    <row r="120">
      <c r="D120" s="87" t="n"/>
      <c r="I120" s="87" t="n"/>
      <c r="M120" s="87" t="n"/>
    </row>
    <row r="121">
      <c r="D121" s="87" t="n"/>
      <c r="I121" s="87" t="n"/>
      <c r="M121" s="87" t="n"/>
    </row>
    <row r="122">
      <c r="D122" s="87" t="n"/>
      <c r="I122" s="87" t="n"/>
      <c r="M122" s="87" t="n"/>
    </row>
    <row r="123">
      <c r="D123" s="87" t="n"/>
      <c r="I123" s="87" t="n"/>
      <c r="M123" s="87" t="n"/>
    </row>
    <row r="124">
      <c r="D124" s="87" t="n"/>
      <c r="I124" s="87" t="n"/>
      <c r="M124" s="87" t="n"/>
    </row>
    <row r="125">
      <c r="D125" s="87" t="n"/>
      <c r="I125" s="87" t="n"/>
      <c r="M125" s="87" t="n"/>
    </row>
    <row r="126">
      <c r="D126" s="87" t="n"/>
      <c r="I126" s="87" t="n"/>
      <c r="M126" s="87" t="n"/>
    </row>
    <row r="127">
      <c r="D127" s="87" t="n"/>
      <c r="I127" s="87" t="n"/>
      <c r="M127" s="87" t="n"/>
    </row>
    <row r="128">
      <c r="D128" s="87" t="n"/>
      <c r="I128" s="87" t="n"/>
      <c r="M128" s="87" t="n"/>
    </row>
    <row r="129">
      <c r="D129" s="87" t="n"/>
      <c r="I129" s="87" t="n"/>
      <c r="M129" s="87" t="n"/>
    </row>
    <row r="130">
      <c r="D130" s="87" t="n"/>
      <c r="I130" s="87" t="n"/>
      <c r="M130" s="87" t="n"/>
    </row>
    <row r="131">
      <c r="D131" s="87" t="n"/>
      <c r="I131" s="87" t="n"/>
      <c r="M131" s="87" t="n"/>
    </row>
    <row r="132">
      <c r="D132" s="87" t="n"/>
      <c r="I132" s="87" t="n"/>
      <c r="M132" s="87" t="n"/>
    </row>
    <row r="133">
      <c r="D133" s="87" t="n"/>
      <c r="I133" s="87" t="n"/>
      <c r="M133" s="87" t="n"/>
    </row>
    <row r="134">
      <c r="D134" s="87" t="n"/>
      <c r="I134" s="87" t="n"/>
      <c r="M134" s="87" t="n"/>
    </row>
    <row r="135">
      <c r="D135" s="87" t="n"/>
      <c r="I135" s="87" t="n"/>
      <c r="M135" s="87" t="n"/>
    </row>
    <row r="136">
      <c r="D136" s="87" t="n"/>
      <c r="I136" s="87" t="n"/>
      <c r="M136" s="87" t="n"/>
    </row>
    <row r="137">
      <c r="D137" s="87" t="n"/>
      <c r="I137" s="87" t="n"/>
      <c r="M137" s="87" t="n"/>
    </row>
    <row r="138">
      <c r="D138" s="87" t="n"/>
      <c r="I138" s="87" t="n"/>
      <c r="M138" s="87" t="n"/>
    </row>
    <row r="139">
      <c r="D139" s="87" t="n"/>
      <c r="I139" s="87" t="n"/>
      <c r="M139" s="87" t="n"/>
    </row>
    <row r="140">
      <c r="D140" s="87" t="n"/>
      <c r="I140" s="87" t="n"/>
      <c r="M140" s="87" t="n"/>
    </row>
    <row r="141">
      <c r="D141" s="87" t="n"/>
      <c r="I141" s="87" t="n"/>
      <c r="M141" s="87" t="n"/>
    </row>
    <row r="142">
      <c r="D142" s="87" t="n"/>
      <c r="I142" s="87" t="n"/>
      <c r="M142" s="87" t="n"/>
    </row>
    <row r="143">
      <c r="D143" s="87" t="n"/>
      <c r="I143" s="87" t="n"/>
      <c r="M143" s="87" t="n"/>
    </row>
    <row r="144">
      <c r="D144" s="87" t="n"/>
      <c r="I144" s="87" t="n"/>
      <c r="M144" s="87" t="n"/>
    </row>
    <row r="145">
      <c r="D145" s="87" t="n"/>
      <c r="I145" s="87" t="n"/>
      <c r="M145" s="87" t="n"/>
    </row>
    <row r="146">
      <c r="D146" s="87" t="n"/>
      <c r="I146" s="87" t="n"/>
      <c r="M146" s="87" t="n"/>
    </row>
    <row r="147">
      <c r="D147" s="87" t="n"/>
      <c r="I147" s="87" t="n"/>
      <c r="M147" s="87" t="n"/>
    </row>
    <row r="148">
      <c r="D148" s="87" t="n"/>
      <c r="I148" s="87" t="n"/>
      <c r="M148" s="87" t="n"/>
    </row>
    <row r="149">
      <c r="D149" s="87" t="n"/>
      <c r="I149" s="87" t="n"/>
      <c r="M149" s="87" t="n"/>
    </row>
    <row r="150">
      <c r="D150" s="87" t="n"/>
      <c r="I150" s="87" t="n"/>
      <c r="M150" s="87" t="n"/>
    </row>
    <row r="151">
      <c r="D151" s="87" t="n"/>
      <c r="I151" s="87" t="n"/>
      <c r="M151" s="87" t="n"/>
    </row>
    <row r="152">
      <c r="D152" s="87" t="n"/>
      <c r="I152" s="87" t="n"/>
      <c r="M152" s="87" t="n"/>
    </row>
    <row r="153">
      <c r="D153" s="87" t="n"/>
      <c r="I153" s="87" t="n"/>
      <c r="M153" s="87" t="n"/>
    </row>
    <row r="154">
      <c r="D154" s="87" t="n"/>
      <c r="I154" s="87" t="n"/>
      <c r="M154" s="87" t="n"/>
    </row>
    <row r="155">
      <c r="D155" s="87" t="n"/>
      <c r="I155" s="87" t="n"/>
      <c r="M155" s="87" t="n"/>
    </row>
    <row r="156">
      <c r="D156" s="87" t="n"/>
      <c r="I156" s="87" t="n"/>
      <c r="M156" s="87" t="n"/>
    </row>
    <row r="157">
      <c r="D157" s="87" t="n"/>
      <c r="I157" s="87" t="n"/>
      <c r="M157" s="87" t="n"/>
    </row>
    <row r="158">
      <c r="D158" s="87" t="n"/>
      <c r="I158" s="87" t="n"/>
      <c r="M158" s="87" t="n"/>
    </row>
    <row r="159">
      <c r="D159" s="87" t="n"/>
      <c r="I159" s="87" t="n"/>
      <c r="M159" s="87" t="n"/>
    </row>
    <row r="160">
      <c r="D160" s="87" t="n"/>
      <c r="I160" s="87" t="n"/>
      <c r="M160" s="87" t="n"/>
    </row>
    <row r="161">
      <c r="D161" s="87" t="n"/>
      <c r="I161" s="87" t="n"/>
      <c r="M161" s="87" t="n"/>
    </row>
    <row r="162">
      <c r="D162" s="87" t="n"/>
      <c r="I162" s="87" t="n"/>
      <c r="M162" s="87" t="n"/>
    </row>
    <row r="163">
      <c r="D163" s="87" t="n"/>
      <c r="I163" s="87" t="n"/>
      <c r="M163" s="87" t="n"/>
    </row>
    <row r="164">
      <c r="D164" s="87" t="n"/>
      <c r="I164" s="87" t="n"/>
      <c r="M164" s="87" t="n"/>
    </row>
    <row r="165">
      <c r="D165" s="87" t="n"/>
      <c r="I165" s="87" t="n"/>
      <c r="M165" s="87" t="n"/>
    </row>
    <row r="166">
      <c r="D166" s="87" t="n"/>
      <c r="I166" s="87" t="n"/>
      <c r="M166" s="87" t="n"/>
    </row>
    <row r="167">
      <c r="D167" s="87" t="n"/>
      <c r="I167" s="87" t="n"/>
      <c r="M167" s="87" t="n"/>
    </row>
    <row r="168">
      <c r="D168" s="87" t="n"/>
      <c r="I168" s="87" t="n"/>
      <c r="M168" s="87" t="n"/>
    </row>
    <row r="169">
      <c r="D169" s="87" t="n"/>
      <c r="I169" s="87" t="n"/>
      <c r="M169" s="87" t="n"/>
    </row>
    <row r="170">
      <c r="D170" s="87" t="n"/>
      <c r="I170" s="87" t="n"/>
      <c r="M170" s="87" t="n"/>
    </row>
    <row r="171">
      <c r="D171" s="87" t="n"/>
      <c r="I171" s="87" t="n"/>
      <c r="M171" s="87" t="n"/>
    </row>
    <row r="172">
      <c r="D172" s="87" t="n"/>
      <c r="I172" s="87" t="n"/>
      <c r="M172" s="87" t="n"/>
    </row>
    <row r="173">
      <c r="D173" s="87" t="n"/>
      <c r="I173" s="87" t="n"/>
      <c r="M173" s="87" t="n"/>
    </row>
    <row r="174">
      <c r="D174" s="87" t="n"/>
      <c r="I174" s="87" t="n"/>
      <c r="M174" s="87" t="n"/>
    </row>
    <row r="175">
      <c r="D175" s="87" t="n"/>
      <c r="I175" s="87" t="n"/>
      <c r="M175" s="87" t="n"/>
    </row>
    <row r="176">
      <c r="D176" s="87" t="n"/>
      <c r="I176" s="87" t="n"/>
      <c r="M176" s="87" t="n"/>
    </row>
    <row r="177">
      <c r="D177" s="87" t="n"/>
      <c r="I177" s="87" t="n"/>
      <c r="M177" s="87" t="n"/>
    </row>
    <row r="178">
      <c r="D178" s="87" t="n"/>
      <c r="I178" s="87" t="n"/>
      <c r="M178" s="87" t="n"/>
    </row>
    <row r="179">
      <c r="D179" s="87" t="n"/>
      <c r="I179" s="87" t="n"/>
      <c r="M179" s="87" t="n"/>
    </row>
    <row r="180">
      <c r="D180" s="87" t="n"/>
      <c r="I180" s="87" t="n"/>
      <c r="M180" s="87" t="n"/>
    </row>
    <row r="181">
      <c r="D181" s="87" t="n"/>
      <c r="I181" s="87" t="n"/>
      <c r="M181" s="87" t="n"/>
    </row>
    <row r="182">
      <c r="D182" s="87" t="n"/>
      <c r="I182" s="87" t="n"/>
      <c r="M182" s="87" t="n"/>
    </row>
    <row r="183">
      <c r="D183" s="87" t="n"/>
      <c r="I183" s="87" t="n"/>
      <c r="M183" s="87" t="n"/>
    </row>
    <row r="184">
      <c r="D184" s="87" t="n"/>
      <c r="I184" s="87" t="n"/>
      <c r="M184" s="87" t="n"/>
    </row>
    <row r="185">
      <c r="D185" s="87" t="n"/>
      <c r="I185" s="87" t="n"/>
      <c r="M185" s="87" t="n"/>
    </row>
    <row r="186">
      <c r="D186" s="87" t="n"/>
      <c r="I186" s="87" t="n"/>
      <c r="M186" s="87" t="n"/>
    </row>
    <row r="187">
      <c r="D187" s="87" t="n"/>
      <c r="I187" s="87" t="n"/>
      <c r="M187" s="87" t="n"/>
    </row>
    <row r="188">
      <c r="D188" s="87" t="n"/>
      <c r="I188" s="87" t="n"/>
      <c r="M188" s="87" t="n"/>
    </row>
    <row r="189">
      <c r="D189" s="87" t="n"/>
      <c r="I189" s="87" t="n"/>
      <c r="M189" s="87" t="n"/>
    </row>
    <row r="190">
      <c r="D190" s="87" t="n"/>
      <c r="I190" s="87" t="n"/>
      <c r="M190" s="87" t="n"/>
    </row>
    <row r="191">
      <c r="D191" s="87" t="n"/>
      <c r="I191" s="87" t="n"/>
      <c r="M191" s="87" t="n"/>
    </row>
    <row r="192">
      <c r="D192" s="87" t="n"/>
      <c r="I192" s="87" t="n"/>
      <c r="M192" s="87" t="n"/>
    </row>
    <row r="193">
      <c r="D193" s="87" t="n"/>
      <c r="I193" s="87" t="n"/>
      <c r="M193" s="87" t="n"/>
    </row>
    <row r="194">
      <c r="D194" s="87" t="n"/>
      <c r="I194" s="87" t="n"/>
      <c r="M194" s="87" t="n"/>
    </row>
    <row r="195">
      <c r="D195" s="87" t="n"/>
      <c r="I195" s="87" t="n"/>
      <c r="M195" s="87" t="n"/>
    </row>
    <row r="196">
      <c r="D196" s="87" t="n"/>
      <c r="I196" s="87" t="n"/>
      <c r="M196" s="87" t="n"/>
    </row>
    <row r="197">
      <c r="D197" s="87" t="n"/>
      <c r="I197" s="87" t="n"/>
      <c r="M197" s="87" t="n"/>
    </row>
    <row r="198">
      <c r="D198" s="87" t="n"/>
      <c r="I198" s="87" t="n"/>
      <c r="M198" s="87" t="n"/>
    </row>
    <row r="199">
      <c r="D199" s="87" t="n"/>
      <c r="I199" s="87" t="n"/>
      <c r="M199" s="87" t="n"/>
    </row>
    <row r="200">
      <c r="D200" s="87" t="n"/>
      <c r="I200" s="87" t="n"/>
      <c r="M200" s="87" t="n"/>
    </row>
    <row r="201">
      <c r="D201" s="87" t="n"/>
      <c r="I201" s="87" t="n"/>
      <c r="M201" s="87" t="n"/>
    </row>
    <row r="202">
      <c r="D202" s="87" t="n"/>
      <c r="I202" s="87" t="n"/>
      <c r="M202" s="87" t="n"/>
    </row>
    <row r="203">
      <c r="D203" s="87" t="n"/>
      <c r="I203" s="87" t="n"/>
      <c r="M203" s="87" t="n"/>
    </row>
    <row r="204">
      <c r="D204" s="87" t="n"/>
      <c r="I204" s="87" t="n"/>
      <c r="M204" s="87" t="n"/>
    </row>
    <row r="205">
      <c r="D205" s="87" t="n"/>
      <c r="I205" s="87" t="n"/>
      <c r="M205" s="87" t="n"/>
    </row>
    <row r="206">
      <c r="D206" s="87" t="n"/>
      <c r="I206" s="87" t="n"/>
      <c r="M206" s="87" t="n"/>
    </row>
    <row r="207">
      <c r="D207" s="87" t="n"/>
      <c r="I207" s="87" t="n"/>
      <c r="M207" s="87" t="n"/>
    </row>
    <row r="208">
      <c r="D208" s="87" t="n"/>
      <c r="I208" s="87" t="n"/>
      <c r="M208" s="87" t="n"/>
    </row>
    <row r="209">
      <c r="D209" s="87" t="n"/>
      <c r="I209" s="87" t="n"/>
      <c r="M209" s="87" t="n"/>
    </row>
    <row r="210">
      <c r="D210" s="87" t="n"/>
      <c r="I210" s="87" t="n"/>
      <c r="M210" s="87" t="n"/>
    </row>
    <row r="211">
      <c r="D211" s="87" t="n"/>
      <c r="I211" s="87" t="n"/>
      <c r="M211" s="87" t="n"/>
    </row>
    <row r="212">
      <c r="D212" s="87" t="n"/>
      <c r="I212" s="87" t="n"/>
      <c r="M212" s="87" t="n"/>
    </row>
    <row r="213">
      <c r="D213" s="87" t="n"/>
      <c r="I213" s="87" t="n"/>
      <c r="M213" s="87" t="n"/>
    </row>
    <row r="214">
      <c r="D214" s="87" t="n"/>
      <c r="I214" s="87" t="n"/>
      <c r="M214" s="87" t="n"/>
    </row>
    <row r="215">
      <c r="D215" s="87" t="n"/>
      <c r="I215" s="87" t="n"/>
      <c r="M215" s="87" t="n"/>
    </row>
    <row r="216">
      <c r="D216" s="87" t="n"/>
      <c r="I216" s="87" t="n"/>
      <c r="M216" s="87" t="n"/>
    </row>
    <row r="217">
      <c r="D217" s="87" t="n"/>
      <c r="I217" s="87" t="n"/>
      <c r="M217" s="87" t="n"/>
    </row>
    <row r="218">
      <c r="D218" s="87" t="n"/>
      <c r="I218" s="87" t="n"/>
      <c r="M218" s="87" t="n"/>
    </row>
    <row r="219">
      <c r="D219" s="87" t="n"/>
      <c r="I219" s="87" t="n"/>
      <c r="M219" s="87" t="n"/>
    </row>
    <row r="220">
      <c r="D220" s="87" t="n"/>
      <c r="I220" s="87" t="n"/>
      <c r="M220" s="87" t="n"/>
    </row>
    <row r="221">
      <c r="D221" s="87" t="n"/>
      <c r="I221" s="87" t="n"/>
      <c r="M221" s="87" t="n"/>
    </row>
    <row r="222">
      <c r="D222" s="87" t="n"/>
      <c r="I222" s="87" t="n"/>
      <c r="M222" s="87" t="n"/>
    </row>
    <row r="223">
      <c r="D223" s="87" t="n"/>
      <c r="I223" s="87" t="n"/>
      <c r="M223" s="87" t="n"/>
    </row>
    <row r="224">
      <c r="D224" s="87" t="n"/>
      <c r="I224" s="87" t="n"/>
      <c r="M224" s="87" t="n"/>
    </row>
    <row r="225">
      <c r="D225" s="87" t="n"/>
      <c r="I225" s="87" t="n"/>
      <c r="M225" s="87" t="n"/>
    </row>
    <row r="226">
      <c r="D226" s="87" t="n"/>
      <c r="I226" s="87" t="n"/>
      <c r="M226" s="87" t="n"/>
    </row>
    <row r="227">
      <c r="D227" s="87" t="n"/>
      <c r="I227" s="87" t="n"/>
      <c r="M227" s="87" t="n"/>
    </row>
    <row r="228">
      <c r="D228" s="87" t="n"/>
      <c r="I228" s="87" t="n"/>
      <c r="M228" s="87" t="n"/>
    </row>
    <row r="229">
      <c r="D229" s="87" t="n"/>
      <c r="I229" s="87" t="n"/>
      <c r="M229" s="87" t="n"/>
    </row>
    <row r="230">
      <c r="D230" s="87" t="n"/>
      <c r="I230" s="87" t="n"/>
      <c r="M230" s="87" t="n"/>
    </row>
    <row r="231">
      <c r="D231" s="87" t="n"/>
      <c r="I231" s="87" t="n"/>
      <c r="M231" s="87" t="n"/>
    </row>
    <row r="232">
      <c r="D232" s="87" t="n"/>
      <c r="I232" s="87" t="n"/>
      <c r="M232" s="87" t="n"/>
    </row>
    <row r="233">
      <c r="D233" s="87" t="n"/>
      <c r="I233" s="87" t="n"/>
      <c r="M233" s="87" t="n"/>
    </row>
    <row r="234">
      <c r="D234" s="87" t="n"/>
      <c r="I234" s="87" t="n"/>
      <c r="M234" s="87" t="n"/>
    </row>
    <row r="235">
      <c r="D235" s="87" t="n"/>
      <c r="I235" s="87" t="n"/>
      <c r="M235" s="87" t="n"/>
    </row>
    <row r="236">
      <c r="D236" s="87" t="n"/>
      <c r="I236" s="87" t="n"/>
      <c r="M236" s="87" t="n"/>
    </row>
    <row r="237">
      <c r="D237" s="87" t="n"/>
      <c r="I237" s="87" t="n"/>
      <c r="M237" s="87" t="n"/>
    </row>
    <row r="238">
      <c r="D238" s="87" t="n"/>
      <c r="I238" s="87" t="n"/>
      <c r="M238" s="87" t="n"/>
    </row>
    <row r="239">
      <c r="D239" s="87" t="n"/>
      <c r="I239" s="87" t="n"/>
      <c r="M239" s="87" t="n"/>
    </row>
    <row r="240">
      <c r="D240" s="87" t="n"/>
      <c r="I240" s="87" t="n"/>
      <c r="M240" s="87" t="n"/>
    </row>
    <row r="241">
      <c r="D241" s="87" t="n"/>
      <c r="I241" s="87" t="n"/>
      <c r="M241" s="87" t="n"/>
    </row>
    <row r="242">
      <c r="D242" s="87" t="n"/>
      <c r="I242" s="87" t="n"/>
      <c r="M242" s="87" t="n"/>
    </row>
    <row r="243">
      <c r="D243" s="87" t="n"/>
      <c r="I243" s="87" t="n"/>
      <c r="M243" s="87" t="n"/>
    </row>
    <row r="244">
      <c r="D244" s="87" t="n"/>
      <c r="I244" s="87" t="n"/>
      <c r="M244" s="87" t="n"/>
    </row>
    <row r="245">
      <c r="D245" s="87" t="n"/>
      <c r="I245" s="87" t="n"/>
      <c r="M245" s="87" t="n"/>
    </row>
    <row r="246">
      <c r="D246" s="87" t="n"/>
      <c r="I246" s="87" t="n"/>
      <c r="M246" s="87" t="n"/>
    </row>
    <row r="247">
      <c r="D247" s="87" t="n"/>
      <c r="I247" s="87" t="n"/>
      <c r="M247" s="87" t="n"/>
    </row>
    <row r="248">
      <c r="D248" s="87" t="n"/>
      <c r="I248" s="87" t="n"/>
      <c r="M248" s="87" t="n"/>
    </row>
    <row r="249">
      <c r="D249" s="87" t="n"/>
      <c r="I249" s="87" t="n"/>
      <c r="M249" s="87" t="n"/>
    </row>
    <row r="250">
      <c r="D250" s="87" t="n"/>
      <c r="I250" s="87" t="n"/>
      <c r="M250" s="87" t="n"/>
    </row>
    <row r="251">
      <c r="D251" s="87" t="n"/>
      <c r="I251" s="87" t="n"/>
      <c r="M251" s="87" t="n"/>
    </row>
    <row r="252">
      <c r="D252" s="87" t="n"/>
      <c r="I252" s="87" t="n"/>
      <c r="M252" s="87" t="n"/>
    </row>
    <row r="253">
      <c r="D253" s="87" t="n"/>
      <c r="I253" s="87" t="n"/>
      <c r="M253" s="87" t="n"/>
    </row>
    <row r="254">
      <c r="D254" s="87" t="n"/>
      <c r="I254" s="87" t="n"/>
      <c r="M254" s="87" t="n"/>
    </row>
    <row r="255">
      <c r="D255" s="87" t="n"/>
      <c r="I255" s="87" t="n"/>
      <c r="M255" s="87" t="n"/>
    </row>
    <row r="256">
      <c r="D256" s="87" t="n"/>
      <c r="I256" s="87" t="n"/>
      <c r="M256" s="87" t="n"/>
    </row>
    <row r="257">
      <c r="D257" s="87" t="n"/>
      <c r="I257" s="87" t="n"/>
      <c r="M257" s="87" t="n"/>
    </row>
    <row r="258">
      <c r="D258" s="87" t="n"/>
      <c r="I258" s="87" t="n"/>
      <c r="M258" s="87" t="n"/>
    </row>
    <row r="259">
      <c r="D259" s="87" t="n"/>
      <c r="I259" s="87" t="n"/>
      <c r="M259" s="87" t="n"/>
    </row>
    <row r="260">
      <c r="D260" s="87" t="n"/>
      <c r="I260" s="87" t="n"/>
      <c r="M260" s="87" t="n"/>
    </row>
    <row r="261">
      <c r="D261" s="87" t="n"/>
      <c r="I261" s="87" t="n"/>
      <c r="M261" s="87" t="n"/>
    </row>
    <row r="262">
      <c r="D262" s="87" t="n"/>
      <c r="I262" s="87" t="n"/>
      <c r="M262" s="87" t="n"/>
    </row>
    <row r="263">
      <c r="D263" s="87" t="n"/>
      <c r="I263" s="87" t="n"/>
      <c r="M263" s="87" t="n"/>
    </row>
    <row r="264">
      <c r="D264" s="87" t="n"/>
      <c r="I264" s="87" t="n"/>
      <c r="M264" s="87" t="n"/>
    </row>
    <row r="265">
      <c r="D265" s="87" t="n"/>
      <c r="I265" s="87" t="n"/>
      <c r="M265" s="87" t="n"/>
    </row>
    <row r="266">
      <c r="D266" s="87" t="n"/>
      <c r="I266" s="87" t="n"/>
      <c r="M266" s="87" t="n"/>
    </row>
    <row r="267">
      <c r="D267" s="87" t="n"/>
      <c r="I267" s="87" t="n"/>
      <c r="M267" s="87" t="n"/>
    </row>
    <row r="268">
      <c r="D268" s="87" t="n"/>
      <c r="I268" s="87" t="n"/>
      <c r="M268" s="87" t="n"/>
    </row>
    <row r="269">
      <c r="D269" s="87" t="n"/>
      <c r="I269" s="87" t="n"/>
      <c r="M269" s="87" t="n"/>
    </row>
    <row r="270">
      <c r="D270" s="87" t="n"/>
      <c r="I270" s="87" t="n"/>
      <c r="M270" s="87" t="n"/>
    </row>
    <row r="271">
      <c r="D271" s="87" t="n"/>
      <c r="I271" s="87" t="n"/>
      <c r="M271" s="87" t="n"/>
    </row>
    <row r="272">
      <c r="D272" s="87" t="n"/>
      <c r="I272" s="87" t="n"/>
      <c r="M272" s="87" t="n"/>
    </row>
    <row r="273">
      <c r="D273" s="87" t="n"/>
      <c r="I273" s="87" t="n"/>
      <c r="M273" s="87" t="n"/>
    </row>
    <row r="274">
      <c r="D274" s="87" t="n"/>
      <c r="I274" s="87" t="n"/>
      <c r="M274" s="87" t="n"/>
    </row>
    <row r="275">
      <c r="D275" s="87" t="n"/>
      <c r="I275" s="87" t="n"/>
      <c r="M275" s="87" t="n"/>
    </row>
    <row r="276">
      <c r="D276" s="87" t="n"/>
      <c r="I276" s="87" t="n"/>
      <c r="M276" s="87" t="n"/>
    </row>
    <row r="277">
      <c r="D277" s="87" t="n"/>
      <c r="I277" s="87" t="n"/>
      <c r="M277" s="87" t="n"/>
    </row>
    <row r="278">
      <c r="D278" s="87" t="n"/>
      <c r="I278" s="87" t="n"/>
      <c r="M278" s="87" t="n"/>
    </row>
    <row r="279">
      <c r="D279" s="87" t="n"/>
      <c r="I279" s="87" t="n"/>
      <c r="M279" s="87" t="n"/>
    </row>
    <row r="280">
      <c r="D280" s="87" t="n"/>
      <c r="I280" s="87" t="n"/>
      <c r="M280" s="87" t="n"/>
    </row>
    <row r="281">
      <c r="D281" s="87" t="n"/>
      <c r="I281" s="87" t="n"/>
      <c r="M281" s="87" t="n"/>
    </row>
    <row r="282">
      <c r="D282" s="87" t="n"/>
      <c r="I282" s="87" t="n"/>
      <c r="M282" s="87" t="n"/>
    </row>
    <row r="283">
      <c r="D283" s="87" t="n"/>
      <c r="I283" s="87" t="n"/>
      <c r="M283" s="87" t="n"/>
    </row>
    <row r="284">
      <c r="D284" s="87" t="n"/>
      <c r="I284" s="87" t="n"/>
      <c r="M284" s="87" t="n"/>
    </row>
    <row r="285">
      <c r="D285" s="87" t="n"/>
      <c r="I285" s="87" t="n"/>
      <c r="M285" s="87" t="n"/>
    </row>
    <row r="286">
      <c r="D286" s="87" t="n"/>
      <c r="I286" s="87" t="n"/>
      <c r="M286" s="87" t="n"/>
    </row>
    <row r="287">
      <c r="D287" s="87" t="n"/>
      <c r="I287" s="87" t="n"/>
      <c r="M287" s="87" t="n"/>
    </row>
    <row r="288">
      <c r="D288" s="87" t="n"/>
      <c r="I288" s="87" t="n"/>
      <c r="M288" s="87" t="n"/>
    </row>
    <row r="289">
      <c r="D289" s="87" t="n"/>
      <c r="I289" s="87" t="n"/>
      <c r="M289" s="87" t="n"/>
    </row>
    <row r="290">
      <c r="D290" s="87" t="n"/>
      <c r="I290" s="87" t="n"/>
      <c r="M290" s="87" t="n"/>
    </row>
    <row r="291">
      <c r="D291" s="87" t="n"/>
      <c r="I291" s="87" t="n"/>
      <c r="M291" s="87" t="n"/>
    </row>
    <row r="292">
      <c r="D292" s="87" t="n"/>
      <c r="I292" s="87" t="n"/>
      <c r="M292" s="87" t="n"/>
    </row>
    <row r="293">
      <c r="D293" s="87" t="n"/>
      <c r="I293" s="87" t="n"/>
      <c r="M293" s="87" t="n"/>
    </row>
    <row r="294">
      <c r="D294" s="87" t="n"/>
      <c r="I294" s="87" t="n"/>
      <c r="M294" s="87" t="n"/>
    </row>
    <row r="295">
      <c r="D295" s="87" t="n"/>
      <c r="I295" s="87" t="n"/>
      <c r="M295" s="87" t="n"/>
    </row>
    <row r="296">
      <c r="D296" s="87" t="n"/>
      <c r="I296" s="87" t="n"/>
      <c r="M296" s="87" t="n"/>
    </row>
    <row r="297">
      <c r="D297" s="87" t="n"/>
      <c r="I297" s="87" t="n"/>
      <c r="M297" s="87" t="n"/>
    </row>
    <row r="298">
      <c r="D298" s="87" t="n"/>
      <c r="I298" s="87" t="n"/>
      <c r="M298" s="87" t="n"/>
    </row>
    <row r="299">
      <c r="D299" s="87" t="n"/>
      <c r="I299" s="87" t="n"/>
      <c r="M299" s="87" t="n"/>
    </row>
    <row r="300">
      <c r="D300" s="87" t="n"/>
      <c r="I300" s="87" t="n"/>
      <c r="M300" s="87" t="n"/>
    </row>
    <row r="301">
      <c r="D301" s="87" t="n"/>
      <c r="I301" s="87" t="n"/>
      <c r="M301" s="87" t="n"/>
    </row>
    <row r="302">
      <c r="D302" s="87" t="n"/>
      <c r="I302" s="87" t="n"/>
      <c r="M302" s="87" t="n"/>
    </row>
    <row r="303">
      <c r="D303" s="87" t="n"/>
      <c r="I303" s="87" t="n"/>
      <c r="M303" s="87" t="n"/>
    </row>
    <row r="304">
      <c r="D304" s="87" t="n"/>
      <c r="I304" s="87" t="n"/>
      <c r="M304" s="87" t="n"/>
    </row>
    <row r="305">
      <c r="D305" s="87" t="n"/>
      <c r="I305" s="87" t="n"/>
      <c r="M305" s="87" t="n"/>
    </row>
    <row r="306">
      <c r="D306" s="87" t="n"/>
      <c r="I306" s="87" t="n"/>
      <c r="M306" s="87" t="n"/>
    </row>
    <row r="307">
      <c r="D307" s="87" t="n"/>
      <c r="I307" s="87" t="n"/>
      <c r="M307" s="87" t="n"/>
    </row>
    <row r="308">
      <c r="D308" s="87" t="n"/>
      <c r="I308" s="87" t="n"/>
      <c r="M308" s="87" t="n"/>
    </row>
    <row r="309">
      <c r="D309" s="87" t="n"/>
      <c r="I309" s="87" t="n"/>
      <c r="M309" s="87" t="n"/>
    </row>
    <row r="310">
      <c r="D310" s="87" t="n"/>
      <c r="I310" s="87" t="n"/>
      <c r="M310" s="87" t="n"/>
    </row>
    <row r="311">
      <c r="D311" s="87" t="n"/>
      <c r="I311" s="87" t="n"/>
      <c r="M311" s="87" t="n"/>
    </row>
    <row r="312">
      <c r="D312" s="87" t="n"/>
      <c r="I312" s="87" t="n"/>
      <c r="M312" s="87" t="n"/>
    </row>
    <row r="313">
      <c r="D313" s="87" t="n"/>
      <c r="I313" s="87" t="n"/>
      <c r="M313" s="87" t="n"/>
    </row>
    <row r="314">
      <c r="D314" s="87" t="n"/>
      <c r="I314" s="87" t="n"/>
      <c r="M314" s="87" t="n"/>
    </row>
    <row r="315">
      <c r="D315" s="87" t="n"/>
      <c r="I315" s="87" t="n"/>
      <c r="M315" s="87" t="n"/>
    </row>
    <row r="316">
      <c r="D316" s="87" t="n"/>
      <c r="I316" s="87" t="n"/>
      <c r="M316" s="87" t="n"/>
    </row>
    <row r="317">
      <c r="D317" s="87" t="n"/>
      <c r="I317" s="87" t="n"/>
      <c r="M317" s="87" t="n"/>
    </row>
    <row r="318">
      <c r="D318" s="87" t="n"/>
      <c r="I318" s="87" t="n"/>
      <c r="M318" s="87" t="n"/>
    </row>
    <row r="319">
      <c r="D319" s="87" t="n"/>
      <c r="I319" s="87" t="n"/>
      <c r="M319" s="87" t="n"/>
    </row>
    <row r="320">
      <c r="D320" s="87" t="n"/>
      <c r="I320" s="87" t="n"/>
      <c r="M320" s="87" t="n"/>
    </row>
    <row r="321">
      <c r="D321" s="87" t="n"/>
      <c r="I321" s="87" t="n"/>
      <c r="M321" s="87" t="n"/>
    </row>
    <row r="322">
      <c r="D322" s="87" t="n"/>
      <c r="I322" s="87" t="n"/>
      <c r="M322" s="87" t="n"/>
    </row>
    <row r="323">
      <c r="D323" s="87" t="n"/>
      <c r="I323" s="87" t="n"/>
      <c r="M323" s="87" t="n"/>
    </row>
    <row r="324">
      <c r="D324" s="87" t="n"/>
      <c r="I324" s="87" t="n"/>
      <c r="M324" s="87" t="n"/>
    </row>
    <row r="325">
      <c r="D325" s="87" t="n"/>
      <c r="I325" s="87" t="n"/>
      <c r="M325" s="87" t="n"/>
    </row>
    <row r="326">
      <c r="D326" s="87" t="n"/>
      <c r="I326" s="87" t="n"/>
      <c r="M326" s="87" t="n"/>
    </row>
    <row r="327">
      <c r="D327" s="87" t="n"/>
      <c r="I327" s="87" t="n"/>
      <c r="M327" s="87" t="n"/>
    </row>
    <row r="328">
      <c r="D328" s="87" t="n"/>
      <c r="I328" s="87" t="n"/>
      <c r="M328" s="87" t="n"/>
    </row>
    <row r="329">
      <c r="D329" s="87" t="n"/>
      <c r="I329" s="87" t="n"/>
      <c r="M329" s="87" t="n"/>
    </row>
    <row r="330">
      <c r="D330" s="87" t="n"/>
      <c r="I330" s="87" t="n"/>
      <c r="M330" s="87" t="n"/>
    </row>
    <row r="331">
      <c r="D331" s="87" t="n"/>
      <c r="I331" s="87" t="n"/>
      <c r="M331" s="87" t="n"/>
    </row>
    <row r="332">
      <c r="D332" s="87" t="n"/>
      <c r="I332" s="87" t="n"/>
      <c r="M332" s="87" t="n"/>
    </row>
    <row r="333">
      <c r="D333" s="87" t="n"/>
      <c r="I333" s="87" t="n"/>
      <c r="M333" s="87" t="n"/>
    </row>
    <row r="334">
      <c r="D334" s="87" t="n"/>
      <c r="I334" s="87" t="n"/>
      <c r="M334" s="87" t="n"/>
    </row>
    <row r="335">
      <c r="D335" s="87" t="n"/>
      <c r="I335" s="87" t="n"/>
      <c r="M335" s="87" t="n"/>
    </row>
    <row r="336">
      <c r="D336" s="87" t="n"/>
      <c r="I336" s="87" t="n"/>
      <c r="M336" s="87" t="n"/>
    </row>
    <row r="337">
      <c r="D337" s="87" t="n"/>
      <c r="I337" s="87" t="n"/>
      <c r="M337" s="87" t="n"/>
    </row>
    <row r="338">
      <c r="D338" s="87" t="n"/>
      <c r="I338" s="87" t="n"/>
      <c r="M338" s="87" t="n"/>
    </row>
    <row r="339">
      <c r="D339" s="87" t="n"/>
      <c r="I339" s="87" t="n"/>
      <c r="M339" s="87" t="n"/>
    </row>
    <row r="340">
      <c r="D340" s="87" t="n"/>
      <c r="I340" s="87" t="n"/>
      <c r="M340" s="87" t="n"/>
    </row>
    <row r="341">
      <c r="D341" s="87" t="n"/>
      <c r="I341" s="87" t="n"/>
      <c r="M341" s="87" t="n"/>
    </row>
    <row r="342">
      <c r="D342" s="87" t="n"/>
      <c r="I342" s="87" t="n"/>
      <c r="M342" s="87" t="n"/>
    </row>
    <row r="343">
      <c r="D343" s="87" t="n"/>
      <c r="I343" s="87" t="n"/>
      <c r="M343" s="87" t="n"/>
    </row>
    <row r="344">
      <c r="D344" s="87" t="n"/>
      <c r="I344" s="87" t="n"/>
      <c r="M344" s="87" t="n"/>
    </row>
    <row r="345">
      <c r="D345" s="87" t="n"/>
      <c r="I345" s="87" t="n"/>
      <c r="M345" s="87" t="n"/>
    </row>
    <row r="346">
      <c r="D346" s="87" t="n"/>
      <c r="I346" s="87" t="n"/>
      <c r="M346" s="87" t="n"/>
    </row>
    <row r="347">
      <c r="D347" s="87" t="n"/>
      <c r="I347" s="87" t="n"/>
      <c r="M347" s="87" t="n"/>
    </row>
    <row r="348">
      <c r="D348" s="87" t="n"/>
      <c r="I348" s="87" t="n"/>
      <c r="M348" s="87" t="n"/>
    </row>
    <row r="349">
      <c r="D349" s="87" t="n"/>
      <c r="I349" s="87" t="n"/>
      <c r="M349" s="87" t="n"/>
    </row>
    <row r="350">
      <c r="D350" s="87" t="n"/>
      <c r="I350" s="87" t="n"/>
      <c r="M350" s="87" t="n"/>
    </row>
    <row r="351">
      <c r="D351" s="87" t="n"/>
      <c r="I351" s="87" t="n"/>
      <c r="M351" s="87" t="n"/>
    </row>
    <row r="352">
      <c r="D352" s="87" t="n"/>
      <c r="I352" s="87" t="n"/>
      <c r="M352" s="87" t="n"/>
    </row>
    <row r="353">
      <c r="D353" s="87" t="n"/>
      <c r="I353" s="87" t="n"/>
      <c r="M353" s="87" t="n"/>
    </row>
    <row r="354">
      <c r="D354" s="87" t="n"/>
      <c r="I354" s="87" t="n"/>
      <c r="M354" s="87" t="n"/>
    </row>
    <row r="355">
      <c r="D355" s="87" t="n"/>
      <c r="I355" s="87" t="n"/>
      <c r="M355" s="87" t="n"/>
    </row>
    <row r="356">
      <c r="D356" s="87" t="n"/>
      <c r="I356" s="87" t="n"/>
      <c r="M356" s="87" t="n"/>
    </row>
    <row r="357">
      <c r="D357" s="87" t="n"/>
      <c r="I357" s="87" t="n"/>
      <c r="M357" s="87" t="n"/>
    </row>
    <row r="358">
      <c r="D358" s="87" t="n"/>
      <c r="I358" s="87" t="n"/>
      <c r="M358" s="87" t="n"/>
    </row>
    <row r="359">
      <c r="D359" s="87" t="n"/>
      <c r="I359" s="87" t="n"/>
      <c r="M359" s="87" t="n"/>
    </row>
    <row r="360">
      <c r="D360" s="87" t="n"/>
      <c r="I360" s="87" t="n"/>
      <c r="M360" s="87" t="n"/>
    </row>
    <row r="361">
      <c r="D361" s="87" t="n"/>
      <c r="I361" s="87" t="n"/>
      <c r="M361" s="87" t="n"/>
    </row>
    <row r="362">
      <c r="D362" s="87" t="n"/>
      <c r="I362" s="87" t="n"/>
      <c r="M362" s="87" t="n"/>
    </row>
    <row r="363">
      <c r="D363" s="87" t="n"/>
      <c r="I363" s="87" t="n"/>
      <c r="M363" s="87" t="n"/>
    </row>
    <row r="364">
      <c r="D364" s="87" t="n"/>
      <c r="I364" s="87" t="n"/>
      <c r="M364" s="87" t="n"/>
    </row>
    <row r="365">
      <c r="D365" s="87" t="n"/>
      <c r="I365" s="87" t="n"/>
      <c r="M365" s="87" t="n"/>
    </row>
    <row r="366">
      <c r="D366" s="87" t="n"/>
      <c r="I366" s="87" t="n"/>
      <c r="M366" s="87" t="n"/>
    </row>
    <row r="367">
      <c r="D367" s="87" t="n"/>
      <c r="I367" s="87" t="n"/>
      <c r="M367" s="87" t="n"/>
    </row>
    <row r="368">
      <c r="D368" s="87" t="n"/>
      <c r="I368" s="87" t="n"/>
      <c r="M368" s="87" t="n"/>
    </row>
    <row r="369">
      <c r="D369" s="87" t="n"/>
      <c r="I369" s="87" t="n"/>
      <c r="M369" s="87" t="n"/>
    </row>
    <row r="370">
      <c r="D370" s="87" t="n"/>
      <c r="I370" s="87" t="n"/>
      <c r="M370" s="87" t="n"/>
    </row>
    <row r="371">
      <c r="D371" s="87" t="n"/>
      <c r="I371" s="87" t="n"/>
      <c r="M371" s="87" t="n"/>
    </row>
    <row r="372">
      <c r="D372" s="87" t="n"/>
      <c r="I372" s="87" t="n"/>
      <c r="M372" s="87" t="n"/>
    </row>
    <row r="373">
      <c r="D373" s="87" t="n"/>
      <c r="I373" s="87" t="n"/>
      <c r="M373" s="87" t="n"/>
    </row>
    <row r="374">
      <c r="D374" s="87" t="n"/>
      <c r="I374" s="87" t="n"/>
      <c r="M374" s="87" t="n"/>
    </row>
    <row r="375">
      <c r="D375" s="87" t="n"/>
      <c r="I375" s="87" t="n"/>
      <c r="M375" s="87" t="n"/>
    </row>
    <row r="376">
      <c r="D376" s="87" t="n"/>
      <c r="I376" s="87" t="n"/>
      <c r="M376" s="87" t="n"/>
    </row>
    <row r="377">
      <c r="D377" s="87" t="n"/>
      <c r="I377" s="87" t="n"/>
      <c r="M377" s="87" t="n"/>
    </row>
    <row r="378">
      <c r="D378" s="87" t="n"/>
      <c r="I378" s="87" t="n"/>
      <c r="M378" s="87" t="n"/>
    </row>
    <row r="379">
      <c r="D379" s="87" t="n"/>
      <c r="I379" s="87" t="n"/>
      <c r="M379" s="87" t="n"/>
    </row>
    <row r="380">
      <c r="D380" s="87" t="n"/>
      <c r="I380" s="87" t="n"/>
      <c r="M380" s="87" t="n"/>
    </row>
    <row r="381">
      <c r="D381" s="87" t="n"/>
      <c r="I381" s="87" t="n"/>
      <c r="M381" s="87" t="n"/>
    </row>
    <row r="382">
      <c r="D382" s="87" t="n"/>
      <c r="I382" s="87" t="n"/>
      <c r="M382" s="87" t="n"/>
    </row>
    <row r="383">
      <c r="D383" s="87" t="n"/>
      <c r="I383" s="87" t="n"/>
      <c r="M383" s="87" t="n"/>
    </row>
    <row r="384">
      <c r="D384" s="87" t="n"/>
      <c r="I384" s="87" t="n"/>
      <c r="M384" s="87" t="n"/>
    </row>
    <row r="385">
      <c r="D385" s="87" t="n"/>
      <c r="I385" s="87" t="n"/>
      <c r="M385" s="87" t="n"/>
    </row>
    <row r="386">
      <c r="D386" s="87" t="n"/>
      <c r="I386" s="87" t="n"/>
      <c r="M386" s="87" t="n"/>
    </row>
    <row r="387">
      <c r="D387" s="87" t="n"/>
      <c r="I387" s="87" t="n"/>
      <c r="M387" s="87" t="n"/>
    </row>
    <row r="388">
      <c r="D388" s="87" t="n"/>
      <c r="I388" s="87" t="n"/>
      <c r="M388" s="87" t="n"/>
    </row>
    <row r="389">
      <c r="D389" s="87" t="n"/>
      <c r="I389" s="87" t="n"/>
      <c r="M389" s="87" t="n"/>
    </row>
    <row r="390">
      <c r="D390" s="87" t="n"/>
      <c r="I390" s="87" t="n"/>
      <c r="M390" s="87" t="n"/>
    </row>
    <row r="391">
      <c r="D391" s="87" t="n"/>
      <c r="I391" s="87" t="n"/>
      <c r="M391" s="87" t="n"/>
    </row>
    <row r="392">
      <c r="D392" s="87" t="n"/>
      <c r="I392" s="87" t="n"/>
      <c r="M392" s="87" t="n"/>
    </row>
    <row r="393">
      <c r="D393" s="87" t="n"/>
      <c r="I393" s="87" t="n"/>
      <c r="M393" s="87" t="n"/>
    </row>
    <row r="394">
      <c r="D394" s="87" t="n"/>
      <c r="I394" s="87" t="n"/>
      <c r="M394" s="87" t="n"/>
    </row>
    <row r="395">
      <c r="D395" s="87" t="n"/>
      <c r="I395" s="87" t="n"/>
      <c r="M395" s="87" t="n"/>
    </row>
    <row r="396">
      <c r="D396" s="87" t="n"/>
      <c r="I396" s="87" t="n"/>
      <c r="M396" s="87" t="n"/>
    </row>
    <row r="397">
      <c r="D397" s="87" t="n"/>
      <c r="I397" s="87" t="n"/>
      <c r="M397" s="87" t="n"/>
    </row>
    <row r="398">
      <c r="D398" s="87" t="n"/>
      <c r="I398" s="87" t="n"/>
      <c r="M398" s="87" t="n"/>
    </row>
    <row r="399">
      <c r="D399" s="87" t="n"/>
      <c r="I399" s="87" t="n"/>
      <c r="M399" s="87" t="n"/>
    </row>
    <row r="400">
      <c r="D400" s="87" t="n"/>
      <c r="I400" s="87" t="n"/>
      <c r="M400" s="87" t="n"/>
    </row>
    <row r="401">
      <c r="D401" s="87" t="n"/>
      <c r="I401" s="87" t="n"/>
      <c r="M401" s="87" t="n"/>
    </row>
    <row r="402">
      <c r="D402" s="87" t="n"/>
      <c r="I402" s="87" t="n"/>
      <c r="M402" s="87" t="n"/>
    </row>
    <row r="403">
      <c r="D403" s="87" t="n"/>
      <c r="I403" s="87" t="n"/>
      <c r="M403" s="87" t="n"/>
    </row>
    <row r="404">
      <c r="D404" s="87" t="n"/>
      <c r="I404" s="87" t="n"/>
      <c r="M404" s="87" t="n"/>
    </row>
    <row r="405">
      <c r="D405" s="87" t="n"/>
      <c r="I405" s="87" t="n"/>
      <c r="M405" s="87" t="n"/>
    </row>
    <row r="406">
      <c r="D406" s="87" t="n"/>
      <c r="I406" s="87" t="n"/>
      <c r="M406" s="87" t="n"/>
    </row>
    <row r="407">
      <c r="D407" s="87" t="n"/>
      <c r="I407" s="87" t="n"/>
      <c r="M407" s="87" t="n"/>
    </row>
    <row r="408">
      <c r="D408" s="87" t="n"/>
      <c r="I408" s="87" t="n"/>
      <c r="M408" s="87" t="n"/>
    </row>
    <row r="409">
      <c r="D409" s="87" t="n"/>
      <c r="I409" s="87" t="n"/>
      <c r="M409" s="87" t="n"/>
    </row>
    <row r="410">
      <c r="D410" s="87" t="n"/>
      <c r="I410" s="87" t="n"/>
      <c r="M410" s="87" t="n"/>
    </row>
    <row r="411">
      <c r="D411" s="87" t="n"/>
      <c r="I411" s="87" t="n"/>
      <c r="M411" s="87" t="n"/>
    </row>
    <row r="412">
      <c r="D412" s="87" t="n"/>
      <c r="I412" s="87" t="n"/>
      <c r="M412" s="87" t="n"/>
    </row>
    <row r="413">
      <c r="D413" s="87" t="n"/>
      <c r="I413" s="87" t="n"/>
      <c r="M413" s="87" t="n"/>
    </row>
    <row r="414">
      <c r="D414" s="87" t="n"/>
      <c r="I414" s="87" t="n"/>
      <c r="M414" s="87" t="n"/>
    </row>
    <row r="415">
      <c r="D415" s="87" t="n"/>
      <c r="I415" s="87" t="n"/>
      <c r="M415" s="87" t="n"/>
    </row>
    <row r="416">
      <c r="D416" s="87" t="n"/>
      <c r="I416" s="87" t="n"/>
      <c r="M416" s="87" t="n"/>
    </row>
    <row r="417">
      <c r="D417" s="87" t="n"/>
      <c r="I417" s="87" t="n"/>
      <c r="M417" s="87" t="n"/>
    </row>
    <row r="418">
      <c r="D418" s="87" t="n"/>
      <c r="I418" s="87" t="n"/>
      <c r="M418" s="87" t="n"/>
    </row>
    <row r="419">
      <c r="D419" s="87" t="n"/>
      <c r="I419" s="87" t="n"/>
      <c r="M419" s="87" t="n"/>
    </row>
    <row r="420">
      <c r="D420" s="87" t="n"/>
      <c r="I420" s="87" t="n"/>
      <c r="M420" s="87" t="n"/>
    </row>
    <row r="421">
      <c r="D421" s="87" t="n"/>
      <c r="I421" s="87" t="n"/>
      <c r="M421" s="87" t="n"/>
    </row>
    <row r="422">
      <c r="D422" s="87" t="n"/>
      <c r="I422" s="87" t="n"/>
      <c r="M422" s="87" t="n"/>
    </row>
    <row r="423">
      <c r="D423" s="87" t="n"/>
      <c r="I423" s="87" t="n"/>
      <c r="M423" s="87" t="n"/>
    </row>
    <row r="424">
      <c r="D424" s="87" t="n"/>
      <c r="I424" s="87" t="n"/>
      <c r="M424" s="87" t="n"/>
    </row>
    <row r="425">
      <c r="D425" s="87" t="n"/>
      <c r="I425" s="87" t="n"/>
      <c r="M425" s="87" t="n"/>
    </row>
    <row r="426">
      <c r="D426" s="87" t="n"/>
      <c r="I426" s="87" t="n"/>
      <c r="M426" s="87" t="n"/>
    </row>
    <row r="427">
      <c r="D427" s="87" t="n"/>
      <c r="I427" s="87" t="n"/>
      <c r="M427" s="87" t="n"/>
    </row>
    <row r="428">
      <c r="D428" s="87" t="n"/>
      <c r="I428" s="87" t="n"/>
      <c r="M428" s="87" t="n"/>
    </row>
    <row r="429">
      <c r="D429" s="87" t="n"/>
      <c r="I429" s="87" t="n"/>
      <c r="M429" s="87" t="n"/>
    </row>
    <row r="430">
      <c r="D430" s="87" t="n"/>
      <c r="I430" s="87" t="n"/>
      <c r="M430" s="87" t="n"/>
    </row>
    <row r="431">
      <c r="D431" s="87" t="n"/>
      <c r="I431" s="87" t="n"/>
      <c r="M431" s="87" t="n"/>
    </row>
    <row r="432">
      <c r="D432" s="87" t="n"/>
      <c r="I432" s="87" t="n"/>
      <c r="M432" s="87" t="n"/>
    </row>
    <row r="433">
      <c r="D433" s="87" t="n"/>
      <c r="I433" s="87" t="n"/>
      <c r="M433" s="87" t="n"/>
    </row>
    <row r="434">
      <c r="D434" s="87" t="n"/>
      <c r="I434" s="87" t="n"/>
      <c r="M434" s="87" t="n"/>
    </row>
    <row r="435">
      <c r="D435" s="87" t="n"/>
      <c r="I435" s="87" t="n"/>
      <c r="M435" s="87" t="n"/>
    </row>
    <row r="436">
      <c r="D436" s="87" t="n"/>
      <c r="I436" s="87" t="n"/>
      <c r="M436" s="87" t="n"/>
    </row>
    <row r="437">
      <c r="D437" s="87" t="n"/>
      <c r="I437" s="87" t="n"/>
      <c r="M437" s="87" t="n"/>
    </row>
    <row r="438">
      <c r="D438" s="87" t="n"/>
      <c r="I438" s="87" t="n"/>
      <c r="M438" s="87" t="n"/>
    </row>
    <row r="439">
      <c r="D439" s="87" t="n"/>
      <c r="I439" s="87" t="n"/>
      <c r="M439" s="87" t="n"/>
    </row>
    <row r="440">
      <c r="D440" s="87" t="n"/>
      <c r="I440" s="87" t="n"/>
      <c r="M440" s="87" t="n"/>
    </row>
    <row r="441">
      <c r="D441" s="87" t="n"/>
      <c r="I441" s="87" t="n"/>
      <c r="M441" s="87" t="n"/>
    </row>
    <row r="442">
      <c r="D442" s="87" t="n"/>
      <c r="I442" s="87" t="n"/>
      <c r="M442" s="87" t="n"/>
    </row>
    <row r="443">
      <c r="D443" s="87" t="n"/>
      <c r="I443" s="87" t="n"/>
      <c r="M443" s="87" t="n"/>
    </row>
    <row r="444">
      <c r="D444" s="87" t="n"/>
      <c r="I444" s="87" t="n"/>
      <c r="M444" s="87" t="n"/>
    </row>
    <row r="445">
      <c r="D445" s="87" t="n"/>
      <c r="I445" s="87" t="n"/>
      <c r="M445" s="87" t="n"/>
    </row>
    <row r="446">
      <c r="D446" s="87" t="n"/>
      <c r="I446" s="87" t="n"/>
      <c r="M446" s="87" t="n"/>
    </row>
    <row r="447">
      <c r="D447" s="87" t="n"/>
      <c r="I447" s="87" t="n"/>
      <c r="M447" s="87" t="n"/>
    </row>
    <row r="448">
      <c r="D448" s="87" t="n"/>
      <c r="I448" s="87" t="n"/>
      <c r="M448" s="87" t="n"/>
    </row>
    <row r="449">
      <c r="D449" s="87" t="n"/>
      <c r="I449" s="87" t="n"/>
      <c r="M449" s="87" t="n"/>
    </row>
    <row r="450">
      <c r="D450" s="87" t="n"/>
      <c r="I450" s="87" t="n"/>
      <c r="M450" s="87" t="n"/>
    </row>
    <row r="451">
      <c r="D451" s="87" t="n"/>
      <c r="I451" s="87" t="n"/>
      <c r="M451" s="87" t="n"/>
    </row>
    <row r="452">
      <c r="D452" s="87" t="n"/>
      <c r="I452" s="87" t="n"/>
      <c r="M452" s="87" t="n"/>
    </row>
    <row r="453">
      <c r="D453" s="87" t="n"/>
      <c r="I453" s="87" t="n"/>
      <c r="M453" s="87" t="n"/>
    </row>
    <row r="454">
      <c r="D454" s="87" t="n"/>
      <c r="I454" s="87" t="n"/>
      <c r="M454" s="87" t="n"/>
    </row>
    <row r="455">
      <c r="D455" s="87" t="n"/>
      <c r="I455" s="87" t="n"/>
      <c r="M455" s="87" t="n"/>
    </row>
    <row r="456">
      <c r="D456" s="87" t="n"/>
      <c r="I456" s="87" t="n"/>
      <c r="M456" s="87" t="n"/>
    </row>
    <row r="457">
      <c r="D457" s="87" t="n"/>
      <c r="I457" s="87" t="n"/>
      <c r="M457" s="87" t="n"/>
    </row>
    <row r="458">
      <c r="D458" s="87" t="n"/>
      <c r="I458" s="87" t="n"/>
      <c r="M458" s="87" t="n"/>
    </row>
    <row r="459">
      <c r="D459" s="87" t="n"/>
      <c r="I459" s="87" t="n"/>
      <c r="M459" s="87" t="n"/>
    </row>
    <row r="460">
      <c r="D460" s="87" t="n"/>
      <c r="I460" s="87" t="n"/>
      <c r="M460" s="87" t="n"/>
    </row>
    <row r="461">
      <c r="D461" s="87" t="n"/>
      <c r="I461" s="87" t="n"/>
      <c r="M461" s="87" t="n"/>
    </row>
    <row r="462">
      <c r="D462" s="87" t="n"/>
      <c r="I462" s="87" t="n"/>
      <c r="M462" s="87" t="n"/>
    </row>
    <row r="463">
      <c r="D463" s="87" t="n"/>
      <c r="I463" s="87" t="n"/>
      <c r="M463" s="87" t="n"/>
    </row>
    <row r="464">
      <c r="D464" s="87" t="n"/>
      <c r="I464" s="87" t="n"/>
      <c r="M464" s="87" t="n"/>
    </row>
    <row r="465">
      <c r="D465" s="87" t="n"/>
      <c r="I465" s="87" t="n"/>
      <c r="M465" s="87" t="n"/>
    </row>
    <row r="466">
      <c r="D466" s="87" t="n"/>
      <c r="I466" s="87" t="n"/>
      <c r="M466" s="87" t="n"/>
    </row>
    <row r="467">
      <c r="D467" s="87" t="n"/>
      <c r="I467" s="87" t="n"/>
      <c r="M467" s="87" t="n"/>
    </row>
    <row r="468">
      <c r="D468" s="87" t="n"/>
      <c r="I468" s="87" t="n"/>
      <c r="M468" s="87" t="n"/>
    </row>
    <row r="469">
      <c r="D469" s="87" t="n"/>
      <c r="I469" s="87" t="n"/>
      <c r="M469" s="87" t="n"/>
    </row>
    <row r="470">
      <c r="D470" s="87" t="n"/>
      <c r="I470" s="87" t="n"/>
      <c r="M470" s="87" t="n"/>
    </row>
    <row r="471">
      <c r="D471" s="87" t="n"/>
      <c r="I471" s="87" t="n"/>
      <c r="M471" s="87" t="n"/>
    </row>
    <row r="472">
      <c r="D472" s="87" t="n"/>
      <c r="I472" s="87" t="n"/>
      <c r="M472" s="87" t="n"/>
    </row>
    <row r="473">
      <c r="D473" s="87" t="n"/>
      <c r="I473" s="87" t="n"/>
      <c r="M473" s="87" t="n"/>
    </row>
    <row r="474">
      <c r="D474" s="87" t="n"/>
      <c r="I474" s="87" t="n"/>
      <c r="M474" s="87" t="n"/>
    </row>
    <row r="475">
      <c r="D475" s="87" t="n"/>
      <c r="I475" s="87" t="n"/>
      <c r="M475" s="87" t="n"/>
    </row>
    <row r="476">
      <c r="D476" s="87" t="n"/>
      <c r="I476" s="87" t="n"/>
      <c r="M476" s="87" t="n"/>
    </row>
    <row r="477">
      <c r="D477" s="87" t="n"/>
      <c r="I477" s="87" t="n"/>
      <c r="M477" s="87" t="n"/>
    </row>
    <row r="478">
      <c r="D478" s="87" t="n"/>
      <c r="I478" s="87" t="n"/>
      <c r="M478" s="87" t="n"/>
    </row>
    <row r="479">
      <c r="D479" s="87" t="n"/>
      <c r="I479" s="87" t="n"/>
      <c r="M479" s="87" t="n"/>
    </row>
    <row r="480">
      <c r="D480" s="87" t="n"/>
      <c r="I480" s="87" t="n"/>
      <c r="M480" s="87" t="n"/>
    </row>
    <row r="481">
      <c r="D481" s="87" t="n"/>
      <c r="I481" s="87" t="n"/>
      <c r="M481" s="87" t="n"/>
    </row>
    <row r="482">
      <c r="D482" s="87" t="n"/>
      <c r="I482" s="87" t="n"/>
      <c r="M482" s="87" t="n"/>
    </row>
    <row r="483">
      <c r="D483" s="87" t="n"/>
      <c r="I483" s="87" t="n"/>
      <c r="M483" s="87" t="n"/>
    </row>
    <row r="484">
      <c r="D484" s="87" t="n"/>
      <c r="I484" s="87" t="n"/>
      <c r="M484" s="87" t="n"/>
    </row>
    <row r="485">
      <c r="D485" s="87" t="n"/>
      <c r="I485" s="87" t="n"/>
      <c r="M485" s="87" t="n"/>
    </row>
    <row r="486">
      <c r="D486" s="87" t="n"/>
      <c r="I486" s="87" t="n"/>
      <c r="M486" s="87" t="n"/>
    </row>
    <row r="487">
      <c r="D487" s="87" t="n"/>
      <c r="I487" s="87" t="n"/>
      <c r="M487" s="87" t="n"/>
    </row>
    <row r="488">
      <c r="D488" s="87" t="n"/>
      <c r="I488" s="87" t="n"/>
      <c r="M488" s="87" t="n"/>
    </row>
    <row r="489">
      <c r="D489" s="87" t="n"/>
      <c r="I489" s="87" t="n"/>
      <c r="M489" s="87" t="n"/>
    </row>
    <row r="490">
      <c r="D490" s="87" t="n"/>
      <c r="I490" s="87" t="n"/>
      <c r="M490" s="87" t="n"/>
    </row>
    <row r="491">
      <c r="D491" s="87" t="n"/>
      <c r="I491" s="87" t="n"/>
      <c r="M491" s="87" t="n"/>
    </row>
    <row r="492">
      <c r="D492" s="87" t="n"/>
      <c r="I492" s="87" t="n"/>
      <c r="M492" s="87" t="n"/>
    </row>
    <row r="493">
      <c r="D493" s="87" t="n"/>
      <c r="I493" s="87" t="n"/>
      <c r="M493" s="87" t="n"/>
    </row>
    <row r="494">
      <c r="D494" s="87" t="n"/>
      <c r="I494" s="87" t="n"/>
      <c r="M494" s="87" t="n"/>
    </row>
    <row r="495">
      <c r="D495" s="87" t="n"/>
      <c r="I495" s="87" t="n"/>
      <c r="M495" s="87" t="n"/>
    </row>
    <row r="496">
      <c r="D496" s="87" t="n"/>
      <c r="I496" s="87" t="n"/>
      <c r="M496" s="87" t="n"/>
    </row>
    <row r="497">
      <c r="D497" s="87" t="n"/>
      <c r="I497" s="87" t="n"/>
      <c r="M497" s="87" t="n"/>
    </row>
    <row r="498">
      <c r="D498" s="87" t="n"/>
      <c r="I498" s="87" t="n"/>
      <c r="M498" s="87" t="n"/>
    </row>
    <row r="499">
      <c r="D499" s="87" t="n"/>
      <c r="I499" s="87" t="n"/>
      <c r="M499" s="87" t="n"/>
    </row>
    <row r="500">
      <c r="D500" s="87" t="n"/>
      <c r="I500" s="87" t="n"/>
      <c r="M500" s="87" t="n"/>
    </row>
    <row r="501">
      <c r="D501" s="87" t="n"/>
      <c r="I501" s="87" t="n"/>
      <c r="M501" s="87" t="n"/>
    </row>
    <row r="502">
      <c r="D502" s="87" t="n"/>
      <c r="I502" s="87" t="n"/>
      <c r="M502" s="87" t="n"/>
    </row>
    <row r="503">
      <c r="D503" s="87" t="n"/>
      <c r="I503" s="87" t="n"/>
      <c r="M503" s="87" t="n"/>
    </row>
    <row r="504">
      <c r="D504" s="87" t="n"/>
      <c r="I504" s="87" t="n"/>
      <c r="M504" s="87" t="n"/>
    </row>
    <row r="505">
      <c r="D505" s="87" t="n"/>
      <c r="I505" s="87" t="n"/>
      <c r="M505" s="87" t="n"/>
    </row>
    <row r="506">
      <c r="D506" s="87" t="n"/>
      <c r="I506" s="87" t="n"/>
      <c r="M506" s="87" t="n"/>
    </row>
    <row r="507">
      <c r="D507" s="87" t="n"/>
      <c r="I507" s="87" t="n"/>
      <c r="M507" s="87" t="n"/>
    </row>
    <row r="508">
      <c r="D508" s="87" t="n"/>
      <c r="I508" s="87" t="n"/>
      <c r="M508" s="87" t="n"/>
    </row>
    <row r="509">
      <c r="D509" s="87" t="n"/>
      <c r="I509" s="87" t="n"/>
      <c r="M509" s="87" t="n"/>
    </row>
    <row r="510">
      <c r="D510" s="87" t="n"/>
      <c r="I510" s="87" t="n"/>
      <c r="M510" s="87" t="n"/>
    </row>
    <row r="511">
      <c r="D511" s="87" t="n"/>
      <c r="I511" s="87" t="n"/>
      <c r="M511" s="87" t="n"/>
    </row>
    <row r="512">
      <c r="D512" s="87" t="n"/>
      <c r="I512" s="87" t="n"/>
      <c r="M512" s="87" t="n"/>
    </row>
    <row r="513">
      <c r="D513" s="87" t="n"/>
      <c r="I513" s="87" t="n"/>
      <c r="M513" s="87" t="n"/>
    </row>
    <row r="514">
      <c r="D514" s="87" t="n"/>
      <c r="I514" s="87" t="n"/>
      <c r="M514" s="87" t="n"/>
    </row>
    <row r="515">
      <c r="D515" s="87" t="n"/>
      <c r="I515" s="87" t="n"/>
      <c r="M515" s="87" t="n"/>
    </row>
    <row r="516">
      <c r="D516" s="87" t="n"/>
      <c r="I516" s="87" t="n"/>
      <c r="M516" s="87" t="n"/>
    </row>
    <row r="517">
      <c r="D517" s="87" t="n"/>
      <c r="I517" s="87" t="n"/>
      <c r="M517" s="87" t="n"/>
    </row>
    <row r="518">
      <c r="D518" s="87" t="n"/>
      <c r="I518" s="87" t="n"/>
      <c r="M518" s="87" t="n"/>
    </row>
    <row r="519">
      <c r="D519" s="87" t="n"/>
      <c r="I519" s="87" t="n"/>
      <c r="M519" s="87" t="n"/>
    </row>
    <row r="520">
      <c r="D520" s="87" t="n"/>
      <c r="I520" s="87" t="n"/>
      <c r="M520" s="87" t="n"/>
    </row>
    <row r="521">
      <c r="D521" s="87" t="n"/>
      <c r="I521" s="87" t="n"/>
      <c r="M521" s="87" t="n"/>
    </row>
    <row r="522">
      <c r="D522" s="87" t="n"/>
      <c r="I522" s="87" t="n"/>
      <c r="M522" s="87" t="n"/>
    </row>
    <row r="523">
      <c r="D523" s="87" t="n"/>
      <c r="I523" s="87" t="n"/>
      <c r="M523" s="87" t="n"/>
    </row>
    <row r="524">
      <c r="D524" s="87" t="n"/>
      <c r="I524" s="87" t="n"/>
      <c r="M524" s="87" t="n"/>
    </row>
    <row r="525">
      <c r="D525" s="87" t="n"/>
      <c r="I525" s="87" t="n"/>
      <c r="M525" s="87" t="n"/>
    </row>
    <row r="526">
      <c r="D526" s="87" t="n"/>
      <c r="I526" s="87" t="n"/>
      <c r="M526" s="87" t="n"/>
    </row>
    <row r="527">
      <c r="D527" s="87" t="n"/>
      <c r="I527" s="87" t="n"/>
      <c r="M527" s="87" t="n"/>
    </row>
    <row r="528">
      <c r="D528" s="87" t="n"/>
      <c r="I528" s="87" t="n"/>
      <c r="M528" s="87" t="n"/>
    </row>
    <row r="529">
      <c r="D529" s="87" t="n"/>
      <c r="I529" s="87" t="n"/>
      <c r="M529" s="87" t="n"/>
    </row>
    <row r="530">
      <c r="D530" s="87" t="n"/>
      <c r="I530" s="87" t="n"/>
      <c r="M530" s="87" t="n"/>
    </row>
    <row r="531">
      <c r="D531" s="87" t="n"/>
      <c r="I531" s="87" t="n"/>
      <c r="M531" s="87" t="n"/>
    </row>
    <row r="532">
      <c r="D532" s="87" t="n"/>
      <c r="I532" s="87" t="n"/>
      <c r="M532" s="87" t="n"/>
    </row>
    <row r="533">
      <c r="D533" s="87" t="n"/>
      <c r="I533" s="87" t="n"/>
      <c r="M533" s="87" t="n"/>
    </row>
    <row r="534">
      <c r="D534" s="87" t="n"/>
      <c r="I534" s="87" t="n"/>
      <c r="M534" s="87" t="n"/>
    </row>
    <row r="535">
      <c r="D535" s="87" t="n"/>
      <c r="I535" s="87" t="n"/>
      <c r="M535" s="87" t="n"/>
    </row>
    <row r="536">
      <c r="D536" s="87" t="n"/>
      <c r="I536" s="87" t="n"/>
      <c r="M536" s="87" t="n"/>
    </row>
    <row r="537">
      <c r="D537" s="87" t="n"/>
      <c r="I537" s="87" t="n"/>
      <c r="M537" s="87" t="n"/>
    </row>
    <row r="538">
      <c r="D538" s="87" t="n"/>
      <c r="I538" s="87" t="n"/>
      <c r="M538" s="87" t="n"/>
    </row>
    <row r="539">
      <c r="D539" s="87" t="n"/>
      <c r="I539" s="87" t="n"/>
      <c r="M539" s="87" t="n"/>
    </row>
    <row r="540">
      <c r="D540" s="87" t="n"/>
      <c r="I540" s="87" t="n"/>
      <c r="M540" s="87" t="n"/>
    </row>
    <row r="541">
      <c r="D541" s="87" t="n"/>
      <c r="I541" s="87" t="n"/>
      <c r="M541" s="87" t="n"/>
    </row>
    <row r="542">
      <c r="D542" s="87" t="n"/>
      <c r="I542" s="87" t="n"/>
      <c r="M542" s="87" t="n"/>
    </row>
    <row r="543">
      <c r="D543" s="87" t="n"/>
      <c r="I543" s="87" t="n"/>
      <c r="M543" s="87" t="n"/>
    </row>
    <row r="544">
      <c r="D544" s="87" t="n"/>
      <c r="I544" s="87" t="n"/>
      <c r="M544" s="87" t="n"/>
    </row>
    <row r="545">
      <c r="D545" s="87" t="n"/>
      <c r="I545" s="87" t="n"/>
      <c r="M545" s="87" t="n"/>
    </row>
    <row r="546">
      <c r="D546" s="87" t="n"/>
      <c r="I546" s="87" t="n"/>
      <c r="M546" s="87" t="n"/>
    </row>
    <row r="547">
      <c r="D547" s="87" t="n"/>
      <c r="I547" s="87" t="n"/>
      <c r="M547" s="87" t="n"/>
    </row>
    <row r="548">
      <c r="D548" s="87" t="n"/>
      <c r="I548" s="87" t="n"/>
      <c r="M548" s="87" t="n"/>
    </row>
    <row r="549">
      <c r="D549" s="87" t="n"/>
      <c r="I549" s="87" t="n"/>
      <c r="M549" s="87" t="n"/>
    </row>
    <row r="550">
      <c r="D550" s="87" t="n"/>
      <c r="I550" s="87" t="n"/>
      <c r="M550" s="87" t="n"/>
    </row>
    <row r="551">
      <c r="D551" s="87" t="n"/>
      <c r="I551" s="87" t="n"/>
      <c r="M551" s="87" t="n"/>
    </row>
    <row r="552">
      <c r="D552" s="87" t="n"/>
      <c r="I552" s="87" t="n"/>
      <c r="M552" s="87" t="n"/>
    </row>
    <row r="553">
      <c r="D553" s="87" t="n"/>
      <c r="I553" s="87" t="n"/>
      <c r="M553" s="87" t="n"/>
    </row>
    <row r="554">
      <c r="D554" s="87" t="n"/>
      <c r="I554" s="87" t="n"/>
      <c r="M554" s="87" t="n"/>
    </row>
    <row r="555">
      <c r="D555" s="87" t="n"/>
      <c r="I555" s="87" t="n"/>
      <c r="M555" s="87" t="n"/>
    </row>
    <row r="556">
      <c r="D556" s="87" t="n"/>
      <c r="I556" s="87" t="n"/>
      <c r="M556" s="87" t="n"/>
    </row>
    <row r="557">
      <c r="D557" s="87" t="n"/>
      <c r="I557" s="87" t="n"/>
      <c r="M557" s="87" t="n"/>
    </row>
    <row r="558">
      <c r="D558" s="87" t="n"/>
      <c r="I558" s="87" t="n"/>
      <c r="M558" s="87" t="n"/>
    </row>
    <row r="559">
      <c r="D559" s="87" t="n"/>
      <c r="I559" s="87" t="n"/>
      <c r="M559" s="87" t="n"/>
    </row>
    <row r="560">
      <c r="D560" s="87" t="n"/>
      <c r="I560" s="87" t="n"/>
      <c r="M560" s="87" t="n"/>
    </row>
    <row r="561">
      <c r="D561" s="87" t="n"/>
      <c r="I561" s="87" t="n"/>
      <c r="M561" s="87" t="n"/>
    </row>
    <row r="562">
      <c r="D562" s="87" t="n"/>
      <c r="I562" s="87" t="n"/>
      <c r="M562" s="87" t="n"/>
    </row>
    <row r="563">
      <c r="D563" s="87" t="n"/>
      <c r="I563" s="87" t="n"/>
      <c r="M563" s="87" t="n"/>
    </row>
    <row r="564">
      <c r="D564" s="87" t="n"/>
      <c r="I564" s="87" t="n"/>
      <c r="M564" s="87" t="n"/>
    </row>
    <row r="565">
      <c r="D565" s="87" t="n"/>
      <c r="I565" s="87" t="n"/>
      <c r="M565" s="87" t="n"/>
    </row>
    <row r="566">
      <c r="D566" s="87" t="n"/>
      <c r="I566" s="87" t="n"/>
      <c r="M566" s="87" t="n"/>
    </row>
    <row r="567">
      <c r="D567" s="87" t="n"/>
      <c r="I567" s="87" t="n"/>
      <c r="M567" s="87" t="n"/>
    </row>
    <row r="568">
      <c r="D568" s="87" t="n"/>
      <c r="I568" s="87" t="n"/>
      <c r="M568" s="87" t="n"/>
    </row>
    <row r="569">
      <c r="D569" s="87" t="n"/>
      <c r="I569" s="87" t="n"/>
      <c r="M569" s="87" t="n"/>
    </row>
    <row r="570">
      <c r="D570" s="87" t="n"/>
      <c r="I570" s="87" t="n"/>
      <c r="M570" s="87" t="n"/>
    </row>
    <row r="571">
      <c r="D571" s="87" t="n"/>
      <c r="I571" s="87" t="n"/>
      <c r="M571" s="87" t="n"/>
    </row>
    <row r="572">
      <c r="D572" s="87" t="n"/>
      <c r="I572" s="87" t="n"/>
      <c r="M572" s="87" t="n"/>
    </row>
    <row r="573">
      <c r="D573" s="87" t="n"/>
      <c r="I573" s="87" t="n"/>
      <c r="M573" s="87" t="n"/>
    </row>
    <row r="574">
      <c r="D574" s="87" t="n"/>
      <c r="I574" s="87" t="n"/>
      <c r="M574" s="87" t="n"/>
    </row>
    <row r="575">
      <c r="D575" s="87" t="n"/>
      <c r="I575" s="87" t="n"/>
      <c r="M575" s="87" t="n"/>
    </row>
    <row r="576">
      <c r="D576" s="87" t="n"/>
      <c r="I576" s="87" t="n"/>
      <c r="M576" s="87" t="n"/>
    </row>
    <row r="577">
      <c r="D577" s="87" t="n"/>
      <c r="I577" s="87" t="n"/>
      <c r="M577" s="87" t="n"/>
    </row>
    <row r="578">
      <c r="D578" s="87" t="n"/>
      <c r="I578" s="87" t="n"/>
      <c r="M578" s="87" t="n"/>
    </row>
    <row r="579">
      <c r="D579" s="87" t="n"/>
      <c r="I579" s="87" t="n"/>
      <c r="M579" s="87" t="n"/>
    </row>
    <row r="580">
      <c r="D580" s="87" t="n"/>
      <c r="I580" s="87" t="n"/>
      <c r="M580" s="87" t="n"/>
    </row>
    <row r="581">
      <c r="D581" s="87" t="n"/>
      <c r="I581" s="87" t="n"/>
      <c r="M581" s="87" t="n"/>
    </row>
    <row r="582">
      <c r="D582" s="87" t="n"/>
      <c r="I582" s="87" t="n"/>
      <c r="M582" s="87" t="n"/>
    </row>
    <row r="583">
      <c r="D583" s="87" t="n"/>
      <c r="I583" s="87" t="n"/>
      <c r="M583" s="87" t="n"/>
    </row>
    <row r="584">
      <c r="D584" s="87" t="n"/>
      <c r="I584" s="87" t="n"/>
      <c r="M584" s="87" t="n"/>
    </row>
    <row r="585">
      <c r="D585" s="87" t="n"/>
      <c r="I585" s="87" t="n"/>
      <c r="M585" s="87" t="n"/>
    </row>
    <row r="586">
      <c r="D586" s="87" t="n"/>
      <c r="I586" s="87" t="n"/>
      <c r="M586" s="87" t="n"/>
    </row>
    <row r="587">
      <c r="D587" s="87" t="n"/>
      <c r="I587" s="87" t="n"/>
      <c r="M587" s="87" t="n"/>
    </row>
    <row r="588">
      <c r="D588" s="87" t="n"/>
      <c r="I588" s="87" t="n"/>
      <c r="M588" s="87" t="n"/>
    </row>
    <row r="589">
      <c r="D589" s="87" t="n"/>
      <c r="I589" s="87" t="n"/>
      <c r="M589" s="87" t="n"/>
    </row>
    <row r="590">
      <c r="D590" s="87" t="n"/>
      <c r="I590" s="87" t="n"/>
      <c r="M590" s="87" t="n"/>
    </row>
    <row r="591">
      <c r="D591" s="87" t="n"/>
      <c r="I591" s="87" t="n"/>
      <c r="M591" s="87" t="n"/>
    </row>
    <row r="592">
      <c r="D592" s="87" t="n"/>
      <c r="I592" s="87" t="n"/>
      <c r="M592" s="87" t="n"/>
    </row>
    <row r="593">
      <c r="D593" s="87" t="n"/>
      <c r="I593" s="87" t="n"/>
      <c r="M593" s="87" t="n"/>
    </row>
    <row r="594">
      <c r="D594" s="87" t="n"/>
      <c r="I594" s="87" t="n"/>
      <c r="M594" s="87" t="n"/>
    </row>
    <row r="595">
      <c r="D595" s="87" t="n"/>
      <c r="I595" s="87" t="n"/>
      <c r="M595" s="87" t="n"/>
    </row>
    <row r="596">
      <c r="D596" s="87" t="n"/>
      <c r="I596" s="87" t="n"/>
      <c r="M596" s="87" t="n"/>
    </row>
    <row r="597">
      <c r="D597" s="87" t="n"/>
      <c r="I597" s="87" t="n"/>
      <c r="M597" s="87" t="n"/>
    </row>
    <row r="598">
      <c r="D598" s="87" t="n"/>
      <c r="I598" s="87" t="n"/>
      <c r="M598" s="87" t="n"/>
    </row>
    <row r="599">
      <c r="D599" s="87" t="n"/>
      <c r="I599" s="87" t="n"/>
      <c r="M599" s="87" t="n"/>
    </row>
    <row r="600">
      <c r="D600" s="87" t="n"/>
      <c r="I600" s="87" t="n"/>
      <c r="M600" s="87" t="n"/>
    </row>
    <row r="601">
      <c r="D601" s="87" t="n"/>
      <c r="I601" s="87" t="n"/>
      <c r="M601" s="87" t="n"/>
    </row>
    <row r="602">
      <c r="D602" s="87" t="n"/>
      <c r="I602" s="87" t="n"/>
      <c r="M602" s="87" t="n"/>
    </row>
    <row r="603">
      <c r="D603" s="87" t="n"/>
      <c r="I603" s="87" t="n"/>
      <c r="M603" s="87" t="n"/>
    </row>
    <row r="604">
      <c r="D604" s="87" t="n"/>
      <c r="I604" s="87" t="n"/>
      <c r="M604" s="87" t="n"/>
    </row>
    <row r="605">
      <c r="D605" s="87" t="n"/>
      <c r="I605" s="87" t="n"/>
      <c r="M605" s="87" t="n"/>
    </row>
    <row r="606">
      <c r="D606" s="87" t="n"/>
      <c r="I606" s="87" t="n"/>
      <c r="M606" s="87" t="n"/>
    </row>
    <row r="607">
      <c r="D607" s="87" t="n"/>
      <c r="I607" s="87" t="n"/>
      <c r="M607" s="87" t="n"/>
    </row>
    <row r="608">
      <c r="D608" s="87" t="n"/>
      <c r="I608" s="87" t="n"/>
      <c r="M608" s="87" t="n"/>
    </row>
    <row r="609">
      <c r="D609" s="87" t="n"/>
      <c r="I609" s="87" t="n"/>
      <c r="M609" s="87" t="n"/>
    </row>
    <row r="610">
      <c r="D610" s="87" t="n"/>
      <c r="I610" s="87" t="n"/>
      <c r="M610" s="87" t="n"/>
    </row>
    <row r="611">
      <c r="D611" s="87" t="n"/>
      <c r="I611" s="87" t="n"/>
      <c r="M611" s="87" t="n"/>
    </row>
    <row r="612">
      <c r="D612" s="87" t="n"/>
      <c r="I612" s="87" t="n"/>
      <c r="M612" s="87" t="n"/>
    </row>
    <row r="613">
      <c r="D613" s="87" t="n"/>
      <c r="I613" s="87" t="n"/>
      <c r="M613" s="87" t="n"/>
    </row>
    <row r="614">
      <c r="D614" s="87" t="n"/>
      <c r="I614" s="87" t="n"/>
      <c r="M614" s="87" t="n"/>
    </row>
    <row r="615">
      <c r="D615" s="87" t="n"/>
      <c r="I615" s="87" t="n"/>
      <c r="M615" s="87" t="n"/>
    </row>
    <row r="616">
      <c r="D616" s="87" t="n"/>
      <c r="I616" s="87" t="n"/>
      <c r="M616" s="87" t="n"/>
    </row>
    <row r="617">
      <c r="D617" s="87" t="n"/>
      <c r="I617" s="87" t="n"/>
      <c r="M617" s="87" t="n"/>
    </row>
    <row r="618">
      <c r="D618" s="87" t="n"/>
      <c r="I618" s="87" t="n"/>
      <c r="M618" s="87" t="n"/>
    </row>
    <row r="619">
      <c r="D619" s="87" t="n"/>
      <c r="I619" s="87" t="n"/>
      <c r="M619" s="87" t="n"/>
    </row>
    <row r="620">
      <c r="D620" s="87" t="n"/>
      <c r="I620" s="87" t="n"/>
      <c r="M620" s="87" t="n"/>
    </row>
    <row r="621">
      <c r="D621" s="87" t="n"/>
      <c r="I621" s="87" t="n"/>
      <c r="M621" s="87" t="n"/>
    </row>
    <row r="622">
      <c r="D622" s="87" t="n"/>
      <c r="I622" s="87" t="n"/>
      <c r="M622" s="87" t="n"/>
    </row>
    <row r="623">
      <c r="D623" s="87" t="n"/>
      <c r="I623" s="87" t="n"/>
      <c r="M623" s="87" t="n"/>
    </row>
    <row r="624">
      <c r="D624" s="87" t="n"/>
      <c r="I624" s="87" t="n"/>
      <c r="M624" s="87" t="n"/>
    </row>
    <row r="625">
      <c r="D625" s="87" t="n"/>
      <c r="I625" s="87" t="n"/>
      <c r="M625" s="87" t="n"/>
    </row>
    <row r="626">
      <c r="D626" s="87" t="n"/>
      <c r="I626" s="87" t="n"/>
      <c r="M626" s="87" t="n"/>
    </row>
    <row r="627">
      <c r="D627" s="87" t="n"/>
      <c r="I627" s="87" t="n"/>
      <c r="M627" s="87" t="n"/>
    </row>
    <row r="628">
      <c r="D628" s="87" t="n"/>
      <c r="I628" s="87" t="n"/>
      <c r="M628" s="87" t="n"/>
    </row>
    <row r="629">
      <c r="D629" s="87" t="n"/>
      <c r="I629" s="87" t="n"/>
      <c r="M629" s="87" t="n"/>
    </row>
    <row r="630">
      <c r="D630" s="87" t="n"/>
      <c r="I630" s="87" t="n"/>
      <c r="M630" s="87" t="n"/>
    </row>
    <row r="631">
      <c r="D631" s="87" t="n"/>
      <c r="I631" s="87" t="n"/>
      <c r="M631" s="87" t="n"/>
    </row>
    <row r="632">
      <c r="D632" s="87" t="n"/>
      <c r="I632" s="87" t="n"/>
      <c r="M632" s="87" t="n"/>
    </row>
    <row r="633">
      <c r="D633" s="87" t="n"/>
      <c r="I633" s="87" t="n"/>
      <c r="M633" s="87" t="n"/>
    </row>
    <row r="634">
      <c r="D634" s="87" t="n"/>
      <c r="I634" s="87" t="n"/>
      <c r="M634" s="87" t="n"/>
    </row>
    <row r="635">
      <c r="D635" s="87" t="n"/>
      <c r="I635" s="87" t="n"/>
      <c r="M635" s="87" t="n"/>
    </row>
    <row r="636">
      <c r="D636" s="87" t="n"/>
      <c r="I636" s="87" t="n"/>
      <c r="M636" s="87" t="n"/>
    </row>
    <row r="637">
      <c r="D637" s="87" t="n"/>
      <c r="I637" s="87" t="n"/>
      <c r="M637" s="87" t="n"/>
    </row>
    <row r="638">
      <c r="D638" s="87" t="n"/>
      <c r="I638" s="87" t="n"/>
      <c r="M638" s="87" t="n"/>
    </row>
    <row r="639">
      <c r="D639" s="87" t="n"/>
      <c r="I639" s="87" t="n"/>
      <c r="M639" s="87" t="n"/>
    </row>
    <row r="640">
      <c r="D640" s="87" t="n"/>
      <c r="I640" s="87" t="n"/>
      <c r="M640" s="87" t="n"/>
    </row>
    <row r="641">
      <c r="D641" s="87" t="n"/>
      <c r="I641" s="87" t="n"/>
      <c r="M641" s="87" t="n"/>
    </row>
    <row r="642">
      <c r="D642" s="87" t="n"/>
      <c r="I642" s="87" t="n"/>
      <c r="M642" s="87" t="n"/>
    </row>
    <row r="643">
      <c r="D643" s="87" t="n"/>
      <c r="I643" s="87" t="n"/>
      <c r="M643" s="87" t="n"/>
    </row>
    <row r="644">
      <c r="D644" s="87" t="n"/>
      <c r="I644" s="87" t="n"/>
      <c r="M644" s="87" t="n"/>
    </row>
    <row r="645">
      <c r="D645" s="87" t="n"/>
      <c r="I645" s="87" t="n"/>
      <c r="M645" s="87" t="n"/>
    </row>
    <row r="646">
      <c r="D646" s="87" t="n"/>
      <c r="I646" s="87" t="n"/>
      <c r="M646" s="87" t="n"/>
    </row>
    <row r="647">
      <c r="D647" s="87" t="n"/>
      <c r="I647" s="87" t="n"/>
      <c r="M647" s="87" t="n"/>
    </row>
    <row r="648">
      <c r="D648" s="87" t="n"/>
      <c r="I648" s="87" t="n"/>
      <c r="M648" s="87" t="n"/>
    </row>
    <row r="649">
      <c r="D649" s="87" t="n"/>
      <c r="I649" s="87" t="n"/>
      <c r="M649" s="87" t="n"/>
    </row>
    <row r="650">
      <c r="D650" s="87" t="n"/>
      <c r="I650" s="87" t="n"/>
      <c r="M650" s="87" t="n"/>
    </row>
    <row r="651">
      <c r="D651" s="87" t="n"/>
      <c r="I651" s="87" t="n"/>
      <c r="M651" s="87" t="n"/>
    </row>
    <row r="652">
      <c r="D652" s="87" t="n"/>
      <c r="I652" s="87" t="n"/>
      <c r="M652" s="87" t="n"/>
    </row>
    <row r="653">
      <c r="D653" s="87" t="n"/>
      <c r="I653" s="87" t="n"/>
      <c r="M653" s="87" t="n"/>
    </row>
    <row r="654">
      <c r="D654" s="87" t="n"/>
      <c r="I654" s="87" t="n"/>
      <c r="M654" s="87" t="n"/>
    </row>
    <row r="655">
      <c r="D655" s="87" t="n"/>
      <c r="I655" s="87" t="n"/>
      <c r="M655" s="87" t="n"/>
    </row>
    <row r="656">
      <c r="D656" s="87" t="n"/>
      <c r="I656" s="87" t="n"/>
      <c r="M656" s="87" t="n"/>
    </row>
    <row r="657">
      <c r="D657" s="87" t="n"/>
      <c r="I657" s="87" t="n"/>
      <c r="M657" s="87" t="n"/>
    </row>
    <row r="658">
      <c r="D658" s="87" t="n"/>
      <c r="I658" s="87" t="n"/>
      <c r="M658" s="87" t="n"/>
    </row>
    <row r="659">
      <c r="D659" s="87" t="n"/>
      <c r="I659" s="87" t="n"/>
      <c r="M659" s="87" t="n"/>
    </row>
    <row r="660">
      <c r="D660" s="87" t="n"/>
      <c r="I660" s="87" t="n"/>
      <c r="M660" s="87" t="n"/>
    </row>
    <row r="661">
      <c r="D661" s="87" t="n"/>
      <c r="I661" s="87" t="n"/>
      <c r="M661" s="87" t="n"/>
    </row>
    <row r="662">
      <c r="D662" s="87" t="n"/>
      <c r="I662" s="87" t="n"/>
      <c r="M662" s="87" t="n"/>
    </row>
    <row r="663">
      <c r="D663" s="87" t="n"/>
      <c r="I663" s="87" t="n"/>
      <c r="M663" s="87" t="n"/>
    </row>
    <row r="664">
      <c r="D664" s="87" t="n"/>
      <c r="I664" s="87" t="n"/>
      <c r="M664" s="87" t="n"/>
    </row>
    <row r="665">
      <c r="D665" s="87" t="n"/>
      <c r="I665" s="87" t="n"/>
      <c r="M665" s="87" t="n"/>
    </row>
    <row r="666">
      <c r="D666" s="87" t="n"/>
      <c r="I666" s="87" t="n"/>
      <c r="M666" s="87" t="n"/>
    </row>
    <row r="667">
      <c r="D667" s="87" t="n"/>
      <c r="I667" s="87" t="n"/>
      <c r="M667" s="87" t="n"/>
    </row>
    <row r="668">
      <c r="D668" s="87" t="n"/>
      <c r="I668" s="87" t="n"/>
      <c r="M668" s="87" t="n"/>
    </row>
    <row r="669">
      <c r="D669" s="87" t="n"/>
      <c r="I669" s="87" t="n"/>
      <c r="M669" s="87" t="n"/>
    </row>
    <row r="670">
      <c r="D670" s="87" t="n"/>
      <c r="I670" s="87" t="n"/>
      <c r="M670" s="87" t="n"/>
    </row>
    <row r="671">
      <c r="D671" s="87" t="n"/>
      <c r="I671" s="87" t="n"/>
      <c r="M671" s="87" t="n"/>
    </row>
    <row r="672">
      <c r="D672" s="87" t="n"/>
      <c r="I672" s="87" t="n"/>
      <c r="M672" s="87" t="n"/>
    </row>
    <row r="673">
      <c r="D673" s="87" t="n"/>
      <c r="I673" s="87" t="n"/>
      <c r="M673" s="87" t="n"/>
    </row>
    <row r="674">
      <c r="D674" s="87" t="n"/>
      <c r="I674" s="87" t="n"/>
      <c r="M674" s="87" t="n"/>
    </row>
    <row r="675">
      <c r="D675" s="87" t="n"/>
      <c r="I675" s="87" t="n"/>
      <c r="M675" s="87" t="n"/>
    </row>
    <row r="676">
      <c r="D676" s="87" t="n"/>
      <c r="I676" s="87" t="n"/>
      <c r="M676" s="87" t="n"/>
    </row>
    <row r="677">
      <c r="D677" s="87" t="n"/>
      <c r="I677" s="87" t="n"/>
      <c r="M677" s="87" t="n"/>
    </row>
    <row r="678">
      <c r="D678" s="87" t="n"/>
      <c r="I678" s="87" t="n"/>
      <c r="M678" s="87" t="n"/>
    </row>
    <row r="679">
      <c r="D679" s="87" t="n"/>
      <c r="I679" s="87" t="n"/>
      <c r="M679" s="87" t="n"/>
    </row>
    <row r="680">
      <c r="D680" s="87" t="n"/>
      <c r="I680" s="87" t="n"/>
      <c r="M680" s="87" t="n"/>
    </row>
    <row r="681">
      <c r="D681" s="87" t="n"/>
      <c r="I681" s="87" t="n"/>
      <c r="M681" s="87" t="n"/>
    </row>
    <row r="682">
      <c r="D682" s="87" t="n"/>
      <c r="I682" s="87" t="n"/>
      <c r="M682" s="87" t="n"/>
    </row>
    <row r="683">
      <c r="D683" s="87" t="n"/>
      <c r="I683" s="87" t="n"/>
      <c r="M683" s="87" t="n"/>
    </row>
    <row r="684">
      <c r="D684" s="87" t="n"/>
      <c r="I684" s="87" t="n"/>
      <c r="M684" s="87" t="n"/>
    </row>
    <row r="685">
      <c r="D685" s="87" t="n"/>
      <c r="I685" s="87" t="n"/>
      <c r="M685" s="87" t="n"/>
    </row>
    <row r="686">
      <c r="D686" s="87" t="n"/>
      <c r="I686" s="87" t="n"/>
      <c r="M686" s="87" t="n"/>
    </row>
    <row r="687">
      <c r="D687" s="87" t="n"/>
      <c r="I687" s="87" t="n"/>
      <c r="M687" s="87" t="n"/>
    </row>
    <row r="688">
      <c r="D688" s="87" t="n"/>
      <c r="I688" s="87" t="n"/>
      <c r="M688" s="87" t="n"/>
    </row>
    <row r="689">
      <c r="D689" s="87" t="n"/>
      <c r="I689" s="87" t="n"/>
      <c r="M689" s="87" t="n"/>
    </row>
    <row r="690">
      <c r="D690" s="87" t="n"/>
      <c r="I690" s="87" t="n"/>
      <c r="M690" s="87" t="n"/>
    </row>
    <row r="691">
      <c r="D691" s="87" t="n"/>
      <c r="I691" s="87" t="n"/>
      <c r="M691" s="87" t="n"/>
    </row>
    <row r="692">
      <c r="D692" s="87" t="n"/>
      <c r="I692" s="87" t="n"/>
      <c r="M692" s="87" t="n"/>
    </row>
    <row r="693">
      <c r="D693" s="87" t="n"/>
      <c r="I693" s="87" t="n"/>
      <c r="M693" s="87" t="n"/>
    </row>
    <row r="694">
      <c r="D694" s="87" t="n"/>
      <c r="I694" s="87" t="n"/>
      <c r="M694" s="87" t="n"/>
    </row>
    <row r="695">
      <c r="D695" s="87" t="n"/>
      <c r="I695" s="87" t="n"/>
      <c r="M695" s="87" t="n"/>
    </row>
    <row r="696">
      <c r="D696" s="87" t="n"/>
      <c r="I696" s="87" t="n"/>
      <c r="M696" s="87" t="n"/>
    </row>
    <row r="697">
      <c r="D697" s="87" t="n"/>
      <c r="I697" s="87" t="n"/>
      <c r="M697" s="87" t="n"/>
    </row>
    <row r="698">
      <c r="D698" s="87" t="n"/>
      <c r="I698" s="87" t="n"/>
      <c r="M698" s="87" t="n"/>
    </row>
    <row r="699">
      <c r="D699" s="87" t="n"/>
      <c r="I699" s="87" t="n"/>
      <c r="M699" s="87" t="n"/>
    </row>
    <row r="700">
      <c r="D700" s="87" t="n"/>
      <c r="I700" s="87" t="n"/>
      <c r="M700" s="87" t="n"/>
    </row>
    <row r="701">
      <c r="D701" s="87" t="n"/>
      <c r="I701" s="87" t="n"/>
      <c r="M701" s="87" t="n"/>
    </row>
    <row r="702">
      <c r="D702" s="87" t="n"/>
      <c r="I702" s="87" t="n"/>
      <c r="M702" s="87" t="n"/>
    </row>
    <row r="703">
      <c r="D703" s="87" t="n"/>
      <c r="I703" s="87" t="n"/>
      <c r="M703" s="87" t="n"/>
    </row>
    <row r="704">
      <c r="D704" s="87" t="n"/>
      <c r="I704" s="87" t="n"/>
      <c r="M704" s="87" t="n"/>
    </row>
    <row r="705">
      <c r="D705" s="87" t="n"/>
      <c r="I705" s="87" t="n"/>
      <c r="M705" s="87" t="n"/>
    </row>
    <row r="706">
      <c r="D706" s="87" t="n"/>
      <c r="I706" s="87" t="n"/>
      <c r="M706" s="87" t="n"/>
    </row>
    <row r="707">
      <c r="D707" s="87" t="n"/>
      <c r="I707" s="87" t="n"/>
      <c r="M707" s="87" t="n"/>
    </row>
    <row r="708">
      <c r="D708" s="87" t="n"/>
      <c r="I708" s="87" t="n"/>
      <c r="M708" s="87" t="n"/>
    </row>
    <row r="709">
      <c r="D709" s="87" t="n"/>
      <c r="I709" s="87" t="n"/>
      <c r="M709" s="87" t="n"/>
    </row>
    <row r="710">
      <c r="D710" s="87" t="n"/>
      <c r="I710" s="87" t="n"/>
      <c r="M710" s="87" t="n"/>
    </row>
    <row r="711">
      <c r="D711" s="87" t="n"/>
      <c r="I711" s="87" t="n"/>
      <c r="M711" s="87" t="n"/>
    </row>
    <row r="712">
      <c r="D712" s="87" t="n"/>
      <c r="I712" s="87" t="n"/>
      <c r="M712" s="87" t="n"/>
    </row>
    <row r="713">
      <c r="D713" s="87" t="n"/>
      <c r="I713" s="87" t="n"/>
      <c r="M713" s="87" t="n"/>
    </row>
    <row r="714">
      <c r="D714" s="87" t="n"/>
      <c r="I714" s="87" t="n"/>
      <c r="M714" s="87" t="n"/>
    </row>
    <row r="715">
      <c r="D715" s="87" t="n"/>
      <c r="I715" s="87" t="n"/>
      <c r="M715" s="87" t="n"/>
    </row>
    <row r="716">
      <c r="D716" s="87" t="n"/>
      <c r="I716" s="87" t="n"/>
      <c r="M716" s="87" t="n"/>
    </row>
    <row r="717">
      <c r="D717" s="87" t="n"/>
      <c r="I717" s="87" t="n"/>
      <c r="M717" s="87" t="n"/>
    </row>
    <row r="718">
      <c r="D718" s="87" t="n"/>
      <c r="I718" s="87" t="n"/>
      <c r="M718" s="87" t="n"/>
    </row>
    <row r="719">
      <c r="D719" s="87" t="n"/>
      <c r="I719" s="87" t="n"/>
      <c r="M719" s="87" t="n"/>
    </row>
    <row r="720">
      <c r="D720" s="87" t="n"/>
      <c r="I720" s="87" t="n"/>
      <c r="M720" s="87" t="n"/>
    </row>
    <row r="721">
      <c r="D721" s="87" t="n"/>
      <c r="I721" s="87" t="n"/>
      <c r="M721" s="87" t="n"/>
    </row>
    <row r="722">
      <c r="D722" s="87" t="n"/>
      <c r="I722" s="87" t="n"/>
      <c r="M722" s="87" t="n"/>
    </row>
    <row r="723">
      <c r="D723" s="87" t="n"/>
      <c r="I723" s="87" t="n"/>
      <c r="M723" s="87" t="n"/>
    </row>
    <row r="724">
      <c r="D724" s="87" t="n"/>
      <c r="I724" s="87" t="n"/>
      <c r="M724" s="87" t="n"/>
    </row>
    <row r="725">
      <c r="D725" s="87" t="n"/>
      <c r="I725" s="87" t="n"/>
      <c r="M725" s="87" t="n"/>
    </row>
    <row r="726">
      <c r="D726" s="87" t="n"/>
      <c r="I726" s="87" t="n"/>
      <c r="M726" s="87" t="n"/>
    </row>
    <row r="727">
      <c r="D727" s="87" t="n"/>
      <c r="I727" s="87" t="n"/>
      <c r="M727" s="87" t="n"/>
    </row>
    <row r="728">
      <c r="D728" s="87" t="n"/>
      <c r="I728" s="87" t="n"/>
      <c r="M728" s="87" t="n"/>
    </row>
    <row r="729">
      <c r="D729" s="87" t="n"/>
      <c r="I729" s="87" t="n"/>
      <c r="M729" s="87" t="n"/>
    </row>
    <row r="730">
      <c r="D730" s="87" t="n"/>
      <c r="I730" s="87" t="n"/>
      <c r="M730" s="87" t="n"/>
    </row>
    <row r="731">
      <c r="D731" s="87" t="n"/>
      <c r="I731" s="87" t="n"/>
      <c r="M731" s="87" t="n"/>
    </row>
    <row r="732">
      <c r="D732" s="87" t="n"/>
      <c r="I732" s="87" t="n"/>
      <c r="M732" s="87" t="n"/>
    </row>
    <row r="733">
      <c r="D733" s="87" t="n"/>
      <c r="I733" s="87" t="n"/>
      <c r="M733" s="87" t="n"/>
    </row>
    <row r="734">
      <c r="D734" s="87" t="n"/>
      <c r="I734" s="87" t="n"/>
      <c r="M734" s="87" t="n"/>
    </row>
    <row r="735">
      <c r="D735" s="87" t="n"/>
      <c r="I735" s="87" t="n"/>
      <c r="M735" s="87" t="n"/>
    </row>
    <row r="736">
      <c r="D736" s="87" t="n"/>
      <c r="I736" s="87" t="n"/>
      <c r="M736" s="87" t="n"/>
    </row>
    <row r="737">
      <c r="D737" s="87" t="n"/>
      <c r="I737" s="87" t="n"/>
      <c r="M737" s="87" t="n"/>
    </row>
    <row r="738">
      <c r="D738" s="87" t="n"/>
      <c r="I738" s="87" t="n"/>
      <c r="M738" s="87" t="n"/>
    </row>
    <row r="739">
      <c r="D739" s="87" t="n"/>
      <c r="I739" s="87" t="n"/>
      <c r="M739" s="87" t="n"/>
    </row>
    <row r="740">
      <c r="D740" s="87" t="n"/>
      <c r="I740" s="87" t="n"/>
      <c r="M740" s="87" t="n"/>
    </row>
    <row r="741">
      <c r="D741" s="87" t="n"/>
      <c r="I741" s="87" t="n"/>
      <c r="M741" s="87" t="n"/>
    </row>
    <row r="742">
      <c r="D742" s="87" t="n"/>
      <c r="I742" s="87" t="n"/>
      <c r="M742" s="87" t="n"/>
    </row>
    <row r="743">
      <c r="D743" s="87" t="n"/>
      <c r="I743" s="87" t="n"/>
      <c r="M743" s="87" t="n"/>
    </row>
    <row r="744">
      <c r="D744" s="87" t="n"/>
      <c r="I744" s="87" t="n"/>
      <c r="M744" s="87" t="n"/>
    </row>
    <row r="745">
      <c r="D745" s="87" t="n"/>
      <c r="I745" s="87" t="n"/>
      <c r="M745" s="87" t="n"/>
    </row>
    <row r="746">
      <c r="D746" s="87" t="n"/>
      <c r="I746" s="87" t="n"/>
      <c r="M746" s="87" t="n"/>
    </row>
    <row r="747">
      <c r="D747" s="87" t="n"/>
      <c r="I747" s="87" t="n"/>
      <c r="M747" s="87" t="n"/>
    </row>
    <row r="748">
      <c r="D748" s="87" t="n"/>
      <c r="I748" s="87" t="n"/>
      <c r="M748" s="87" t="n"/>
    </row>
    <row r="749">
      <c r="D749" s="87" t="n"/>
      <c r="I749" s="87" t="n"/>
      <c r="M749" s="87" t="n"/>
    </row>
    <row r="750">
      <c r="D750" s="87" t="n"/>
      <c r="I750" s="87" t="n"/>
      <c r="M750" s="87" t="n"/>
    </row>
    <row r="751">
      <c r="D751" s="87" t="n"/>
      <c r="I751" s="87" t="n"/>
      <c r="M751" s="87" t="n"/>
    </row>
    <row r="752">
      <c r="D752" s="87" t="n"/>
      <c r="I752" s="87" t="n"/>
      <c r="M752" s="87" t="n"/>
    </row>
    <row r="753">
      <c r="D753" s="87" t="n"/>
      <c r="I753" s="87" t="n"/>
      <c r="M753" s="87" t="n"/>
    </row>
    <row r="754">
      <c r="D754" s="87" t="n"/>
      <c r="I754" s="87" t="n"/>
      <c r="M754" s="87" t="n"/>
    </row>
    <row r="755">
      <c r="D755" s="87" t="n"/>
      <c r="I755" s="87" t="n"/>
      <c r="M755" s="87" t="n"/>
    </row>
    <row r="756">
      <c r="D756" s="87" t="n"/>
      <c r="I756" s="87" t="n"/>
      <c r="M756" s="87" t="n"/>
    </row>
    <row r="757">
      <c r="D757" s="87" t="n"/>
      <c r="I757" s="87" t="n"/>
      <c r="M757" s="87" t="n"/>
    </row>
    <row r="758">
      <c r="D758" s="87" t="n"/>
      <c r="I758" s="87" t="n"/>
      <c r="M758" s="87" t="n"/>
    </row>
    <row r="759">
      <c r="D759" s="87" t="n"/>
      <c r="I759" s="87" t="n"/>
      <c r="M759" s="87" t="n"/>
    </row>
    <row r="760">
      <c r="D760" s="87" t="n"/>
      <c r="I760" s="87" t="n"/>
      <c r="M760" s="87" t="n"/>
    </row>
    <row r="761">
      <c r="D761" s="87" t="n"/>
      <c r="I761" s="87" t="n"/>
      <c r="M761" s="87" t="n"/>
    </row>
    <row r="762">
      <c r="D762" s="87" t="n"/>
      <c r="I762" s="87" t="n"/>
      <c r="M762" s="87" t="n"/>
    </row>
    <row r="763">
      <c r="D763" s="87" t="n"/>
      <c r="I763" s="87" t="n"/>
      <c r="M763" s="87" t="n"/>
    </row>
    <row r="764">
      <c r="D764" s="87" t="n"/>
      <c r="I764" s="87" t="n"/>
      <c r="M764" s="87" t="n"/>
    </row>
    <row r="765">
      <c r="D765" s="87" t="n"/>
      <c r="I765" s="87" t="n"/>
      <c r="M765" s="87" t="n"/>
    </row>
    <row r="766">
      <c r="D766" s="87" t="n"/>
      <c r="I766" s="87" t="n"/>
      <c r="M766" s="87" t="n"/>
    </row>
    <row r="767">
      <c r="D767" s="87" t="n"/>
      <c r="I767" s="87" t="n"/>
      <c r="M767" s="87" t="n"/>
    </row>
    <row r="768">
      <c r="D768" s="87" t="n"/>
      <c r="I768" s="87" t="n"/>
      <c r="M768" s="87" t="n"/>
    </row>
    <row r="769">
      <c r="D769" s="87" t="n"/>
      <c r="I769" s="87" t="n"/>
      <c r="M769" s="87" t="n"/>
    </row>
    <row r="770">
      <c r="D770" s="87" t="n"/>
      <c r="I770" s="87" t="n"/>
      <c r="M770" s="87" t="n"/>
    </row>
    <row r="771">
      <c r="D771" s="87" t="n"/>
      <c r="I771" s="87" t="n"/>
      <c r="M771" s="87" t="n"/>
    </row>
    <row r="772">
      <c r="D772" s="87" t="n"/>
      <c r="I772" s="87" t="n"/>
      <c r="M772" s="87" t="n"/>
    </row>
    <row r="773">
      <c r="D773" s="87" t="n"/>
      <c r="I773" s="87" t="n"/>
      <c r="M773" s="87" t="n"/>
    </row>
    <row r="774">
      <c r="D774" s="87" t="n"/>
      <c r="I774" s="87" t="n"/>
      <c r="M774" s="87" t="n"/>
    </row>
    <row r="775">
      <c r="D775" s="87" t="n"/>
      <c r="I775" s="87" t="n"/>
      <c r="M775" s="87" t="n"/>
    </row>
    <row r="776">
      <c r="D776" s="87" t="n"/>
      <c r="I776" s="87" t="n"/>
      <c r="M776" s="87" t="n"/>
    </row>
    <row r="777">
      <c r="D777" s="87" t="n"/>
      <c r="I777" s="87" t="n"/>
      <c r="M777" s="87" t="n"/>
    </row>
    <row r="778">
      <c r="D778" s="87" t="n"/>
      <c r="I778" s="87" t="n"/>
      <c r="M778" s="87" t="n"/>
    </row>
    <row r="779">
      <c r="D779" s="87" t="n"/>
      <c r="I779" s="87" t="n"/>
      <c r="M779" s="87" t="n"/>
    </row>
    <row r="780">
      <c r="D780" s="87" t="n"/>
      <c r="I780" s="87" t="n"/>
      <c r="M780" s="87" t="n"/>
    </row>
    <row r="781">
      <c r="D781" s="87" t="n"/>
      <c r="I781" s="87" t="n"/>
      <c r="M781" s="87" t="n"/>
    </row>
    <row r="782">
      <c r="D782" s="87" t="n"/>
      <c r="I782" s="87" t="n"/>
      <c r="M782" s="87" t="n"/>
    </row>
    <row r="783">
      <c r="D783" s="87" t="n"/>
      <c r="I783" s="87" t="n"/>
      <c r="M783" s="87" t="n"/>
    </row>
    <row r="784">
      <c r="D784" s="87" t="n"/>
      <c r="I784" s="87" t="n"/>
      <c r="M784" s="87" t="n"/>
    </row>
    <row r="785">
      <c r="D785" s="87" t="n"/>
      <c r="I785" s="87" t="n"/>
      <c r="M785" s="87" t="n"/>
    </row>
    <row r="786">
      <c r="D786" s="87" t="n"/>
      <c r="I786" s="87" t="n"/>
      <c r="M786" s="87" t="n"/>
    </row>
    <row r="787">
      <c r="D787" s="87" t="n"/>
      <c r="I787" s="87" t="n"/>
      <c r="M787" s="87" t="n"/>
    </row>
    <row r="788">
      <c r="D788" s="87" t="n"/>
      <c r="I788" s="87" t="n"/>
      <c r="M788" s="87" t="n"/>
    </row>
    <row r="789">
      <c r="D789" s="87" t="n"/>
      <c r="I789" s="87" t="n"/>
      <c r="M789" s="87" t="n"/>
    </row>
    <row r="790">
      <c r="D790" s="87" t="n"/>
      <c r="I790" s="87" t="n"/>
      <c r="M790" s="87" t="n"/>
    </row>
    <row r="791">
      <c r="D791" s="87" t="n"/>
      <c r="I791" s="87" t="n"/>
      <c r="M791" s="87" t="n"/>
    </row>
    <row r="792">
      <c r="D792" s="87" t="n"/>
      <c r="I792" s="87" t="n"/>
      <c r="M792" s="87" t="n"/>
    </row>
    <row r="793">
      <c r="D793" s="87" t="n"/>
      <c r="I793" s="87" t="n"/>
      <c r="M793" s="87" t="n"/>
    </row>
    <row r="794">
      <c r="D794" s="87" t="n"/>
      <c r="I794" s="87" t="n"/>
      <c r="M794" s="87" t="n"/>
    </row>
    <row r="795">
      <c r="D795" s="87" t="n"/>
      <c r="I795" s="87" t="n"/>
      <c r="M795" s="87" t="n"/>
    </row>
    <row r="796">
      <c r="D796" s="87" t="n"/>
      <c r="I796" s="87" t="n"/>
      <c r="M796" s="87" t="n"/>
    </row>
    <row r="797">
      <c r="D797" s="87" t="n"/>
      <c r="I797" s="87" t="n"/>
      <c r="M797" s="87" t="n"/>
    </row>
    <row r="798">
      <c r="D798" s="87" t="n"/>
      <c r="I798" s="87" t="n"/>
      <c r="M798" s="87" t="n"/>
    </row>
    <row r="799">
      <c r="D799" s="87" t="n"/>
      <c r="I799" s="87" t="n"/>
      <c r="M799" s="87" t="n"/>
    </row>
    <row r="800">
      <c r="D800" s="87" t="n"/>
      <c r="I800" s="87" t="n"/>
      <c r="M800" s="87" t="n"/>
    </row>
    <row r="801">
      <c r="D801" s="87" t="n"/>
      <c r="I801" s="87" t="n"/>
      <c r="M801" s="87" t="n"/>
    </row>
    <row r="802">
      <c r="D802" s="87" t="n"/>
      <c r="I802" s="87" t="n"/>
      <c r="M802" s="87" t="n"/>
    </row>
    <row r="803">
      <c r="D803" s="87" t="n"/>
      <c r="I803" s="87" t="n"/>
      <c r="M803" s="87" t="n"/>
    </row>
    <row r="804">
      <c r="D804" s="87" t="n"/>
      <c r="I804" s="87" t="n"/>
      <c r="M804" s="87" t="n"/>
    </row>
    <row r="805">
      <c r="D805" s="87" t="n"/>
      <c r="I805" s="87" t="n"/>
      <c r="M805" s="87" t="n"/>
    </row>
    <row r="806">
      <c r="D806" s="87" t="n"/>
      <c r="I806" s="87" t="n"/>
      <c r="M806" s="87" t="n"/>
    </row>
    <row r="807">
      <c r="D807" s="87" t="n"/>
      <c r="I807" s="87" t="n"/>
      <c r="M807" s="87" t="n"/>
    </row>
    <row r="808">
      <c r="D808" s="87" t="n"/>
      <c r="I808" s="87" t="n"/>
      <c r="M808" s="87" t="n"/>
    </row>
    <row r="809">
      <c r="D809" s="87" t="n"/>
      <c r="I809" s="87" t="n"/>
      <c r="M809" s="87" t="n"/>
    </row>
    <row r="810">
      <c r="D810" s="87" t="n"/>
      <c r="I810" s="87" t="n"/>
      <c r="M810" s="87" t="n"/>
    </row>
    <row r="811">
      <c r="D811" s="87" t="n"/>
      <c r="I811" s="87" t="n"/>
      <c r="M811" s="87" t="n"/>
    </row>
    <row r="812">
      <c r="D812" s="87" t="n"/>
      <c r="I812" s="87" t="n"/>
      <c r="M812" s="87" t="n"/>
    </row>
    <row r="813">
      <c r="D813" s="87" t="n"/>
      <c r="I813" s="87" t="n"/>
      <c r="M813" s="87" t="n"/>
    </row>
    <row r="814">
      <c r="D814" s="87" t="n"/>
      <c r="I814" s="87" t="n"/>
      <c r="M814" s="87" t="n"/>
    </row>
    <row r="815">
      <c r="D815" s="87" t="n"/>
      <c r="I815" s="87" t="n"/>
      <c r="M815" s="87" t="n"/>
    </row>
    <row r="816">
      <c r="D816" s="87" t="n"/>
      <c r="I816" s="87" t="n"/>
      <c r="M816" s="87" t="n"/>
    </row>
    <row r="817">
      <c r="D817" s="87" t="n"/>
      <c r="I817" s="87" t="n"/>
      <c r="M817" s="87" t="n"/>
    </row>
    <row r="818">
      <c r="D818" s="87" t="n"/>
      <c r="I818" s="87" t="n"/>
      <c r="M818" s="87" t="n"/>
    </row>
    <row r="819">
      <c r="D819" s="87" t="n"/>
      <c r="I819" s="87" t="n"/>
      <c r="M819" s="87" t="n"/>
    </row>
    <row r="820">
      <c r="D820" s="87" t="n"/>
      <c r="I820" s="87" t="n"/>
      <c r="M820" s="87" t="n"/>
    </row>
    <row r="821">
      <c r="D821" s="87" t="n"/>
      <c r="I821" s="87" t="n"/>
      <c r="M821" s="87" t="n"/>
    </row>
    <row r="822">
      <c r="D822" s="87" t="n"/>
      <c r="I822" s="87" t="n"/>
      <c r="M822" s="87" t="n"/>
    </row>
    <row r="823">
      <c r="D823" s="87" t="n"/>
      <c r="I823" s="87" t="n"/>
      <c r="M823" s="87" t="n"/>
    </row>
    <row r="824">
      <c r="D824" s="87" t="n"/>
      <c r="I824" s="87" t="n"/>
      <c r="M824" s="87" t="n"/>
    </row>
    <row r="825">
      <c r="D825" s="87" t="n"/>
      <c r="I825" s="87" t="n"/>
      <c r="M825" s="87" t="n"/>
    </row>
    <row r="826">
      <c r="D826" s="87" t="n"/>
      <c r="I826" s="87" t="n"/>
      <c r="M826" s="87" t="n"/>
    </row>
    <row r="827">
      <c r="D827" s="87" t="n"/>
      <c r="I827" s="87" t="n"/>
      <c r="M827" s="87" t="n"/>
    </row>
    <row r="828">
      <c r="D828" s="87" t="n"/>
      <c r="I828" s="87" t="n"/>
      <c r="M828" s="87" t="n"/>
    </row>
    <row r="829">
      <c r="D829" s="87" t="n"/>
      <c r="I829" s="87" t="n"/>
      <c r="M829" s="87" t="n"/>
    </row>
    <row r="830">
      <c r="D830" s="87" t="n"/>
      <c r="I830" s="87" t="n"/>
      <c r="M830" s="87" t="n"/>
    </row>
    <row r="831">
      <c r="D831" s="87" t="n"/>
      <c r="I831" s="87" t="n"/>
      <c r="M831" s="87" t="n"/>
    </row>
    <row r="832">
      <c r="D832" s="87" t="n"/>
      <c r="I832" s="87" t="n"/>
      <c r="M832" s="87" t="n"/>
    </row>
    <row r="833">
      <c r="D833" s="87" t="n"/>
      <c r="I833" s="87" t="n"/>
      <c r="M833" s="87" t="n"/>
    </row>
    <row r="834">
      <c r="D834" s="87" t="n"/>
      <c r="I834" s="87" t="n"/>
      <c r="M834" s="87" t="n"/>
    </row>
    <row r="835">
      <c r="D835" s="87" t="n"/>
      <c r="I835" s="87" t="n"/>
      <c r="M835" s="87" t="n"/>
    </row>
    <row r="836">
      <c r="D836" s="87" t="n"/>
      <c r="I836" s="87" t="n"/>
      <c r="M836" s="87" t="n"/>
    </row>
    <row r="837">
      <c r="D837" s="87" t="n"/>
      <c r="I837" s="87" t="n"/>
      <c r="M837" s="87" t="n"/>
    </row>
    <row r="838">
      <c r="D838" s="87" t="n"/>
      <c r="I838" s="87" t="n"/>
      <c r="M838" s="87" t="n"/>
    </row>
    <row r="839">
      <c r="D839" s="87" t="n"/>
      <c r="I839" s="87" t="n"/>
      <c r="M839" s="87" t="n"/>
    </row>
    <row r="840">
      <c r="D840" s="87" t="n"/>
      <c r="I840" s="87" t="n"/>
      <c r="M840" s="87" t="n"/>
    </row>
    <row r="841">
      <c r="D841" s="87" t="n"/>
      <c r="I841" s="87" t="n"/>
      <c r="M841" s="87" t="n"/>
    </row>
    <row r="842">
      <c r="D842" s="87" t="n"/>
      <c r="I842" s="87" t="n"/>
      <c r="M842" s="87" t="n"/>
    </row>
    <row r="843">
      <c r="D843" s="87" t="n"/>
      <c r="I843" s="87" t="n"/>
      <c r="M843" s="87" t="n"/>
    </row>
    <row r="844">
      <c r="D844" s="87" t="n"/>
      <c r="I844" s="87" t="n"/>
      <c r="M844" s="87" t="n"/>
    </row>
    <row r="845">
      <c r="D845" s="87" t="n"/>
      <c r="I845" s="87" t="n"/>
      <c r="M845" s="87" t="n"/>
    </row>
    <row r="846">
      <c r="D846" s="87" t="n"/>
      <c r="I846" s="87" t="n"/>
      <c r="M846" s="87" t="n"/>
    </row>
    <row r="847">
      <c r="D847" s="87" t="n"/>
      <c r="I847" s="87" t="n"/>
      <c r="M847" s="87" t="n"/>
    </row>
    <row r="848">
      <c r="D848" s="87" t="n"/>
      <c r="I848" s="87" t="n"/>
      <c r="M848" s="87" t="n"/>
    </row>
    <row r="849">
      <c r="D849" s="87" t="n"/>
      <c r="I849" s="87" t="n"/>
      <c r="M849" s="87" t="n"/>
    </row>
    <row r="850">
      <c r="D850" s="87" t="n"/>
      <c r="I850" s="87" t="n"/>
      <c r="M850" s="87" t="n"/>
    </row>
    <row r="851">
      <c r="D851" s="87" t="n"/>
      <c r="I851" s="87" t="n"/>
      <c r="M851" s="87" t="n"/>
    </row>
    <row r="852">
      <c r="D852" s="87" t="n"/>
      <c r="I852" s="87" t="n"/>
      <c r="M852" s="87" t="n"/>
    </row>
    <row r="853">
      <c r="D853" s="87" t="n"/>
      <c r="I853" s="87" t="n"/>
      <c r="M853" s="87" t="n"/>
    </row>
    <row r="854">
      <c r="D854" s="87" t="n"/>
      <c r="I854" s="87" t="n"/>
      <c r="M854" s="87" t="n"/>
    </row>
    <row r="855">
      <c r="D855" s="87" t="n"/>
      <c r="I855" s="87" t="n"/>
      <c r="M855" s="87" t="n"/>
    </row>
    <row r="856">
      <c r="D856" s="87" t="n"/>
      <c r="I856" s="87" t="n"/>
      <c r="M856" s="87" t="n"/>
    </row>
    <row r="857">
      <c r="D857" s="87" t="n"/>
      <c r="I857" s="87" t="n"/>
      <c r="M857" s="87" t="n"/>
    </row>
    <row r="858">
      <c r="D858" s="87" t="n"/>
      <c r="I858" s="87" t="n"/>
      <c r="M858" s="87" t="n"/>
    </row>
    <row r="859">
      <c r="D859" s="87" t="n"/>
      <c r="I859" s="87" t="n"/>
      <c r="M859" s="87" t="n"/>
    </row>
    <row r="860">
      <c r="D860" s="87" t="n"/>
      <c r="I860" s="87" t="n"/>
      <c r="M860" s="87" t="n"/>
    </row>
    <row r="861">
      <c r="D861" s="87" t="n"/>
      <c r="I861" s="87" t="n"/>
      <c r="M861" s="87" t="n"/>
    </row>
    <row r="862">
      <c r="D862" s="87" t="n"/>
      <c r="I862" s="87" t="n"/>
      <c r="M862" s="87" t="n"/>
    </row>
    <row r="863">
      <c r="D863" s="87" t="n"/>
      <c r="I863" s="87" t="n"/>
      <c r="M863" s="87" t="n"/>
    </row>
    <row r="864">
      <c r="D864" s="87" t="n"/>
      <c r="I864" s="87" t="n"/>
      <c r="M864" s="87" t="n"/>
    </row>
    <row r="865">
      <c r="D865" s="87" t="n"/>
      <c r="I865" s="87" t="n"/>
      <c r="M865" s="87" t="n"/>
    </row>
    <row r="866">
      <c r="D866" s="87" t="n"/>
      <c r="I866" s="87" t="n"/>
      <c r="M866" s="87" t="n"/>
    </row>
    <row r="867">
      <c r="D867" s="87" t="n"/>
      <c r="I867" s="87" t="n"/>
      <c r="M867" s="87" t="n"/>
    </row>
    <row r="868">
      <c r="D868" s="87" t="n"/>
      <c r="I868" s="87" t="n"/>
      <c r="M868" s="87" t="n"/>
    </row>
    <row r="869">
      <c r="D869" s="87" t="n"/>
      <c r="I869" s="87" t="n"/>
      <c r="M869" s="87" t="n"/>
    </row>
    <row r="870">
      <c r="D870" s="87" t="n"/>
      <c r="I870" s="87" t="n"/>
      <c r="M870" s="87" t="n"/>
    </row>
    <row r="871">
      <c r="D871" s="87" t="n"/>
      <c r="I871" s="87" t="n"/>
      <c r="M871" s="87" t="n"/>
    </row>
    <row r="872">
      <c r="D872" s="87" t="n"/>
      <c r="I872" s="87" t="n"/>
      <c r="M872" s="87" t="n"/>
    </row>
    <row r="873">
      <c r="D873" s="87" t="n"/>
      <c r="I873" s="87" t="n"/>
      <c r="M873" s="87" t="n"/>
    </row>
    <row r="874">
      <c r="D874" s="87" t="n"/>
      <c r="I874" s="87" t="n"/>
      <c r="M874" s="87" t="n"/>
    </row>
    <row r="875">
      <c r="D875" s="87" t="n"/>
      <c r="I875" s="87" t="n"/>
      <c r="M875" s="87" t="n"/>
    </row>
    <row r="876">
      <c r="D876" s="87" t="n"/>
      <c r="I876" s="87" t="n"/>
      <c r="M876" s="87" t="n"/>
    </row>
    <row r="877">
      <c r="D877" s="87" t="n"/>
      <c r="I877" s="87" t="n"/>
      <c r="M877" s="87" t="n"/>
    </row>
    <row r="878">
      <c r="D878" s="87" t="n"/>
      <c r="I878" s="87" t="n"/>
      <c r="M878" s="87" t="n"/>
    </row>
    <row r="879">
      <c r="D879" s="87" t="n"/>
      <c r="I879" s="87" t="n"/>
      <c r="M879" s="87" t="n"/>
    </row>
    <row r="880">
      <c r="D880" s="87" t="n"/>
      <c r="I880" s="87" t="n"/>
      <c r="M880" s="87" t="n"/>
    </row>
    <row r="881">
      <c r="D881" s="87" t="n"/>
      <c r="I881" s="87" t="n"/>
      <c r="M881" s="87" t="n"/>
    </row>
    <row r="882">
      <c r="D882" s="87" t="n"/>
      <c r="I882" s="87" t="n"/>
      <c r="M882" s="87" t="n"/>
    </row>
    <row r="883">
      <c r="D883" s="87" t="n"/>
      <c r="I883" s="87" t="n"/>
      <c r="M883" s="87" t="n"/>
    </row>
    <row r="884">
      <c r="D884" s="87" t="n"/>
      <c r="I884" s="87" t="n"/>
      <c r="M884" s="87" t="n"/>
    </row>
    <row r="885">
      <c r="D885" s="87" t="n"/>
      <c r="I885" s="87" t="n"/>
      <c r="M885" s="87" t="n"/>
    </row>
    <row r="886">
      <c r="D886" s="87" t="n"/>
      <c r="I886" s="87" t="n"/>
      <c r="M886" s="87" t="n"/>
    </row>
    <row r="887">
      <c r="D887" s="87" t="n"/>
      <c r="I887" s="87" t="n"/>
      <c r="M887" s="87" t="n"/>
    </row>
    <row r="888">
      <c r="D888" s="87" t="n"/>
      <c r="I888" s="87" t="n"/>
      <c r="M888" s="87" t="n"/>
    </row>
    <row r="889">
      <c r="D889" s="87" t="n"/>
      <c r="I889" s="87" t="n"/>
      <c r="M889" s="87" t="n"/>
    </row>
    <row r="890">
      <c r="D890" s="87" t="n"/>
      <c r="I890" s="87" t="n"/>
      <c r="M890" s="87" t="n"/>
    </row>
    <row r="891">
      <c r="D891" s="87" t="n"/>
      <c r="I891" s="87" t="n"/>
      <c r="M891" s="87" t="n"/>
    </row>
    <row r="892">
      <c r="D892" s="87" t="n"/>
      <c r="I892" s="87" t="n"/>
      <c r="M892" s="87" t="n"/>
    </row>
    <row r="893">
      <c r="D893" s="87" t="n"/>
      <c r="I893" s="87" t="n"/>
      <c r="M893" s="87" t="n"/>
    </row>
    <row r="894">
      <c r="D894" s="87" t="n"/>
      <c r="I894" s="87" t="n"/>
      <c r="M894" s="87" t="n"/>
    </row>
    <row r="895">
      <c r="D895" s="87" t="n"/>
      <c r="I895" s="87" t="n"/>
      <c r="M895" s="87" t="n"/>
    </row>
    <row r="896">
      <c r="D896" s="87" t="n"/>
      <c r="I896" s="87" t="n"/>
      <c r="M896" s="87" t="n"/>
    </row>
    <row r="897">
      <c r="D897" s="87" t="n"/>
      <c r="I897" s="87" t="n"/>
      <c r="M897" s="87" t="n"/>
    </row>
    <row r="898">
      <c r="D898" s="87" t="n"/>
      <c r="I898" s="87" t="n"/>
      <c r="M898" s="87" t="n"/>
    </row>
    <row r="899">
      <c r="D899" s="87" t="n"/>
      <c r="I899" s="87" t="n"/>
      <c r="M899" s="87" t="n"/>
    </row>
    <row r="900">
      <c r="D900" s="87" t="n"/>
      <c r="I900" s="87" t="n"/>
      <c r="M900" s="87" t="n"/>
    </row>
    <row r="901">
      <c r="D901" s="87" t="n"/>
      <c r="I901" s="87" t="n"/>
      <c r="M901" s="87" t="n"/>
    </row>
    <row r="902">
      <c r="D902" s="87" t="n"/>
      <c r="I902" s="87" t="n"/>
      <c r="M902" s="87" t="n"/>
    </row>
    <row r="903">
      <c r="D903" s="87" t="n"/>
      <c r="I903" s="87" t="n"/>
      <c r="M903" s="87" t="n"/>
    </row>
    <row r="904">
      <c r="D904" s="87" t="n"/>
      <c r="I904" s="87" t="n"/>
      <c r="M904" s="87" t="n"/>
    </row>
    <row r="905">
      <c r="D905" s="87" t="n"/>
      <c r="I905" s="87" t="n"/>
      <c r="M905" s="87" t="n"/>
    </row>
    <row r="906">
      <c r="D906" s="87" t="n"/>
      <c r="I906" s="87" t="n"/>
      <c r="M906" s="87" t="n"/>
    </row>
    <row r="907">
      <c r="D907" s="87" t="n"/>
      <c r="I907" s="87" t="n"/>
      <c r="M907" s="87" t="n"/>
    </row>
    <row r="908">
      <c r="D908" s="87" t="n"/>
      <c r="I908" s="87" t="n"/>
      <c r="M908" s="87" t="n"/>
    </row>
    <row r="909">
      <c r="D909" s="87" t="n"/>
      <c r="I909" s="87" t="n"/>
      <c r="M909" s="87" t="n"/>
    </row>
    <row r="910">
      <c r="D910" s="87" t="n"/>
      <c r="I910" s="87" t="n"/>
      <c r="M910" s="87" t="n"/>
    </row>
    <row r="911">
      <c r="D911" s="87" t="n"/>
      <c r="I911" s="87" t="n"/>
      <c r="M911" s="87" t="n"/>
    </row>
    <row r="912">
      <c r="D912" s="87" t="n"/>
      <c r="I912" s="87" t="n"/>
      <c r="M912" s="87" t="n"/>
    </row>
    <row r="913">
      <c r="D913" s="87" t="n"/>
      <c r="I913" s="87" t="n"/>
      <c r="M913" s="87" t="n"/>
    </row>
    <row r="914">
      <c r="D914" s="87" t="n"/>
      <c r="I914" s="87" t="n"/>
      <c r="M914" s="87" t="n"/>
    </row>
    <row r="915">
      <c r="D915" s="87" t="n"/>
      <c r="I915" s="87" t="n"/>
      <c r="M915" s="87" t="n"/>
    </row>
    <row r="916">
      <c r="D916" s="87" t="n"/>
      <c r="I916" s="87" t="n"/>
      <c r="M916" s="87" t="n"/>
    </row>
    <row r="917">
      <c r="D917" s="87" t="n"/>
      <c r="I917" s="87" t="n"/>
      <c r="M917" s="87" t="n"/>
    </row>
    <row r="918">
      <c r="D918" s="87" t="n"/>
      <c r="I918" s="87" t="n"/>
      <c r="M918" s="87" t="n"/>
    </row>
    <row r="919">
      <c r="D919" s="87" t="n"/>
      <c r="I919" s="87" t="n"/>
      <c r="M919" s="87" t="n"/>
    </row>
    <row r="920">
      <c r="D920" s="87" t="n"/>
      <c r="I920" s="87" t="n"/>
      <c r="M920" s="87" t="n"/>
    </row>
    <row r="921">
      <c r="D921" s="87" t="n"/>
      <c r="I921" s="87" t="n"/>
      <c r="M921" s="87" t="n"/>
    </row>
    <row r="922">
      <c r="D922" s="87" t="n"/>
      <c r="I922" s="87" t="n"/>
      <c r="M922" s="87" t="n"/>
    </row>
    <row r="923">
      <c r="D923" s="87" t="n"/>
      <c r="I923" s="87" t="n"/>
      <c r="M923" s="87" t="n"/>
    </row>
    <row r="924">
      <c r="D924" s="87" t="n"/>
      <c r="I924" s="87" t="n"/>
      <c r="M924" s="87" t="n"/>
    </row>
    <row r="925">
      <c r="D925" s="87" t="n"/>
      <c r="I925" s="87" t="n"/>
      <c r="M925" s="87" t="n"/>
    </row>
    <row r="926">
      <c r="D926" s="87" t="n"/>
      <c r="I926" s="87" t="n"/>
      <c r="M926" s="87" t="n"/>
    </row>
    <row r="927">
      <c r="D927" s="87" t="n"/>
      <c r="I927" s="87" t="n"/>
      <c r="M927" s="87" t="n"/>
    </row>
    <row r="928">
      <c r="D928" s="87" t="n"/>
      <c r="I928" s="87" t="n"/>
      <c r="M928" s="87" t="n"/>
    </row>
    <row r="929">
      <c r="D929" s="87" t="n"/>
      <c r="I929" s="87" t="n"/>
      <c r="M929" s="87" t="n"/>
    </row>
    <row r="930">
      <c r="D930" s="87" t="n"/>
      <c r="I930" s="87" t="n"/>
      <c r="M930" s="87" t="n"/>
    </row>
    <row r="931">
      <c r="D931" s="87" t="n"/>
      <c r="I931" s="87" t="n"/>
      <c r="M931" s="87" t="n"/>
    </row>
    <row r="932">
      <c r="D932" s="87" t="n"/>
      <c r="I932" s="87" t="n"/>
      <c r="M932" s="87" t="n"/>
    </row>
    <row r="933">
      <c r="D933" s="87" t="n"/>
      <c r="I933" s="87" t="n"/>
      <c r="M933" s="87" t="n"/>
    </row>
    <row r="934">
      <c r="D934" s="87" t="n"/>
      <c r="I934" s="87" t="n"/>
      <c r="M934" s="87" t="n"/>
    </row>
    <row r="935">
      <c r="D935" s="87" t="n"/>
      <c r="I935" s="87" t="n"/>
      <c r="M935" s="87" t="n"/>
    </row>
    <row r="936">
      <c r="D936" s="87" t="n"/>
      <c r="I936" s="87" t="n"/>
      <c r="M936" s="87" t="n"/>
    </row>
    <row r="937">
      <c r="D937" s="87" t="n"/>
      <c r="I937" s="87" t="n"/>
      <c r="M937" s="87" t="n"/>
    </row>
    <row r="938">
      <c r="D938" s="87" t="n"/>
      <c r="I938" s="87" t="n"/>
      <c r="M938" s="87" t="n"/>
    </row>
    <row r="939">
      <c r="D939" s="87" t="n"/>
      <c r="I939" s="87" t="n"/>
      <c r="M939" s="87" t="n"/>
    </row>
    <row r="940">
      <c r="D940" s="87" t="n"/>
      <c r="I940" s="87" t="n"/>
      <c r="M940" s="87" t="n"/>
    </row>
    <row r="941">
      <c r="D941" s="87" t="n"/>
      <c r="I941" s="87" t="n"/>
      <c r="M941" s="87" t="n"/>
    </row>
    <row r="942">
      <c r="D942" s="87" t="n"/>
      <c r="I942" s="87" t="n"/>
      <c r="M942" s="87" t="n"/>
    </row>
    <row r="943">
      <c r="D943" s="87" t="n"/>
      <c r="I943" s="87" t="n"/>
      <c r="M943" s="87" t="n"/>
    </row>
    <row r="944">
      <c r="D944" s="87" t="n"/>
      <c r="I944" s="87" t="n"/>
      <c r="M944" s="87" t="n"/>
    </row>
    <row r="945">
      <c r="D945" s="87" t="n"/>
      <c r="I945" s="87" t="n"/>
      <c r="M945" s="87" t="n"/>
    </row>
    <row r="946">
      <c r="D946" s="87" t="n"/>
      <c r="I946" s="87" t="n"/>
      <c r="M946" s="87" t="n"/>
    </row>
    <row r="947">
      <c r="D947" s="87" t="n"/>
      <c r="I947" s="87" t="n"/>
      <c r="M947" s="87" t="n"/>
    </row>
    <row r="948">
      <c r="D948" s="87" t="n"/>
      <c r="I948" s="87" t="n"/>
      <c r="M948" s="87" t="n"/>
    </row>
    <row r="949">
      <c r="D949" s="87" t="n"/>
      <c r="I949" s="87" t="n"/>
      <c r="M949" s="87" t="n"/>
    </row>
    <row r="950">
      <c r="D950" s="87" t="n"/>
      <c r="I950" s="87" t="n"/>
      <c r="M950" s="87" t="n"/>
    </row>
    <row r="951">
      <c r="D951" s="87" t="n"/>
      <c r="I951" s="87" t="n"/>
      <c r="M951" s="87" t="n"/>
    </row>
    <row r="952">
      <c r="D952" s="87" t="n"/>
      <c r="I952" s="87" t="n"/>
      <c r="M952" s="87" t="n"/>
    </row>
    <row r="953">
      <c r="D953" s="87" t="n"/>
      <c r="I953" s="87" t="n"/>
      <c r="M953" s="87" t="n"/>
    </row>
    <row r="954">
      <c r="D954" s="87" t="n"/>
      <c r="I954" s="87" t="n"/>
      <c r="M954" s="87" t="n"/>
    </row>
    <row r="955">
      <c r="D955" s="87" t="n"/>
      <c r="I955" s="87" t="n"/>
      <c r="M955" s="87" t="n"/>
    </row>
    <row r="956">
      <c r="D956" s="87" t="n"/>
      <c r="I956" s="87" t="n"/>
      <c r="M956" s="87" t="n"/>
    </row>
    <row r="957">
      <c r="D957" s="87" t="n"/>
      <c r="I957" s="87" t="n"/>
      <c r="M957" s="87" t="n"/>
    </row>
    <row r="958">
      <c r="D958" s="87" t="n"/>
      <c r="I958" s="87" t="n"/>
      <c r="M958" s="87" t="n"/>
    </row>
    <row r="959">
      <c r="D959" s="87" t="n"/>
      <c r="I959" s="87" t="n"/>
      <c r="M959" s="87" t="n"/>
    </row>
    <row r="960">
      <c r="D960" s="87" t="n"/>
      <c r="I960" s="87" t="n"/>
      <c r="M960" s="87" t="n"/>
    </row>
    <row r="961">
      <c r="D961" s="87" t="n"/>
      <c r="I961" s="87" t="n"/>
      <c r="M961" s="87" t="n"/>
    </row>
    <row r="962">
      <c r="D962" s="87" t="n"/>
      <c r="I962" s="87" t="n"/>
      <c r="M962" s="87" t="n"/>
    </row>
    <row r="963">
      <c r="D963" s="87" t="n"/>
      <c r="I963" s="87" t="n"/>
      <c r="M963" s="87" t="n"/>
    </row>
    <row r="964">
      <c r="D964" s="87" t="n"/>
      <c r="I964" s="87" t="n"/>
      <c r="M964" s="87" t="n"/>
    </row>
    <row r="965">
      <c r="D965" s="87" t="n"/>
      <c r="I965" s="87" t="n"/>
      <c r="M965" s="87" t="n"/>
    </row>
    <row r="966">
      <c r="D966" s="87" t="n"/>
      <c r="I966" s="87" t="n"/>
      <c r="M966" s="87" t="n"/>
    </row>
    <row r="967">
      <c r="D967" s="87" t="n"/>
      <c r="I967" s="87" t="n"/>
      <c r="M967" s="87" t="n"/>
    </row>
    <row r="968">
      <c r="D968" s="87" t="n"/>
      <c r="I968" s="87" t="n"/>
      <c r="M968" s="87" t="n"/>
    </row>
    <row r="969">
      <c r="D969" s="87" t="n"/>
      <c r="I969" s="87" t="n"/>
      <c r="M969" s="87" t="n"/>
    </row>
    <row r="970">
      <c r="D970" s="87" t="n"/>
      <c r="I970" s="87" t="n"/>
      <c r="M970" s="87" t="n"/>
    </row>
    <row r="971">
      <c r="D971" s="87" t="n"/>
      <c r="I971" s="87" t="n"/>
      <c r="M971" s="87" t="n"/>
    </row>
    <row r="972">
      <c r="D972" s="87" t="n"/>
      <c r="I972" s="87" t="n"/>
      <c r="M972" s="87" t="n"/>
    </row>
    <row r="973">
      <c r="D973" s="87" t="n"/>
      <c r="I973" s="87" t="n"/>
      <c r="M973" s="87" t="n"/>
    </row>
    <row r="974">
      <c r="D974" s="87" t="n"/>
      <c r="I974" s="87" t="n"/>
      <c r="M974" s="87" t="n"/>
    </row>
    <row r="975">
      <c r="D975" s="87" t="n"/>
      <c r="I975" s="87" t="n"/>
      <c r="M975" s="87" t="n"/>
    </row>
    <row r="976">
      <c r="D976" s="87" t="n"/>
      <c r="I976" s="87" t="n"/>
      <c r="M976" s="87" t="n"/>
    </row>
    <row r="977">
      <c r="D977" s="87" t="n"/>
      <c r="I977" s="87" t="n"/>
      <c r="M977" s="87" t="n"/>
    </row>
    <row r="978">
      <c r="D978" s="87" t="n"/>
      <c r="I978" s="87" t="n"/>
      <c r="M978" s="87" t="n"/>
    </row>
    <row r="979">
      <c r="D979" s="87" t="n"/>
      <c r="I979" s="87" t="n"/>
      <c r="M979" s="87" t="n"/>
    </row>
    <row r="980">
      <c r="D980" s="87" t="n"/>
      <c r="I980" s="87" t="n"/>
      <c r="M980" s="87" t="n"/>
    </row>
    <row r="981">
      <c r="D981" s="87" t="n"/>
      <c r="I981" s="87" t="n"/>
      <c r="M981" s="87" t="n"/>
    </row>
    <row r="982">
      <c r="D982" s="87" t="n"/>
      <c r="I982" s="87" t="n"/>
      <c r="M982" s="87" t="n"/>
    </row>
    <row r="983">
      <c r="D983" s="87" t="n"/>
      <c r="I983" s="87" t="n"/>
      <c r="M983" s="87" t="n"/>
    </row>
    <row r="984">
      <c r="D984" s="87" t="n"/>
      <c r="I984" s="87" t="n"/>
      <c r="M984" s="87" t="n"/>
    </row>
    <row r="985">
      <c r="D985" s="87" t="n"/>
      <c r="I985" s="87" t="n"/>
      <c r="M985" s="87" t="n"/>
    </row>
    <row r="986">
      <c r="D986" s="87" t="n"/>
      <c r="I986" s="87" t="n"/>
      <c r="M986" s="87" t="n"/>
    </row>
    <row r="987">
      <c r="D987" s="87" t="n"/>
      <c r="I987" s="87" t="n"/>
      <c r="M987" s="87" t="n"/>
    </row>
    <row r="988">
      <c r="D988" s="87" t="n"/>
      <c r="I988" s="87" t="n"/>
      <c r="M988" s="87" t="n"/>
    </row>
    <row r="989">
      <c r="D989" s="87" t="n"/>
      <c r="I989" s="87" t="n"/>
      <c r="M989" s="87" t="n"/>
    </row>
    <row r="990">
      <c r="D990" s="87" t="n"/>
      <c r="I990" s="87" t="n"/>
      <c r="M990" s="87" t="n"/>
    </row>
    <row r="991">
      <c r="D991" s="87" t="n"/>
      <c r="I991" s="87" t="n"/>
      <c r="M991" s="87" t="n"/>
    </row>
    <row r="992">
      <c r="D992" s="87" t="n"/>
      <c r="I992" s="87" t="n"/>
      <c r="M992" s="87" t="n"/>
    </row>
    <row r="993">
      <c r="D993" s="87" t="n"/>
      <c r="I993" s="87" t="n"/>
      <c r="M993" s="87" t="n"/>
    </row>
    <row r="994">
      <c r="D994" s="87" t="n"/>
      <c r="I994" s="87" t="n"/>
      <c r="M994" s="87" t="n"/>
    </row>
    <row r="995">
      <c r="D995" s="87" t="n"/>
      <c r="I995" s="87" t="n"/>
      <c r="M995" s="87" t="n"/>
    </row>
    <row r="996">
      <c r="D996" s="87" t="n"/>
      <c r="I996" s="87" t="n"/>
      <c r="M996" s="87" t="n"/>
    </row>
    <row r="997">
      <c r="D997" s="87" t="n"/>
      <c r="I997" s="87" t="n"/>
      <c r="M997" s="87" t="n"/>
    </row>
    <row r="998">
      <c r="D998" s="87" t="n"/>
      <c r="I998" s="87" t="n"/>
      <c r="M998" s="87" t="n"/>
    </row>
    <row r="999">
      <c r="D999" s="87" t="n"/>
      <c r="I999" s="87" t="n"/>
      <c r="M999" s="87" t="n"/>
    </row>
    <row r="1000">
      <c r="D1000" s="87" t="n"/>
      <c r="I1000" s="87" t="n"/>
      <c r="M1000" s="87" t="n"/>
    </row>
  </sheetData>
  <mergeCells count="66">
    <mergeCell ref="B91:C91"/>
    <mergeCell ref="B97:C97"/>
    <mergeCell ref="A24:B24"/>
    <mergeCell ref="B16:C16"/>
    <mergeCell ref="B54:C54"/>
    <mergeCell ref="B100:C100"/>
    <mergeCell ref="B7:C7"/>
    <mergeCell ref="B90:C90"/>
    <mergeCell ref="B81:C8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B52:C52"/>
    <mergeCell ref="B21:C21"/>
    <mergeCell ref="B48:C48"/>
    <mergeCell ref="B70:C70"/>
    <mergeCell ref="A99:B99"/>
    <mergeCell ref="B42:C42"/>
    <mergeCell ref="A46:B46"/>
    <mergeCell ref="B61:C61"/>
    <mergeCell ref="B101:C101"/>
    <mergeCell ref="B17:C17"/>
    <mergeCell ref="B88:C88"/>
    <mergeCell ref="B8:C8"/>
    <mergeCell ref="B82:C82"/>
    <mergeCell ref="B53:C53"/>
    <mergeCell ref="B73:C73"/>
    <mergeCell ref="B69:C69"/>
    <mergeCell ref="B38:C38"/>
    <mergeCell ref="B44:C44"/>
    <mergeCell ref="B29:C29"/>
    <mergeCell ref="A77:B77"/>
    <mergeCell ref="B19:C19"/>
    <mergeCell ref="B34:C34"/>
    <mergeCell ref="B37:C37"/>
    <mergeCell ref="A111:C111"/>
    <mergeCell ref="B28:C28"/>
    <mergeCell ref="B103:C103"/>
    <mergeCell ref="B41:C41"/>
    <mergeCell ref="B40:C40"/>
    <mergeCell ref="B49:C49"/>
    <mergeCell ref="B92:C92"/>
    <mergeCell ref="B55:C55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79:C79"/>
    <mergeCell ref="B35:C35"/>
    <mergeCell ref="B106:C10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Right="0"/>
    <pageSetUpPr/>
  </sheetPr>
  <dimension ref="A1:AB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 outlineLevelRow="1"/>
  <cols>
    <col width="31" customWidth="1" style="270" min="3" max="3"/>
    <col width="16.13" customWidth="1" style="270" min="4" max="4"/>
  </cols>
  <sheetData>
    <row r="1" outlineLevel="1" s="270">
      <c r="A1" s="111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215" t="n"/>
      <c r="M1" s="87" t="n"/>
    </row>
    <row r="2" outlineLevel="1" s="270">
      <c r="A2" s="186" t="inlineStr">
        <is>
          <t>VIGENCIA:</t>
        </is>
      </c>
      <c r="B2" s="108" t="n">
        <v>44958</v>
      </c>
      <c r="C2" s="223" t="n"/>
      <c r="D2" s="110" t="n"/>
      <c r="E2" s="111" t="n"/>
      <c r="F2" s="111" t="n"/>
      <c r="G2" s="111" t="n"/>
      <c r="H2" s="111" t="n"/>
      <c r="I2" s="215" t="n"/>
      <c r="M2" s="87" t="n"/>
    </row>
    <row r="3" outlineLevel="1" s="270">
      <c r="A3" s="223" t="n"/>
      <c r="B3" s="223" t="n"/>
      <c r="C3" s="223" t="n"/>
      <c r="D3" s="215" t="n"/>
      <c r="E3" s="223" t="n"/>
      <c r="F3" s="223" t="n"/>
      <c r="G3" s="223" t="n"/>
      <c r="H3" s="223" t="n"/>
      <c r="I3" s="215" t="n"/>
      <c r="M3" s="87" t="n"/>
    </row>
    <row r="4" outlineLevel="1" s="270">
      <c r="A4" s="117" t="inlineStr">
        <is>
          <t>JABONES</t>
        </is>
      </c>
      <c r="B4" s="223" t="n"/>
      <c r="C4" s="223" t="n"/>
      <c r="D4" s="118" t="inlineStr">
        <is>
          <t>Lista 20 con -7 y -2</t>
        </is>
      </c>
      <c r="E4" s="188" t="inlineStr">
        <is>
          <t xml:space="preserve">Mayorista </t>
        </is>
      </c>
      <c r="F4" s="188" t="inlineStr">
        <is>
          <t xml:space="preserve">Minorista </t>
        </is>
      </c>
      <c r="G4" s="188" t="inlineStr">
        <is>
          <t>Minorista con IVA</t>
        </is>
      </c>
      <c r="H4" s="188" t="inlineStr">
        <is>
          <t>Redondeado</t>
        </is>
      </c>
      <c r="I4" s="118" t="inlineStr">
        <is>
          <t>menos 20%</t>
        </is>
      </c>
      <c r="M4" s="87" t="inlineStr">
        <is>
          <t>Anterior</t>
        </is>
      </c>
    </row>
    <row r="5" outlineLevel="1" s="270">
      <c r="A5" s="131" t="n"/>
      <c r="B5" s="223" t="n"/>
      <c r="C5" s="223" t="n"/>
      <c r="D5" s="118" t="n"/>
      <c r="E5" s="188" t="n"/>
      <c r="F5" s="188" t="n"/>
      <c r="G5" s="188" t="n"/>
      <c r="H5" s="188" t="n"/>
      <c r="I5" s="118" t="n"/>
      <c r="M5" s="87" t="n"/>
    </row>
    <row r="6">
      <c r="A6" s="124" t="n"/>
      <c r="B6" s="223" t="n"/>
      <c r="C6" s="223" t="n"/>
      <c r="D6" s="237" t="n"/>
      <c r="E6" s="200" t="n"/>
      <c r="F6" s="200" t="n"/>
      <c r="G6" s="200" t="n"/>
      <c r="H6" s="200" t="n"/>
      <c r="I6" s="237" t="n"/>
      <c r="M6" s="87" t="n"/>
    </row>
    <row r="7">
      <c r="A7" s="124" t="n">
        <v>701</v>
      </c>
      <c r="B7" s="223" t="inlineStr">
        <is>
          <t>Botella 1 lt. Servicio Dilución DMQ</t>
        </is>
      </c>
      <c r="D7" s="237">
        <f>I7*0.93*0.98</f>
        <v/>
      </c>
      <c r="E7" s="237">
        <f>D7*1.3*1.105</f>
        <v/>
      </c>
      <c r="F7" s="237">
        <f>D7*1.3*1.105/0.9</f>
        <v/>
      </c>
      <c r="G7" s="237">
        <f>F7*1.21</f>
        <v/>
      </c>
      <c r="H7" s="237">
        <f>ROUND(G7/100,0)*100</f>
        <v/>
      </c>
      <c r="I7" s="127" t="n">
        <v>1062.78</v>
      </c>
      <c r="M7" s="87" t="n">
        <v>830.7137580000001</v>
      </c>
    </row>
    <row r="8">
      <c r="A8" s="124" t="n">
        <v>720</v>
      </c>
      <c r="B8" s="223" t="inlineStr">
        <is>
          <t>Bidon x 5 lts. Jabón Líquido Tocador</t>
        </is>
      </c>
      <c r="D8" s="237">
        <f>I8*0.93*0.98</f>
        <v/>
      </c>
      <c r="E8" s="237">
        <f>D8*1.3*1.105</f>
        <v/>
      </c>
      <c r="F8" s="237">
        <f>D8*1.3*1.105/0.9</f>
        <v/>
      </c>
      <c r="G8" s="237">
        <f>F8*1.21</f>
        <v/>
      </c>
      <c r="H8" s="237">
        <f>ROUND(G8/100,0)*100</f>
        <v/>
      </c>
      <c r="I8" s="230" t="n">
        <v>3333.26</v>
      </c>
      <c r="M8" s="87" t="n">
        <v>2605.437408</v>
      </c>
    </row>
    <row r="9">
      <c r="A9" s="124" t="n"/>
      <c r="B9" s="223" t="n"/>
      <c r="C9" s="223" t="n"/>
      <c r="D9" s="237" t="n"/>
      <c r="E9" s="200" t="n"/>
      <c r="F9" s="200" t="n"/>
      <c r="G9" s="200" t="n"/>
      <c r="H9" s="200" t="n"/>
      <c r="I9" s="215" t="n"/>
      <c r="M9" s="87" t="n"/>
    </row>
    <row r="10">
      <c r="A10" s="117" t="inlineStr">
        <is>
          <t>TOALLAS</t>
        </is>
      </c>
      <c r="B10" s="223" t="n"/>
      <c r="C10" s="223" t="n"/>
      <c r="D10" s="237" t="n"/>
      <c r="E10" s="200" t="n"/>
      <c r="F10" s="200" t="n"/>
      <c r="G10" s="200" t="n"/>
      <c r="H10" s="200" t="n"/>
      <c r="I10" s="215" t="n"/>
      <c r="M10" s="87" t="n"/>
    </row>
    <row r="11">
      <c r="A11" s="131" t="n"/>
      <c r="B11" s="223" t="n"/>
      <c r="C11" s="223" t="n"/>
      <c r="D11" s="237" t="n"/>
      <c r="E11" s="200" t="n"/>
      <c r="F11" s="200" t="n"/>
      <c r="G11" s="200" t="n"/>
      <c r="H11" s="200" t="n"/>
      <c r="I11" s="215" t="n"/>
      <c r="M11" s="87" t="n"/>
    </row>
    <row r="12">
      <c r="A12" s="124" t="n">
        <v>901</v>
      </c>
      <c r="B12" s="223" t="inlineStr">
        <is>
          <t>Toallas Blancas Super 21x25</t>
        </is>
      </c>
      <c r="C12" s="223" t="n"/>
      <c r="D12" s="237">
        <f>I12*0.93*0.98</f>
        <v/>
      </c>
      <c r="E12" s="237">
        <f>D12*1.3*1.105</f>
        <v/>
      </c>
      <c r="F12" s="237">
        <f>D12*1.3*1.105/0.9</f>
        <v/>
      </c>
      <c r="G12" s="237">
        <f>F12*1.21</f>
        <v/>
      </c>
      <c r="H12" s="237">
        <f>ROUND(G12/100,0)*100</f>
        <v/>
      </c>
      <c r="I12" s="127" t="n">
        <v>4350.87</v>
      </c>
      <c r="M12" s="87" t="n">
        <v>3091.678422</v>
      </c>
    </row>
    <row r="13">
      <c r="A13" s="124" t="n">
        <v>902</v>
      </c>
      <c r="B13" s="223" t="inlineStr">
        <is>
          <t>Toallas Blancas Pura Simple</t>
        </is>
      </c>
      <c r="C13" s="223" t="n"/>
      <c r="D13" s="237">
        <f>I13*0.93*0.98</f>
        <v/>
      </c>
      <c r="E13" s="237">
        <f>D13*1.3*1.105</f>
        <v/>
      </c>
      <c r="F13" s="237">
        <f>D13*1.3*1.105/0.9</f>
        <v/>
      </c>
      <c r="G13" s="237">
        <f>F13*1.21</f>
        <v/>
      </c>
      <c r="H13" s="237">
        <f>ROUND(G13/100,0)*100</f>
        <v/>
      </c>
      <c r="I13" s="230" t="n">
        <v>4385.62</v>
      </c>
      <c r="M13" s="87" t="n">
        <v>3428.012364</v>
      </c>
    </row>
    <row r="14">
      <c r="A14" s="124" t="n">
        <v>903</v>
      </c>
      <c r="B14" s="223" t="inlineStr">
        <is>
          <t>Toallas Blancas Pura Doble</t>
        </is>
      </c>
      <c r="C14" s="223" t="n"/>
      <c r="D14" s="237">
        <f>I14*0.93*0.98</f>
        <v/>
      </c>
      <c r="E14" s="237">
        <f>D14*1.3*1.105</f>
        <v/>
      </c>
      <c r="F14" s="237">
        <f>D14*1.3*1.105/0.9</f>
        <v/>
      </c>
      <c r="G14" s="237">
        <f>F14*1.21</f>
        <v/>
      </c>
      <c r="H14" s="237">
        <f>ROUND(G14/100,0)*100</f>
        <v/>
      </c>
      <c r="I14" s="230" t="n">
        <v>5465.52</v>
      </c>
      <c r="M14" s="87" t="n">
        <v>4272.105474</v>
      </c>
    </row>
    <row r="15">
      <c r="A15" s="124" t="n">
        <v>914</v>
      </c>
      <c r="B15" s="223" t="inlineStr">
        <is>
          <t>Toalla Blanca Unitas (17,5x25 cm)</t>
        </is>
      </c>
      <c r="D15" s="237">
        <f>I15*0.93*0.98</f>
        <v/>
      </c>
      <c r="E15" s="237">
        <f>D15*1.3*1.105</f>
        <v/>
      </c>
      <c r="F15" s="237">
        <f>D15*1.3*1.105/0.9</f>
        <v/>
      </c>
      <c r="G15" s="237">
        <f>F15*1.21</f>
        <v/>
      </c>
      <c r="H15" s="237">
        <f>ROUND(G15/100,0)*100</f>
        <v/>
      </c>
      <c r="I15" s="230" t="n">
        <v>3013.85</v>
      </c>
      <c r="M15" s="87" t="n">
        <v>2355.768492</v>
      </c>
    </row>
    <row r="16">
      <c r="A16" s="124" t="n">
        <v>916</v>
      </c>
      <c r="B16" s="223" t="inlineStr">
        <is>
          <t>Toalla Blanca Especial 21 x 25 ( tiza )</t>
        </is>
      </c>
      <c r="D16" s="237">
        <f>I16*0.93*0.98</f>
        <v/>
      </c>
      <c r="E16" s="237">
        <f>D16*1.3*1.105</f>
        <v/>
      </c>
      <c r="F16" s="237">
        <f>D16*1.3*1.105/0.9</f>
        <v/>
      </c>
      <c r="G16" s="237">
        <f>F16*1.21</f>
        <v/>
      </c>
      <c r="H16" s="237">
        <f>ROUND(G16/100,0)*100</f>
        <v/>
      </c>
      <c r="I16" s="230" t="n">
        <v>3688.78</v>
      </c>
      <c r="M16" s="87" t="n">
        <v>2883.323268</v>
      </c>
    </row>
    <row r="17">
      <c r="A17" s="124" t="n">
        <v>920</v>
      </c>
      <c r="B17" s="223" t="inlineStr">
        <is>
          <t>Toalla Blanca Especial 21 x 37 ( tiza )</t>
        </is>
      </c>
      <c r="D17" s="237">
        <f>I17*0.93*0.98</f>
        <v/>
      </c>
      <c r="E17" s="237">
        <f>D17*1.3*1.105</f>
        <v/>
      </c>
      <c r="F17" s="237">
        <f>D17*1.3*1.105/0.9</f>
        <v/>
      </c>
      <c r="G17" s="237">
        <f>F17*1.21</f>
        <v/>
      </c>
      <c r="H17" s="237">
        <f>ROUND(G17/100,0)*100</f>
        <v/>
      </c>
      <c r="I17" s="230" t="n">
        <v>5032.06</v>
      </c>
      <c r="M17" s="87" t="n">
        <v>3933.28341</v>
      </c>
    </row>
    <row r="18">
      <c r="A18" s="124" t="n">
        <v>927</v>
      </c>
      <c r="B18" s="223" t="inlineStr">
        <is>
          <t>Toalla Blanca Especial 17,5 x 25 ( tiza ) Unita</t>
        </is>
      </c>
      <c r="D18" s="237">
        <f>I18*0.93*0.98</f>
        <v/>
      </c>
      <c r="E18" s="237">
        <f>D18*1.3*1.105</f>
        <v/>
      </c>
      <c r="F18" s="237">
        <f>D18*1.3*1.105/0.9</f>
        <v/>
      </c>
      <c r="G18" s="237">
        <f>F18*1.21</f>
        <v/>
      </c>
      <c r="H18" s="237">
        <f>ROUND(G18/100,0)*100</f>
        <v/>
      </c>
      <c r="I18" s="230" t="n">
        <v>2891.54</v>
      </c>
      <c r="M18" s="87" t="n">
        <v>2260.18086</v>
      </c>
    </row>
    <row r="19">
      <c r="A19" s="124" t="n">
        <v>928</v>
      </c>
      <c r="B19" s="223" t="inlineStr">
        <is>
          <t>Cajas x 2500 Toallas Beige 21x37</t>
        </is>
      </c>
      <c r="D19" s="237">
        <f>I19*0.93*0.98</f>
        <v/>
      </c>
      <c r="E19" s="237">
        <f>D19*1.3*1.105</f>
        <v/>
      </c>
      <c r="F19" s="237">
        <f>D19*1.3*1.105/0.9</f>
        <v/>
      </c>
      <c r="G19" s="237">
        <f>F19*1.21</f>
        <v/>
      </c>
      <c r="H19" s="237">
        <f>ROUND(G19/100,0)*100</f>
        <v/>
      </c>
      <c r="I19" s="230" t="n">
        <v>4261.75</v>
      </c>
      <c r="M19" s="87" t="n">
        <v>3331.167</v>
      </c>
    </row>
    <row r="20">
      <c r="A20" s="124" t="n">
        <v>930</v>
      </c>
      <c r="B20" s="223" t="inlineStr">
        <is>
          <t>Toalla Blanca Super 21x37 cm</t>
        </is>
      </c>
      <c r="C20" s="223" t="n"/>
      <c r="D20" s="237">
        <f>I20*0.93*0.98</f>
        <v/>
      </c>
      <c r="E20" s="237">
        <f>D20*1.3*1.105</f>
        <v/>
      </c>
      <c r="F20" s="237">
        <f>D20*1.3*1.105/0.9</f>
        <v/>
      </c>
      <c r="G20" s="237">
        <f>F20*1.21</f>
        <v/>
      </c>
      <c r="H20" s="237">
        <f>ROUND(G20/100,0)*100</f>
        <v/>
      </c>
      <c r="I20" s="230" t="n">
        <v>5439.28</v>
      </c>
      <c r="M20" s="87" t="n">
        <v>4251.580746000001</v>
      </c>
    </row>
    <row r="21">
      <c r="A21" s="124" t="n">
        <v>931</v>
      </c>
      <c r="B21" s="223" t="inlineStr">
        <is>
          <t>Caja x 2500 Toallas Beige Unitas 17,5 cm x 25 cm</t>
        </is>
      </c>
      <c r="D21" s="237">
        <f>I21*0.93*0.98</f>
        <v/>
      </c>
      <c r="E21" s="237">
        <f>D21*1.3*1.105</f>
        <v/>
      </c>
      <c r="F21" s="237">
        <f>D21*1.3*1.105/0.9</f>
        <v/>
      </c>
      <c r="G21" s="237">
        <f>F21*1.21</f>
        <v/>
      </c>
      <c r="H21" s="237">
        <f>ROUND(G21/100,0)*100</f>
        <v/>
      </c>
      <c r="I21" s="230" t="n">
        <v>2660.24</v>
      </c>
      <c r="M21" s="87" t="n">
        <v>2079.3591</v>
      </c>
    </row>
    <row r="22">
      <c r="A22" s="124" t="n">
        <v>932</v>
      </c>
      <c r="B22" s="223" t="inlineStr">
        <is>
          <t>Caja x 2500 Toallas Beige 21 cm x 25 cm simple hoja</t>
        </is>
      </c>
      <c r="D22" s="237">
        <f>I22*0.93*0.98</f>
        <v/>
      </c>
      <c r="E22" s="237">
        <f>D22*1.3*1.105</f>
        <v/>
      </c>
      <c r="F22" s="237">
        <f>D22*1.3*1.105/0.9</f>
        <v/>
      </c>
      <c r="G22" s="237">
        <f>F22*1.21</f>
        <v/>
      </c>
      <c r="H22" s="237">
        <f>ROUND(G22/100,0)*100</f>
        <v/>
      </c>
      <c r="I22" s="230" t="n">
        <v>3033.1</v>
      </c>
      <c r="M22" s="87" t="n">
        <v>2370.815706</v>
      </c>
    </row>
    <row r="23">
      <c r="A23" s="124" t="n"/>
      <c r="B23" s="223" t="n"/>
      <c r="C23" s="223" t="n"/>
      <c r="D23" s="237" t="n"/>
      <c r="E23" s="200" t="n"/>
      <c r="F23" s="200" t="n"/>
      <c r="G23" s="200" t="n"/>
      <c r="H23" s="200" t="n"/>
      <c r="I23" s="215" t="n"/>
      <c r="M23" s="87" t="n"/>
    </row>
    <row r="24">
      <c r="A24" s="117" t="inlineStr">
        <is>
          <t>TOALLAS EN ROLLO</t>
        </is>
      </c>
      <c r="B24" s="271" t="n"/>
      <c r="C24" s="223" t="n"/>
      <c r="D24" s="237" t="n"/>
      <c r="E24" s="200" t="n"/>
      <c r="F24" s="200" t="n"/>
      <c r="G24" s="200" t="n"/>
      <c r="H24" s="200" t="n"/>
      <c r="I24" s="215" t="n"/>
      <c r="M24" s="87" t="n"/>
    </row>
    <row r="25">
      <c r="A25" s="131" t="n"/>
      <c r="B25" s="111" t="n"/>
      <c r="C25" s="223" t="n"/>
      <c r="D25" s="237" t="n"/>
      <c r="E25" s="200" t="n"/>
      <c r="F25" s="200" t="n"/>
      <c r="G25" s="200" t="n"/>
      <c r="H25" s="200" t="n"/>
      <c r="I25" s="215" t="n"/>
      <c r="M25" s="87" t="n"/>
    </row>
    <row r="26">
      <c r="A26" s="124" t="n">
        <v>204</v>
      </c>
      <c r="B26" s="223" t="inlineStr">
        <is>
          <t>Pack X 2 Rollos de toalla x 300 mts Blanca</t>
        </is>
      </c>
      <c r="D26" s="237">
        <f>I26*0.93*0.98</f>
        <v/>
      </c>
      <c r="E26" s="237">
        <f>D26*1.3*1.105</f>
        <v/>
      </c>
      <c r="F26" s="237">
        <f>D26*1.3*1.105/0.9</f>
        <v/>
      </c>
      <c r="G26" s="237">
        <f>F26*1.21</f>
        <v/>
      </c>
      <c r="H26" s="237">
        <f>ROUND(G26/100,0)*100</f>
        <v/>
      </c>
      <c r="I26" s="127" t="n">
        <v>2916.76</v>
      </c>
      <c r="M26" s="87" t="n">
        <v>2279.8671</v>
      </c>
    </row>
    <row r="27">
      <c r="A27" s="124" t="n">
        <v>205</v>
      </c>
      <c r="B27" s="223" t="inlineStr">
        <is>
          <t>Pack X 2 Rollos de toalla x 240 mts Blanca</t>
        </is>
      </c>
      <c r="D27" s="237">
        <f>I27*0.93*0.98</f>
        <v/>
      </c>
      <c r="E27" s="237">
        <f>D27*1.3*1.105</f>
        <v/>
      </c>
      <c r="F27" s="237">
        <f>D27*1.3*1.105/0.9</f>
        <v/>
      </c>
      <c r="G27" s="237">
        <f>F27*1.21</f>
        <v/>
      </c>
      <c r="H27" s="237">
        <f>ROUND(G27/100,0)*100</f>
        <v/>
      </c>
      <c r="I27" s="230" t="n">
        <v>2324.54</v>
      </c>
      <c r="M27" s="87" t="n">
        <v>1816.96704</v>
      </c>
    </row>
    <row r="28">
      <c r="A28" s="133" t="n">
        <v>116</v>
      </c>
      <c r="B28" s="134" t="inlineStr">
        <is>
          <t>Pack x 6 Rollos de Toallas x 200 mts. Blanca</t>
        </is>
      </c>
      <c r="D28" s="135">
        <f>I28*0.93*0.98</f>
        <v/>
      </c>
      <c r="E28" s="135">
        <f>D28*1.3*1.105</f>
        <v/>
      </c>
      <c r="F28" s="135">
        <f>D28*1.3*1.105/0.9</f>
        <v/>
      </c>
      <c r="G28" s="135">
        <f>F28*1.21</f>
        <v/>
      </c>
      <c r="H28" s="135">
        <f>ROUND(G28/100,0)*100</f>
        <v/>
      </c>
      <c r="I28" s="199" t="n">
        <v>5969.52</v>
      </c>
      <c r="J28" s="146" t="n"/>
      <c r="K28" s="146" t="n"/>
      <c r="L28" s="146" t="n"/>
      <c r="M28" s="147" t="n">
        <v>4666.058124</v>
      </c>
      <c r="N28" s="146" t="n"/>
      <c r="O28" s="146" t="n"/>
      <c r="P28" s="146" t="n"/>
      <c r="Q28" s="146" t="n"/>
      <c r="R28" s="146" t="n"/>
      <c r="S28" s="146" t="n"/>
      <c r="T28" s="146" t="n"/>
      <c r="U28" s="146" t="n"/>
      <c r="V28" s="146" t="n"/>
      <c r="W28" s="146" t="n"/>
      <c r="X28" s="146" t="n"/>
      <c r="Y28" s="146" t="n"/>
      <c r="Z28" s="146" t="n"/>
      <c r="AA28" s="146" t="n"/>
      <c r="AB28" s="146" t="n"/>
    </row>
    <row r="29">
      <c r="A29" s="124" t="n">
        <v>135</v>
      </c>
      <c r="B29" s="223" t="inlineStr">
        <is>
          <t>Recarga Original P/Dispenser Celmatic 2500 U. Dobles</t>
        </is>
      </c>
      <c r="D29" s="237">
        <f>I29*0.93*0.98</f>
        <v/>
      </c>
      <c r="E29" s="237">
        <f>D29*1.3*1.105</f>
        <v/>
      </c>
      <c r="F29" s="237">
        <f>D29*1.3*1.105/0.9</f>
        <v/>
      </c>
      <c r="G29" s="237">
        <f>F29*1.21</f>
        <v/>
      </c>
      <c r="H29" s="237">
        <f>ROUND(G29/100,0)*100</f>
        <v/>
      </c>
      <c r="I29" s="230" t="n">
        <v>7607.27</v>
      </c>
      <c r="M29" s="87" t="n">
        <v>5997.28542</v>
      </c>
    </row>
    <row r="30">
      <c r="A30" s="124" t="n">
        <v>136</v>
      </c>
      <c r="B30" s="223" t="inlineStr">
        <is>
          <t>Pack x 4 Recarga Celmatic Due 2400 U. Dobles</t>
        </is>
      </c>
      <c r="D30" s="237">
        <f>I30*0.93*0.98</f>
        <v/>
      </c>
      <c r="E30" s="237">
        <f>D30*1.3*1.105</f>
        <v/>
      </c>
      <c r="F30" s="237">
        <f>D30*1.3*1.105/0.9</f>
        <v/>
      </c>
      <c r="G30" s="237">
        <f>F30*1.21</f>
        <v/>
      </c>
      <c r="H30" s="237">
        <f>ROUND(G30/100,0)*100</f>
        <v/>
      </c>
      <c r="I30" s="230" t="n">
        <v>6018.36</v>
      </c>
      <c r="M30" s="87" t="n">
        <v>4485.692064000001</v>
      </c>
    </row>
    <row r="31">
      <c r="A31" s="124" t="n"/>
      <c r="B31" s="223" t="n"/>
      <c r="C31" s="223" t="n"/>
      <c r="D31" s="237" t="n"/>
      <c r="E31" s="200" t="n"/>
      <c r="F31" s="200" t="n"/>
      <c r="G31" s="200" t="n"/>
      <c r="H31" s="200" t="n"/>
      <c r="I31" s="237" t="n"/>
      <c r="M31" s="87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 t="n"/>
      <c r="E32" s="190" t="n"/>
      <c r="F32" s="190" t="n"/>
      <c r="G32" s="190" t="n"/>
      <c r="H32" s="190" t="n"/>
      <c r="I32" s="137" t="n"/>
      <c r="M32" s="87" t="n"/>
    </row>
    <row r="33">
      <c r="A33" s="131" t="n"/>
      <c r="B33" s="158" t="n"/>
      <c r="C33" s="223" t="n"/>
      <c r="D33" s="169" t="n"/>
      <c r="E33" s="197" t="n"/>
      <c r="F33" s="197" t="n"/>
      <c r="G33" s="197" t="n"/>
      <c r="H33" s="197" t="n"/>
      <c r="I33" s="192" t="n"/>
      <c r="M33" s="87" t="n"/>
    </row>
    <row r="34">
      <c r="A34" s="124" t="n">
        <v>501</v>
      </c>
      <c r="B34" s="140" t="inlineStr">
        <is>
          <t>Pack x 2 rollos Cel-Soft de 22,5 x 150 mts</t>
        </is>
      </c>
      <c r="D34" s="237">
        <f>I34*0.93*0.98</f>
        <v/>
      </c>
      <c r="E34" s="237">
        <f>D34*1.3*1.105</f>
        <v/>
      </c>
      <c r="F34" s="237">
        <f>D34*1.3*1.105/0.9</f>
        <v/>
      </c>
      <c r="G34" s="237">
        <f>F34*1.21</f>
        <v/>
      </c>
      <c r="H34" s="237">
        <f>ROUND(G34/100,0)*100</f>
        <v/>
      </c>
      <c r="I34" s="230" t="n">
        <v>57</v>
      </c>
      <c r="M34" s="87" t="n">
        <v>51.9498</v>
      </c>
    </row>
    <row r="35">
      <c r="A35" s="124" t="n">
        <v>505</v>
      </c>
      <c r="B35" s="223" t="inlineStr">
        <is>
          <t>Caja x 2000 U. Servilletas Cel-Soft 30 x 40 cm</t>
        </is>
      </c>
      <c r="D35" s="237">
        <f>I35*0.93*0.98</f>
        <v/>
      </c>
      <c r="E35" s="237">
        <f>D35*1.3*1.105</f>
        <v/>
      </c>
      <c r="F35" s="237">
        <f>D35*1.3*1.105/0.9</f>
        <v/>
      </c>
      <c r="G35" s="237">
        <f>F35*1.21</f>
        <v/>
      </c>
      <c r="H35" s="237">
        <f>ROUND(G35/100,0)*100</f>
        <v/>
      </c>
      <c r="I35" s="230" t="n">
        <v>273.74</v>
      </c>
      <c r="M35" s="87" t="n">
        <v>249.486636</v>
      </c>
    </row>
    <row r="36">
      <c r="A36" s="124" t="n">
        <v>506</v>
      </c>
      <c r="B36" s="223" t="inlineStr">
        <is>
          <t>Caja x 3500 Toallas Cel-Soft 21 x 25 cm Blancas</t>
        </is>
      </c>
      <c r="D36" s="237">
        <f>I36*0.93*0.98</f>
        <v/>
      </c>
      <c r="E36" s="237">
        <f>D36*1.3*1.105</f>
        <v/>
      </c>
      <c r="F36" s="237">
        <f>D36*1.3*1.105/0.9</f>
        <v/>
      </c>
      <c r="G36" s="237">
        <f>F36*1.21</f>
        <v/>
      </c>
      <c r="H36" s="237">
        <f>ROUND(G36/100,0)*100</f>
        <v/>
      </c>
      <c r="I36" s="230" t="n">
        <v>153.22</v>
      </c>
      <c r="M36" s="87" t="n">
        <v>139.644708</v>
      </c>
    </row>
    <row r="37">
      <c r="A37" s="124" t="n">
        <v>512</v>
      </c>
      <c r="B37" s="223" t="inlineStr">
        <is>
          <t>Caja x 2000 U. Servilletas Cel-Soft 30 x 25 cm</t>
        </is>
      </c>
      <c r="D37" s="237">
        <f>I37*0.93*0.98</f>
        <v/>
      </c>
      <c r="E37" s="237">
        <f>D37*1.3*1.105</f>
        <v/>
      </c>
      <c r="F37" s="237">
        <f>D37*1.3*1.105/0.9</f>
        <v/>
      </c>
      <c r="G37" s="237">
        <f>F37*1.21</f>
        <v/>
      </c>
      <c r="H37" s="237">
        <f>ROUND(G37/100,0)*100</f>
        <v/>
      </c>
      <c r="I37" s="230" t="n">
        <v>173.66</v>
      </c>
      <c r="M37" s="87" t="n">
        <v>158.273724</v>
      </c>
    </row>
    <row r="38">
      <c r="A38" s="124" t="n">
        <v>514</v>
      </c>
      <c r="B38" s="223" t="inlineStr">
        <is>
          <t>Caja por 600 servilletas Celsoft 40x40 Victoria Ambra</t>
        </is>
      </c>
      <c r="D38" s="237">
        <f>I38*0.93*0.98</f>
        <v/>
      </c>
      <c r="E38" s="237">
        <f>D38*1.3*1.105</f>
        <v/>
      </c>
      <c r="F38" s="237">
        <f>D38*1.3*1.105/0.9</f>
        <v/>
      </c>
      <c r="G38" s="237">
        <f>F38*1.21</f>
        <v/>
      </c>
      <c r="H38" s="237">
        <f>ROUND(G38/100,0)*100</f>
        <v/>
      </c>
      <c r="I38" s="230" t="n">
        <v>187.2</v>
      </c>
      <c r="M38" s="87" t="n">
        <v>170.61408</v>
      </c>
    </row>
    <row r="39">
      <c r="A39" s="124" t="n">
        <v>515</v>
      </c>
      <c r="B39" s="223" t="inlineStr">
        <is>
          <t>Caja por 600 servilletas Celsoft 40x40 Victoria Nero</t>
        </is>
      </c>
      <c r="D39" s="237">
        <f>I39*0.93*0.98</f>
        <v/>
      </c>
      <c r="E39" s="237">
        <f>D39*1.3*1.105</f>
        <v/>
      </c>
      <c r="F39" s="237">
        <f>D39*1.3*1.105/0.9</f>
        <v/>
      </c>
      <c r="G39" s="237">
        <f>F39*1.21</f>
        <v/>
      </c>
      <c r="H39" s="237">
        <f>ROUND(G39/100,0)*100</f>
        <v/>
      </c>
      <c r="I39" s="230" t="n">
        <v>187.2</v>
      </c>
      <c r="M39" s="87" t="n">
        <v>170.61408</v>
      </c>
    </row>
    <row r="40">
      <c r="A40" s="124" t="n">
        <v>516</v>
      </c>
      <c r="B40" s="223" t="inlineStr">
        <is>
          <t>Caja por 600 servilletas Celsoft 40x40 Tasca Bordeaux</t>
        </is>
      </c>
      <c r="D40" s="237">
        <f>I40*0.93*0.98</f>
        <v/>
      </c>
      <c r="E40" s="237">
        <f>D40*1.3*1.105</f>
        <v/>
      </c>
      <c r="F40" s="237">
        <f>D40*1.3*1.105/0.9</f>
        <v/>
      </c>
      <c r="G40" s="237">
        <f>F40*1.21</f>
        <v/>
      </c>
      <c r="H40" s="237">
        <f>ROUND(G40/100,0)*100</f>
        <v/>
      </c>
      <c r="I40" s="230" t="n">
        <v>220.74</v>
      </c>
      <c r="M40" s="87" t="n">
        <v>201.182436</v>
      </c>
    </row>
    <row r="41">
      <c r="A41" s="124" t="n">
        <v>517</v>
      </c>
      <c r="B41" s="223" t="inlineStr">
        <is>
          <t>Caja por 600 servilletas Celsoft 40x40 Tasca Nero</t>
        </is>
      </c>
      <c r="D41" s="237">
        <f>I41*0.93*0.98</f>
        <v/>
      </c>
      <c r="E41" s="237">
        <f>D41*1.3*1.105</f>
        <v/>
      </c>
      <c r="F41" s="237">
        <f>D41*1.3*1.105/0.9</f>
        <v/>
      </c>
      <c r="G41" s="237">
        <f>F41*1.21</f>
        <v/>
      </c>
      <c r="H41" s="237">
        <f>ROUND(G41/100,0)*100</f>
        <v/>
      </c>
      <c r="I41" s="230" t="n">
        <v>220.74</v>
      </c>
      <c r="M41" s="87" t="n">
        <v>201.182436</v>
      </c>
    </row>
    <row r="42">
      <c r="A42" s="124" t="n">
        <v>518</v>
      </c>
      <c r="B42" s="223" t="inlineStr">
        <is>
          <t>Caja por 600 servilletas Celsoft 40x40 Tasca Lino Avorio</t>
        </is>
      </c>
      <c r="D42" s="237">
        <f>I42*0.93*0.98</f>
        <v/>
      </c>
      <c r="E42" s="237">
        <f>D42*1.3*1.105</f>
        <v/>
      </c>
      <c r="F42" s="237">
        <f>D42*1.3*1.105/0.9</f>
        <v/>
      </c>
      <c r="G42" s="237">
        <f>F42*1.21</f>
        <v/>
      </c>
      <c r="H42" s="237">
        <f>ROUND(G42/100,0)*100</f>
        <v/>
      </c>
      <c r="I42" s="230" t="n">
        <v>187.2</v>
      </c>
      <c r="M42" s="87" t="n">
        <v>170.61408</v>
      </c>
    </row>
    <row r="43">
      <c r="A43" s="124" t="n">
        <v>519</v>
      </c>
      <c r="B43" s="223" t="inlineStr">
        <is>
          <t>Caja por 600 servilletas Celsoft 40x40 Taca Iuta Grigio</t>
        </is>
      </c>
      <c r="D43" s="237">
        <f>I43*0.93*0.98</f>
        <v/>
      </c>
      <c r="E43" s="237">
        <f>D43*1.3*1.105</f>
        <v/>
      </c>
      <c r="F43" s="237">
        <f>D43*1.3*1.105/0.9</f>
        <v/>
      </c>
      <c r="G43" s="237">
        <f>F43*1.21</f>
        <v/>
      </c>
      <c r="H43" s="237">
        <f>ROUND(G43/100,0)*100</f>
        <v/>
      </c>
      <c r="I43" s="230" t="n">
        <v>187.2</v>
      </c>
      <c r="M43" s="87" t="n">
        <v>170.61408</v>
      </c>
    </row>
    <row r="44">
      <c r="A44" s="124" t="n">
        <v>520</v>
      </c>
      <c r="B44" s="223" t="inlineStr">
        <is>
          <t>Caja de servilletas Celsoft 40 x 40 SAMPLER 300 Unid</t>
        </is>
      </c>
      <c r="D44" s="237">
        <f>I44*0.93*0.98</f>
        <v/>
      </c>
      <c r="E44" s="237">
        <f>D44*1.3*1.105</f>
        <v/>
      </c>
      <c r="F44" s="237">
        <f>D44*1.3*1.105/0.9</f>
        <v/>
      </c>
      <c r="G44" s="237">
        <f>F44*1.21</f>
        <v/>
      </c>
      <c r="H44" s="237">
        <f>ROUND(G44/100,0)*100</f>
        <v/>
      </c>
      <c r="I44" s="230" t="n">
        <v>99.09</v>
      </c>
      <c r="M44" s="87" t="n">
        <v>90.31062600000001</v>
      </c>
    </row>
    <row r="45">
      <c r="A45" s="124" t="n"/>
      <c r="B45" s="223" t="n"/>
      <c r="C45" s="223" t="n"/>
      <c r="D45" s="237" t="n"/>
      <c r="E45" s="200" t="n"/>
      <c r="F45" s="200" t="n"/>
      <c r="G45" s="200" t="n"/>
      <c r="H45" s="200" t="n"/>
      <c r="I45" s="237" t="n"/>
      <c r="M45" s="87" t="n"/>
    </row>
    <row r="46">
      <c r="A46" s="142" t="inlineStr">
        <is>
          <t>PAPEL HIGIENICO</t>
        </is>
      </c>
      <c r="B46" s="271" t="n"/>
      <c r="C46" s="223" t="n"/>
      <c r="D46" s="237" t="n"/>
      <c r="E46" s="200" t="n"/>
      <c r="F46" s="200" t="n"/>
      <c r="G46" s="200" t="n"/>
      <c r="H46" s="200" t="n"/>
      <c r="I46" s="237" t="n"/>
      <c r="M46" s="87" t="n"/>
    </row>
    <row r="47">
      <c r="A47" s="111" t="n"/>
      <c r="B47" s="223" t="n"/>
      <c r="C47" s="223" t="n"/>
      <c r="D47" s="237" t="n"/>
      <c r="E47" s="200" t="n"/>
      <c r="F47" s="200" t="n"/>
      <c r="G47" s="200" t="n"/>
      <c r="H47" s="200" t="n"/>
      <c r="I47" s="237" t="n"/>
      <c r="M47" s="87" t="n"/>
    </row>
    <row r="48">
      <c r="A48" s="124" t="n">
        <v>211</v>
      </c>
      <c r="B48" s="223" t="inlineStr">
        <is>
          <t>Pack x18 Rollos Higienico Racional D/H x 60 mts</t>
        </is>
      </c>
      <c r="D48" s="237">
        <f>I48*0.93*0.98</f>
        <v/>
      </c>
      <c r="E48" s="237">
        <f>D48*1.3*1.105</f>
        <v/>
      </c>
      <c r="F48" s="237">
        <f>D48*1.3*1.105/0.9</f>
        <v/>
      </c>
      <c r="G48" s="237">
        <f>F48*1.21</f>
        <v/>
      </c>
      <c r="H48" s="237">
        <f>ROUND(G48/100,0)*100</f>
        <v/>
      </c>
      <c r="I48" s="127" t="n">
        <v>4275.34</v>
      </c>
      <c r="M48" s="87" t="n">
        <v>3341.803038</v>
      </c>
    </row>
    <row r="49">
      <c r="A49" s="124" t="n">
        <v>213</v>
      </c>
      <c r="B49" s="223" t="inlineStr">
        <is>
          <t>Pack x 4 Rollos Higienico Racional x 500 mts Buje 7,5</t>
        </is>
      </c>
      <c r="D49" s="237">
        <f>I49*0.93*0.98</f>
        <v/>
      </c>
      <c r="E49" s="237">
        <f>D49*1.3*1.105</f>
        <v/>
      </c>
      <c r="F49" s="237">
        <f>D49*1.3*1.105/0.9</f>
        <v/>
      </c>
      <c r="G49" s="237">
        <f>F49*1.21</f>
        <v/>
      </c>
      <c r="H49" s="237">
        <f>ROUND(G49/100,0)*100</f>
        <v/>
      </c>
      <c r="I49" s="230" t="n">
        <v>3313.46</v>
      </c>
      <c r="M49" s="87" t="n">
        <v>2589.934494</v>
      </c>
    </row>
    <row r="50">
      <c r="A50" s="182" t="n">
        <v>214</v>
      </c>
      <c r="B50" s="224" t="inlineStr">
        <is>
          <t>Pack x 18 rollos Papel Higienico Racional x 122 mts</t>
        </is>
      </c>
      <c r="D50" s="184">
        <f>I50*0.93*0.98</f>
        <v/>
      </c>
      <c r="E50" s="184">
        <f>D50*1.3*1.105</f>
        <v/>
      </c>
      <c r="F50" s="184">
        <f>D50*1.3*1.105/0.9</f>
        <v/>
      </c>
      <c r="G50" s="184">
        <f>F50*1.21</f>
        <v/>
      </c>
      <c r="H50" s="184">
        <f>ROUND(G50/100,0)*100</f>
        <v/>
      </c>
      <c r="I50" s="230" t="n">
        <v>4070.8</v>
      </c>
      <c r="J50" s="193" t="n"/>
      <c r="K50" s="193" t="n"/>
      <c r="L50" s="193" t="n"/>
      <c r="M50" s="194" t="n">
        <v>3181.934364</v>
      </c>
      <c r="N50" s="193" t="n"/>
      <c r="O50" s="193" t="n"/>
      <c r="P50" s="193" t="n"/>
      <c r="Q50" s="193" t="n"/>
      <c r="R50" s="193" t="n"/>
      <c r="S50" s="193" t="n"/>
      <c r="T50" s="193" t="n"/>
      <c r="U50" s="193" t="n"/>
      <c r="V50" s="193" t="n"/>
      <c r="W50" s="193" t="n"/>
      <c r="X50" s="193" t="n"/>
      <c r="Y50" s="193" t="n"/>
      <c r="Z50" s="193" t="n"/>
      <c r="AA50" s="193" t="n"/>
      <c r="AB50" s="193" t="n"/>
    </row>
    <row r="51">
      <c r="A51" s="124" t="n">
        <v>218</v>
      </c>
      <c r="B51" s="223" t="inlineStr">
        <is>
          <t>Pack x 8 rollos Higienico Racional x 265 mts buje 7,5</t>
        </is>
      </c>
      <c r="D51" s="237">
        <f>I51*0.93*0.98</f>
        <v/>
      </c>
      <c r="E51" s="237">
        <f>D51*1.3*1.105</f>
        <v/>
      </c>
      <c r="F51" s="237">
        <f>D51*1.3*1.105/0.9</f>
        <v/>
      </c>
      <c r="G51" s="237">
        <f>F51*1.21</f>
        <v/>
      </c>
      <c r="H51" s="237">
        <f>ROUND(G51/100,0)*100</f>
        <v/>
      </c>
      <c r="I51" s="230" t="n">
        <v>3746.69</v>
      </c>
      <c r="M51" s="87" t="n">
        <v>2928.565164000001</v>
      </c>
    </row>
    <row r="52">
      <c r="A52" s="133" t="n">
        <v>220</v>
      </c>
      <c r="B52" s="134" t="inlineStr">
        <is>
          <t>Pack x 8 Rollos Papel Higienico Racional x 300 mts</t>
        </is>
      </c>
      <c r="D52" s="135">
        <f>I52*0.93*0.98</f>
        <v/>
      </c>
      <c r="E52" s="135">
        <f>D52*1.3*1.105</f>
        <v/>
      </c>
      <c r="F52" s="135">
        <f>D52*1.3*1.105/0.9</f>
        <v/>
      </c>
      <c r="G52" s="135">
        <f>F52*1.21</f>
        <v/>
      </c>
      <c r="H52" s="135">
        <f>ROUND(G52/100,0)*100</f>
        <v/>
      </c>
      <c r="I52" s="199" t="n">
        <v>4269.46</v>
      </c>
      <c r="J52" s="146" t="n"/>
      <c r="K52" s="146" t="n"/>
      <c r="L52" s="146" t="n"/>
      <c r="M52" s="147" t="n">
        <v>3337.209582</v>
      </c>
      <c r="N52" s="146" t="n"/>
      <c r="O52" s="146" t="n"/>
      <c r="P52" s="146" t="n"/>
      <c r="Q52" s="146" t="n"/>
      <c r="R52" s="146" t="n"/>
      <c r="S52" s="146" t="n"/>
      <c r="T52" s="146" t="n"/>
      <c r="U52" s="146" t="n"/>
      <c r="V52" s="146" t="n"/>
      <c r="W52" s="146" t="n"/>
      <c r="X52" s="146" t="n"/>
      <c r="Y52" s="146" t="n"/>
      <c r="Z52" s="146" t="n"/>
      <c r="AA52" s="146" t="n"/>
      <c r="AB52" s="146" t="n"/>
    </row>
    <row r="53">
      <c r="A53" s="124" t="n">
        <v>222</v>
      </c>
      <c r="B53" s="223" t="inlineStr">
        <is>
          <t>Pack x 8 Rollos Papel Higienico x 260 mts Buje4,5</t>
        </is>
      </c>
      <c r="D53" s="237">
        <f>I53*0.93*0.98</f>
        <v/>
      </c>
      <c r="E53" s="237">
        <f>D53*1.3*1.105</f>
        <v/>
      </c>
      <c r="F53" s="237">
        <f>D53*1.3*1.105/0.9</f>
        <v/>
      </c>
      <c r="G53" s="237">
        <f>F53*1.21</f>
        <v/>
      </c>
      <c r="H53" s="237">
        <f>ROUND(G53/100,0)*100</f>
        <v/>
      </c>
      <c r="I53" s="230" t="n">
        <v>3624.46</v>
      </c>
      <c r="M53" s="87" t="n">
        <v>2833.050444</v>
      </c>
    </row>
    <row r="54">
      <c r="A54" s="124" t="n">
        <v>909</v>
      </c>
      <c r="B54" s="223" t="inlineStr">
        <is>
          <t>Papel Higiénico 20 x 14,5 8000 h. 4000 usos</t>
        </is>
      </c>
      <c r="D54" s="237">
        <f>I54*0.93*0.98</f>
        <v/>
      </c>
      <c r="E54" s="237">
        <f>D54*1.3*1.105</f>
        <v/>
      </c>
      <c r="F54" s="237">
        <f>D54*1.3*1.105/0.9</f>
        <v/>
      </c>
      <c r="G54" s="237">
        <f>F54*1.21</f>
        <v/>
      </c>
      <c r="H54" s="237">
        <f>ROUND(G54/100,0)*100</f>
        <v/>
      </c>
      <c r="I54" s="230" t="n">
        <v>5597.68</v>
      </c>
      <c r="M54" s="87" t="n">
        <v>4375.35798</v>
      </c>
    </row>
    <row r="55">
      <c r="A55" s="124" t="n">
        <v>912</v>
      </c>
      <c r="B55" s="223" t="inlineStr">
        <is>
          <t>Papel Higienico UNITAS(18x14,5cm) 8000 h/4000 usos</t>
        </is>
      </c>
      <c r="D55" s="237">
        <f>I55*0.93*0.98</f>
        <v/>
      </c>
      <c r="E55" s="237">
        <f>D55*1.3*1.105</f>
        <v/>
      </c>
      <c r="F55" s="237">
        <f>D55*1.3*1.105/0.9</f>
        <v/>
      </c>
      <c r="G55" s="237">
        <f>F55*1.21</f>
        <v/>
      </c>
      <c r="H55" s="237">
        <f>ROUND(G55/100,0)*100</f>
        <v/>
      </c>
      <c r="I55" s="230" t="n">
        <v>4497.86</v>
      </c>
      <c r="M55" s="87" t="n">
        <v>3515.743728</v>
      </c>
    </row>
    <row r="56">
      <c r="A56" s="124" t="n"/>
      <c r="B56" s="223" t="n"/>
      <c r="C56" s="223" t="n"/>
      <c r="D56" s="237" t="n"/>
      <c r="E56" s="200" t="n"/>
      <c r="F56" s="200" t="n"/>
      <c r="G56" s="200" t="n"/>
      <c r="H56" s="200" t="n"/>
      <c r="I56" s="237" t="n"/>
      <c r="M56" s="87" t="n"/>
    </row>
    <row r="57">
      <c r="A57" s="124" t="n"/>
      <c r="B57" s="108" t="n">
        <v>44896</v>
      </c>
      <c r="C57" s="223" t="n"/>
      <c r="D57" s="237" t="n"/>
      <c r="E57" s="200" t="n"/>
      <c r="F57" s="200" t="n"/>
      <c r="G57" s="200" t="n"/>
      <c r="H57" s="200" t="n"/>
      <c r="I57" s="237" t="n"/>
      <c r="M57" s="87" t="n"/>
    </row>
    <row r="58">
      <c r="A58" s="124" t="n"/>
      <c r="B58" s="223" t="n"/>
      <c r="C58" s="223" t="n"/>
      <c r="D58" s="237" t="n"/>
      <c r="E58" s="200" t="n"/>
      <c r="F58" s="200" t="n"/>
      <c r="G58" s="200" t="n"/>
      <c r="H58" s="200" t="n"/>
      <c r="I58" s="237" t="n"/>
      <c r="M58" s="87" t="n"/>
    </row>
    <row r="59">
      <c r="A59" s="117" t="inlineStr">
        <is>
          <t>CAMILLEROS</t>
        </is>
      </c>
      <c r="B59" s="223" t="n"/>
      <c r="C59" s="223" t="n"/>
      <c r="D59" s="237" t="n"/>
      <c r="E59" s="200" t="n"/>
      <c r="F59" s="200" t="n"/>
      <c r="G59" s="200" t="n"/>
      <c r="H59" s="200" t="n"/>
      <c r="I59" s="237" t="n"/>
      <c r="M59" s="87" t="n"/>
    </row>
    <row r="60">
      <c r="A60" s="131" t="n"/>
      <c r="B60" s="223" t="n"/>
      <c r="C60" s="223" t="n"/>
      <c r="D60" s="237" t="n"/>
      <c r="E60" s="200" t="n"/>
      <c r="F60" s="200" t="n"/>
      <c r="G60" s="200" t="n"/>
      <c r="H60" s="200" t="n"/>
      <c r="I60" s="237" t="n"/>
      <c r="M60" s="87" t="n"/>
    </row>
    <row r="61">
      <c r="A61" s="124" t="n">
        <v>301</v>
      </c>
      <c r="B61" s="223" t="inlineStr">
        <is>
          <t>Pack x 2 Rollos Camilleros bco s/h 54x100mts Prec</t>
        </is>
      </c>
      <c r="D61" s="154">
        <f>3293.5*1.1</f>
        <v/>
      </c>
      <c r="E61" s="237">
        <f>D61*1.3*1.105</f>
        <v/>
      </c>
      <c r="F61" s="237">
        <f>D61*1.3*1.105/0.9</f>
        <v/>
      </c>
      <c r="G61" s="237">
        <f>F61*1.21</f>
        <v/>
      </c>
      <c r="H61" s="237">
        <f>ROUND(G61/100,0)*100</f>
        <v/>
      </c>
      <c r="I61" s="127" t="n">
        <v>4510</v>
      </c>
      <c r="M61" s="87" t="n">
        <v>3524.875956</v>
      </c>
    </row>
    <row r="62">
      <c r="A62" s="124" t="n"/>
      <c r="B62" s="155" t="n"/>
      <c r="C62" s="223" t="n"/>
      <c r="D62" s="237" t="n"/>
      <c r="E62" s="200" t="n"/>
      <c r="F62" s="200" t="n"/>
      <c r="G62" s="200" t="n"/>
      <c r="H62" s="200" t="n"/>
      <c r="I62" s="237" t="n"/>
      <c r="M62" s="87" t="n"/>
    </row>
    <row r="63">
      <c r="A63" s="142" t="inlineStr">
        <is>
          <t>DISPENSERS</t>
        </is>
      </c>
      <c r="B63" s="223" t="n"/>
      <c r="C63" s="223" t="n"/>
      <c r="D63" s="237" t="n"/>
      <c r="E63" s="200" t="n"/>
      <c r="F63" s="200" t="n"/>
      <c r="G63" s="200" t="n"/>
      <c r="H63" s="200" t="n"/>
      <c r="I63" s="237" t="n"/>
      <c r="M63" s="87" t="n"/>
    </row>
    <row r="64">
      <c r="A64" s="111" t="n"/>
      <c r="B64" s="223" t="n"/>
      <c r="C64" s="223" t="n"/>
      <c r="D64" s="237" t="n"/>
      <c r="E64" s="200" t="n"/>
      <c r="F64" s="200" t="n"/>
      <c r="G64" s="200" t="n"/>
      <c r="H64" s="200" t="n"/>
      <c r="I64" s="237" t="n"/>
      <c r="M64" s="87" t="n"/>
    </row>
    <row r="65">
      <c r="A65" s="124" t="n">
        <v>403</v>
      </c>
      <c r="B65" s="223" t="inlineStr">
        <is>
          <t>Portabobina de Pared</t>
        </is>
      </c>
      <c r="C65" s="223" t="n"/>
      <c r="D65" s="237">
        <f>I65*0.93*0.98</f>
        <v/>
      </c>
      <c r="E65" s="237">
        <f>D65*1.3*1.105</f>
        <v/>
      </c>
      <c r="F65" s="237">
        <f>D65*1.3*1.105/0.9</f>
        <v/>
      </c>
      <c r="G65" s="237">
        <f>F65*1.21</f>
        <v/>
      </c>
      <c r="H65" s="237">
        <f>ROUND(G65/100,0)*100</f>
        <v/>
      </c>
      <c r="I65" s="127" t="n">
        <v>7333.39</v>
      </c>
      <c r="M65" s="87" t="n">
        <v>5732.122704</v>
      </c>
    </row>
    <row r="66">
      <c r="A66" s="124" t="n">
        <v>404</v>
      </c>
      <c r="B66" s="223" t="inlineStr">
        <is>
          <t>Portarollo para Camilla</t>
        </is>
      </c>
      <c r="C66" s="223" t="n"/>
      <c r="D66" s="237">
        <f>I66*0.93*0.98</f>
        <v/>
      </c>
      <c r="E66" s="237">
        <f>D66*1.3*1.105</f>
        <v/>
      </c>
      <c r="F66" s="237">
        <f>D66*1.3*1.105/0.9</f>
        <v/>
      </c>
      <c r="G66" s="237">
        <f>F66*1.21</f>
        <v/>
      </c>
      <c r="H66" s="237">
        <f>ROUND(G66/100,0)*100</f>
        <v/>
      </c>
      <c r="I66" s="230" t="n">
        <v>0</v>
      </c>
      <c r="M66" s="87" t="n">
        <v>0</v>
      </c>
    </row>
    <row r="67">
      <c r="A67" s="124" t="n">
        <v>418</v>
      </c>
      <c r="B67" s="223" t="inlineStr">
        <is>
          <t>Portabobina de Piso</t>
        </is>
      </c>
      <c r="C67" s="223" t="n"/>
      <c r="D67" s="237">
        <f>I67*0.93*0.98</f>
        <v/>
      </c>
      <c r="E67" s="237">
        <f>D67*1.3*1.105</f>
        <v/>
      </c>
      <c r="F67" s="237">
        <f>D67*1.3*1.105/0.9</f>
        <v/>
      </c>
      <c r="G67" s="237">
        <f>F67*1.21</f>
        <v/>
      </c>
      <c r="H67" s="237">
        <f>ROUND(G67/100,0)*100</f>
        <v/>
      </c>
      <c r="I67" s="230" t="n">
        <v>8066.52</v>
      </c>
      <c r="M67" s="87" t="n">
        <v>6305.165454</v>
      </c>
    </row>
    <row r="68">
      <c r="A68" s="124" t="n">
        <v>422</v>
      </c>
      <c r="B68" s="223" t="inlineStr">
        <is>
          <t>Dispenser Celmatic Due</t>
        </is>
      </c>
      <c r="C68" s="223" t="n"/>
      <c r="D68" s="237">
        <f>I68*0.93*0.98</f>
        <v/>
      </c>
      <c r="E68" s="200">
        <f>D68*1.3*1.105</f>
        <v/>
      </c>
      <c r="F68" s="200">
        <f>D68*1.3*1.105/0.9</f>
        <v/>
      </c>
      <c r="G68" s="200">
        <f>F68*1.21</f>
        <v/>
      </c>
      <c r="H68" s="200">
        <f>ROUND(G68/100,0)*100</f>
        <v/>
      </c>
      <c r="I68" s="230" t="inlineStr">
        <is>
          <t>#######</t>
        </is>
      </c>
      <c r="M68" s="87" t="n">
        <v>8074.612098000001</v>
      </c>
    </row>
    <row r="69">
      <c r="A69" s="124" t="n">
        <v>425</v>
      </c>
      <c r="B69" s="223" t="inlineStr">
        <is>
          <t>Dosificador para Jabón Líquido Recargable</t>
        </is>
      </c>
      <c r="D69" s="237">
        <f>I69*0.93*0.98</f>
        <v/>
      </c>
      <c r="E69" s="237">
        <f>D69*1.3*1.105</f>
        <v/>
      </c>
      <c r="F69" s="237">
        <f>D69*1.3*1.105/0.9</f>
        <v/>
      </c>
      <c r="G69" s="237">
        <f>F69*1.21</f>
        <v/>
      </c>
      <c r="H69" s="237">
        <f>ROUND(G69/100,0)*100</f>
        <v/>
      </c>
      <c r="I69" s="230" t="n">
        <v>3877.28</v>
      </c>
      <c r="M69" s="87" t="n">
        <v>3030.487026</v>
      </c>
    </row>
    <row r="70">
      <c r="A70" s="124" t="n">
        <v>427</v>
      </c>
      <c r="B70" s="223" t="inlineStr">
        <is>
          <t>Dispenser Para Papel Higienico Racional 350</t>
        </is>
      </c>
      <c r="D70" s="237">
        <f>I70*0.93*0.98</f>
        <v/>
      </c>
      <c r="E70" s="237">
        <f>D70*1.3*1.105</f>
        <v/>
      </c>
      <c r="F70" s="237">
        <f>D70*1.3*1.105/0.9</f>
        <v/>
      </c>
      <c r="G70" s="237">
        <f>F70*1.21</f>
        <v/>
      </c>
      <c r="H70" s="237">
        <f>ROUND(G70/100,0)*100</f>
        <v/>
      </c>
      <c r="I70" s="230" t="n">
        <v>4736.16</v>
      </c>
      <c r="M70" s="87" t="n">
        <v>3701.6511</v>
      </c>
    </row>
    <row r="71">
      <c r="A71" s="124" t="n">
        <v>428</v>
      </c>
      <c r="B71" s="223" t="inlineStr">
        <is>
          <t>Dispenser para Papel Higiénico</t>
        </is>
      </c>
      <c r="C71" s="223" t="n"/>
      <c r="D71" s="237">
        <f>I71*0.93*0.98</f>
        <v/>
      </c>
      <c r="E71" s="237">
        <f>D71*1.3*1.105</f>
        <v/>
      </c>
      <c r="F71" s="237">
        <f>D71*1.3*1.105/0.9</f>
        <v/>
      </c>
      <c r="G71" s="237">
        <f>F71*1.21</f>
        <v/>
      </c>
      <c r="H71" s="237">
        <f>ROUND(G71/100,0)*100</f>
        <v/>
      </c>
      <c r="I71" s="230" t="n">
        <v>5415.96</v>
      </c>
      <c r="M71" s="87" t="n">
        <v>4233.325404</v>
      </c>
    </row>
    <row r="72">
      <c r="A72" s="124" t="n">
        <v>429</v>
      </c>
      <c r="B72" s="223" t="inlineStr">
        <is>
          <t>Dispenser para Toallas de Papel</t>
        </is>
      </c>
      <c r="C72" s="223" t="n"/>
      <c r="D72" s="237">
        <f>I72*0.93*0.98</f>
        <v/>
      </c>
      <c r="E72" s="237">
        <f>D72*1.3*1.105</f>
        <v/>
      </c>
      <c r="F72" s="237">
        <f>D72*1.3*1.105/0.9</f>
        <v/>
      </c>
      <c r="G72" s="237">
        <f>F72*1.21</f>
        <v/>
      </c>
      <c r="H72" s="237">
        <f>ROUND(G72/100,0)*100</f>
        <v/>
      </c>
      <c r="I72" s="230" t="n">
        <v>3885.55</v>
      </c>
      <c r="M72" s="87" t="n">
        <v>3037.112904</v>
      </c>
    </row>
    <row r="73">
      <c r="A73" s="124" t="n">
        <v>430</v>
      </c>
      <c r="B73" s="223" t="inlineStr">
        <is>
          <t>Dispenser Para Papel Higienico Racional 600</t>
        </is>
      </c>
      <c r="D73" s="237">
        <f>I73*0.93*0.98</f>
        <v/>
      </c>
      <c r="E73" s="237">
        <f>D73*1.3*1.105</f>
        <v/>
      </c>
      <c r="F73" s="237">
        <f>D73*1.3*1.105/0.9</f>
        <v/>
      </c>
      <c r="G73" s="237">
        <f>F73*1.21</f>
        <v/>
      </c>
      <c r="H73" s="237">
        <f>ROUND(G73/100,0)*100</f>
        <v/>
      </c>
      <c r="I73" s="230" t="n">
        <v>7623.79</v>
      </c>
      <c r="M73" s="87" t="n">
        <v>5959.09776</v>
      </c>
    </row>
    <row r="74">
      <c r="A74" s="124" t="n"/>
      <c r="B74" s="223" t="n"/>
      <c r="C74" s="223" t="n"/>
      <c r="D74" s="237" t="n"/>
      <c r="E74" s="200" t="n"/>
      <c r="F74" s="200" t="n"/>
      <c r="G74" s="200" t="n"/>
      <c r="H74" s="200" t="n"/>
      <c r="I74" s="237" t="n"/>
      <c r="M74" s="87" t="n"/>
    </row>
    <row r="75">
      <c r="A75" s="124" t="n"/>
      <c r="B75" s="223" t="n"/>
      <c r="C75" s="223" t="n"/>
      <c r="D75" s="237" t="n"/>
      <c r="E75" s="200" t="n"/>
      <c r="F75" s="200" t="n"/>
      <c r="G75" s="200" t="n"/>
      <c r="H75" s="200" t="n"/>
      <c r="I75" s="237" t="n"/>
      <c r="M75" s="87" t="n"/>
    </row>
    <row r="76">
      <c r="A76" s="124" t="n"/>
      <c r="B76" s="223" t="n"/>
      <c r="C76" s="223" t="n"/>
      <c r="D76" s="237" t="n"/>
      <c r="E76" s="200" t="n"/>
      <c r="F76" s="200" t="n"/>
      <c r="G76" s="200" t="n"/>
      <c r="H76" s="200" t="n"/>
      <c r="I76" s="237" t="n"/>
      <c r="M76" s="87" t="n"/>
    </row>
    <row r="77">
      <c r="A77" s="117" t="inlineStr">
        <is>
          <t>LIMPIEZA INDUSTRIAL</t>
        </is>
      </c>
      <c r="B77" s="271" t="n"/>
      <c r="C77" s="223" t="n"/>
      <c r="D77" s="237" t="n"/>
      <c r="E77" s="200" t="n"/>
      <c r="F77" s="200" t="n"/>
      <c r="G77" s="200" t="n"/>
      <c r="H77" s="200" t="n"/>
      <c r="I77" s="237" t="n"/>
      <c r="M77" s="87" t="n"/>
    </row>
    <row r="78">
      <c r="A78" s="131" t="n"/>
      <c r="B78" s="223" t="n"/>
      <c r="C78" s="223" t="n"/>
      <c r="D78" s="237" t="n"/>
      <c r="E78" s="200" t="n"/>
      <c r="F78" s="200" t="n"/>
      <c r="G78" s="200" t="n"/>
      <c r="H78" s="200" t="n"/>
      <c r="I78" s="237" t="n"/>
      <c r="M78" s="87" t="n"/>
    </row>
    <row r="79">
      <c r="A79" s="182" t="n">
        <v>101</v>
      </c>
      <c r="B79" s="224" t="inlineStr">
        <is>
          <t>Pack x 6 bobinas 22,5 cm x 300 porciones</t>
        </is>
      </c>
      <c r="D79" s="184">
        <f>I79*0.93*0.98</f>
        <v/>
      </c>
      <c r="E79" s="184">
        <f>D79*1.3*1.105</f>
        <v/>
      </c>
      <c r="F79" s="184">
        <f>D79*1.3*1.105/0.9</f>
        <v/>
      </c>
      <c r="G79" s="184">
        <f>F79*1.21</f>
        <v/>
      </c>
      <c r="H79" s="184">
        <f>ROUND(G79/100,0)*100</f>
        <v/>
      </c>
      <c r="I79" s="127" t="n">
        <v>5828.9</v>
      </c>
      <c r="J79" s="193" t="n"/>
      <c r="K79" s="193" t="n"/>
      <c r="L79" s="193" t="n"/>
      <c r="M79" s="194" t="n">
        <v>4556.13417</v>
      </c>
      <c r="N79" s="193" t="n"/>
      <c r="O79" s="193" t="n"/>
      <c r="P79" s="193" t="n"/>
      <c r="Q79" s="193" t="n"/>
      <c r="R79" s="193" t="n"/>
      <c r="S79" s="193" t="n"/>
      <c r="T79" s="193" t="n"/>
      <c r="U79" s="193" t="n"/>
      <c r="V79" s="193" t="n"/>
      <c r="W79" s="193" t="n"/>
      <c r="X79" s="193" t="n"/>
      <c r="Y79" s="193" t="n"/>
      <c r="Z79" s="193" t="n"/>
      <c r="AA79" s="193" t="n"/>
      <c r="AB79" s="193" t="n"/>
    </row>
    <row r="80">
      <c r="A80" s="124" t="n">
        <v>109</v>
      </c>
      <c r="B80" s="223" t="inlineStr">
        <is>
          <t>Pack x 2 bobinas papel original 22,5 cm x 270 mts</t>
        </is>
      </c>
      <c r="D80" s="237">
        <f>I80*0.93*0.98</f>
        <v/>
      </c>
      <c r="E80" s="237">
        <f>D80*1.3*1.105</f>
        <v/>
      </c>
      <c r="F80" s="237">
        <f>D80*1.3*1.105/0.9</f>
        <v/>
      </c>
      <c r="G80" s="237">
        <f>F80*1.21</f>
        <v/>
      </c>
      <c r="H80" s="237">
        <f>ROUND(G80/100,0)*100</f>
        <v/>
      </c>
      <c r="I80" s="230" t="n">
        <v>4549.16</v>
      </c>
      <c r="M80" s="87" t="n">
        <v>3555.808872</v>
      </c>
    </row>
    <row r="81">
      <c r="A81" s="182" t="n">
        <v>123</v>
      </c>
      <c r="B81" s="224" t="inlineStr">
        <is>
          <t>Pack x 2 bobinas Papel Original 900 hjs/360 mts.</t>
        </is>
      </c>
      <c r="D81" s="184">
        <f>I81*0.93*0.98</f>
        <v/>
      </c>
      <c r="E81" s="184">
        <f>D81*1.3*1.105</f>
        <v/>
      </c>
      <c r="F81" s="184">
        <f>D81*1.3*1.105/0.9</f>
        <v/>
      </c>
      <c r="G81" s="184">
        <f>F81*1.21</f>
        <v/>
      </c>
      <c r="H81" s="184">
        <f>ROUND(G81/100,0)*100</f>
        <v/>
      </c>
      <c r="I81" s="230" t="n">
        <v>6660.72</v>
      </c>
      <c r="J81" s="193" t="n"/>
      <c r="K81" s="193" t="n"/>
      <c r="L81" s="193" t="n"/>
      <c r="M81" s="194" t="n">
        <v>5223.196944</v>
      </c>
      <c r="N81" s="193" t="n"/>
      <c r="O81" s="193" t="n"/>
      <c r="P81" s="193" t="n"/>
      <c r="Q81" s="193" t="n"/>
      <c r="R81" s="193" t="n"/>
      <c r="S81" s="193" t="n"/>
      <c r="T81" s="193" t="n"/>
      <c r="U81" s="193" t="n"/>
      <c r="V81" s="193" t="n"/>
      <c r="W81" s="193" t="n"/>
      <c r="X81" s="193" t="n"/>
      <c r="Y81" s="193" t="n"/>
      <c r="Z81" s="193" t="n"/>
      <c r="AA81" s="193" t="n"/>
      <c r="AB81" s="193" t="n"/>
    </row>
    <row r="82">
      <c r="A82" s="124" t="n">
        <v>809</v>
      </c>
      <c r="B82" s="223" t="inlineStr">
        <is>
          <t>Pack x 4 Rollos 600 porc 25x25 Rep Tambo</t>
        </is>
      </c>
      <c r="D82" s="237">
        <f>I82*0.93*0.98</f>
        <v/>
      </c>
      <c r="E82" s="237">
        <f>D82*1.3*1.105</f>
        <v/>
      </c>
      <c r="F82" s="237">
        <f>D82*1.3*1.105/0.9</f>
        <v/>
      </c>
      <c r="G82" s="237">
        <f>F82*1.21</f>
        <v/>
      </c>
      <c r="H82" s="237">
        <f>ROUND(G82/100,0)*100</f>
        <v/>
      </c>
      <c r="I82" s="230" t="n">
        <v>6941.71</v>
      </c>
      <c r="M82" s="87" t="n">
        <v>5425.965216</v>
      </c>
    </row>
    <row r="83">
      <c r="A83" s="124" t="n"/>
      <c r="B83" s="223" t="n"/>
      <c r="C83" s="223" t="n"/>
      <c r="D83" s="237" t="n"/>
      <c r="E83" s="200" t="n"/>
      <c r="F83" s="200" t="n"/>
      <c r="G83" s="200" t="n"/>
      <c r="H83" s="200" t="n"/>
      <c r="I83" s="237" t="n"/>
      <c r="M83" s="87" t="n"/>
    </row>
    <row r="84">
      <c r="A84" s="124" t="n"/>
      <c r="B84" s="223" t="n"/>
      <c r="C84" s="223" t="n"/>
      <c r="D84" s="237" t="n"/>
      <c r="E84" s="200" t="n"/>
      <c r="F84" s="200" t="n"/>
      <c r="G84" s="200" t="n"/>
      <c r="H84" s="200" t="n"/>
      <c r="I84" s="237" t="n"/>
      <c r="M84" s="87" t="n"/>
    </row>
    <row r="85">
      <c r="A85" s="117" t="inlineStr">
        <is>
          <t>PAÑOS DE LIMPIEZA DE ALTA PERFORMANCE</t>
        </is>
      </c>
      <c r="B85" s="223" t="n"/>
      <c r="C85" s="223" t="n"/>
      <c r="D85" s="237" t="n"/>
      <c r="E85" s="200" t="n"/>
      <c r="F85" s="200" t="n"/>
      <c r="G85" s="200" t="n"/>
      <c r="H85" s="200" t="n"/>
      <c r="I85" s="237" t="n"/>
      <c r="M85" s="87" t="n"/>
    </row>
    <row r="86">
      <c r="A86" s="131" t="n"/>
      <c r="B86" s="223" t="n"/>
      <c r="C86" s="223" t="n"/>
      <c r="D86" s="237" t="n"/>
      <c r="E86" s="200" t="n"/>
      <c r="F86" s="200" t="n"/>
      <c r="G86" s="200" t="n"/>
      <c r="H86" s="200" t="n"/>
      <c r="I86" s="237" t="n"/>
      <c r="M86" s="87" t="n"/>
    </row>
    <row r="87">
      <c r="A87" s="157" t="inlineStr">
        <is>
          <t>Linea Softclean</t>
        </is>
      </c>
      <c r="C87" s="158" t="n"/>
      <c r="D87" s="169" t="n"/>
      <c r="E87" s="197" t="n"/>
      <c r="F87" s="197" t="n"/>
      <c r="G87" s="197" t="n"/>
      <c r="H87" s="197" t="n"/>
      <c r="I87" s="192" t="n"/>
      <c r="M87" s="87" t="n"/>
    </row>
    <row r="88">
      <c r="A88" s="186" t="n">
        <v>601</v>
      </c>
      <c r="B88" s="223" t="inlineStr">
        <is>
          <t>Rollo precortado Maxi blanco 30 x 38 x 500 softclean</t>
        </is>
      </c>
      <c r="D88" s="166">
        <f>I88*0.93*0.98</f>
        <v/>
      </c>
      <c r="E88" s="166">
        <f>D88*1.3*1.105</f>
        <v/>
      </c>
      <c r="F88" s="166">
        <f>D88*1.3*1.105/0.9</f>
        <v/>
      </c>
      <c r="G88" s="166">
        <f>F88*1.21</f>
        <v/>
      </c>
      <c r="H88" s="166">
        <f>ROUND(G88/100,0)*100</f>
        <v/>
      </c>
      <c r="I88" s="240" t="n">
        <v>54.43</v>
      </c>
      <c r="M88" s="87" t="n">
        <v>49.607502</v>
      </c>
    </row>
    <row r="89">
      <c r="A89" s="186" t="n">
        <v>605</v>
      </c>
      <c r="B89" s="223" t="inlineStr">
        <is>
          <t>Caja x 250 Paños Ultratex de 34cm x 60cm</t>
        </is>
      </c>
      <c r="D89" s="166">
        <f>I89*0.93*0.98</f>
        <v/>
      </c>
      <c r="E89" s="166">
        <f>D89*1.3*1.105</f>
        <v/>
      </c>
      <c r="F89" s="166">
        <f>D89*1.3*1.105/0.9</f>
        <v/>
      </c>
      <c r="G89" s="166">
        <f>F89*1.21</f>
        <v/>
      </c>
      <c r="H89" s="166">
        <f>ROUND(G89/100,0)*100</f>
        <v/>
      </c>
      <c r="I89" s="240" t="n">
        <v>228.4</v>
      </c>
      <c r="M89" s="87" t="n">
        <v>208.16376</v>
      </c>
    </row>
    <row r="90">
      <c r="A90" s="186" t="n">
        <v>606</v>
      </c>
      <c r="B90" s="223" t="inlineStr">
        <is>
          <t>Caja x 300 Paños Ultratex de 45,7cm x 53,3cm</t>
        </is>
      </c>
      <c r="D90" s="166">
        <f>I90*0.93*0.98</f>
        <v/>
      </c>
      <c r="E90" s="166">
        <f>D90*1.3*1.105</f>
        <v/>
      </c>
      <c r="F90" s="166">
        <f>D90*1.3*1.105/0.9</f>
        <v/>
      </c>
      <c r="G90" s="166">
        <f>F90*1.21</f>
        <v/>
      </c>
      <c r="H90" s="166">
        <f>ROUND(G90/100,0)*100</f>
        <v/>
      </c>
      <c r="I90" s="240" t="n">
        <v>323.14</v>
      </c>
      <c r="M90" s="87" t="n">
        <v>294.509796</v>
      </c>
    </row>
    <row r="91">
      <c r="A91" s="186" t="n">
        <v>608</v>
      </c>
      <c r="B91" s="223" t="inlineStr">
        <is>
          <t>Repuesto x 2 rollos Softclean x 350 mts</t>
        </is>
      </c>
      <c r="D91" s="166">
        <f>I91*0.93*0.98</f>
        <v/>
      </c>
      <c r="E91" s="166">
        <f>D91*1.3*1.105</f>
        <v/>
      </c>
      <c r="F91" s="166">
        <f>D91*1.3*1.105/0.9</f>
        <v/>
      </c>
      <c r="G91" s="166">
        <f>F91*1.21</f>
        <v/>
      </c>
      <c r="H91" s="166">
        <f>ROUND(G91/100,0)*100</f>
        <v/>
      </c>
      <c r="I91" s="240" t="n">
        <v>49.43</v>
      </c>
      <c r="M91" s="87" t="n">
        <v>45.050502</v>
      </c>
    </row>
    <row r="92">
      <c r="A92" s="186" t="n">
        <v>612</v>
      </c>
      <c r="B92" s="223" t="inlineStr">
        <is>
          <t>Contenedor Mini Softclean x 150 porc. 13 x 26.5cm</t>
        </is>
      </c>
      <c r="D92" s="166">
        <f>I92*0.93*0.98</f>
        <v/>
      </c>
      <c r="E92" s="166">
        <f>D92*1.3*1.105</f>
        <v/>
      </c>
      <c r="F92" s="166">
        <f>D92*1.3*1.105/0.9</f>
        <v/>
      </c>
      <c r="G92" s="166">
        <f>F92*1.21</f>
        <v/>
      </c>
      <c r="H92" s="166">
        <f>ROUND(G92/100,0)*100</f>
        <v/>
      </c>
      <c r="I92" s="240" t="n">
        <v>7.53</v>
      </c>
      <c r="M92" s="87" t="n">
        <v>6.862842000000001</v>
      </c>
    </row>
    <row r="93">
      <c r="A93" s="186" t="n">
        <v>614</v>
      </c>
      <c r="B93" s="223" t="inlineStr">
        <is>
          <t>Rollo SoftClean S 70x 875 Porciones de 30x 25</t>
        </is>
      </c>
      <c r="D93" s="166">
        <f>I93*0.93*0.98</f>
        <v/>
      </c>
      <c r="E93" s="166">
        <f>D93*1.3*1.105</f>
        <v/>
      </c>
      <c r="F93" s="166">
        <f>D93*1.3*1.105/0.9</f>
        <v/>
      </c>
      <c r="G93" s="166">
        <f>F93*1.21</f>
        <v/>
      </c>
      <c r="H93" s="166">
        <f>ROUND(G93/100,0)*100</f>
        <v/>
      </c>
      <c r="I93" s="240" t="n">
        <v>59.55</v>
      </c>
      <c r="M93" s="87" t="n">
        <v>54.27387</v>
      </c>
    </row>
    <row r="94">
      <c r="A94" s="186" t="n">
        <v>615</v>
      </c>
      <c r="B94" s="223" t="inlineStr">
        <is>
          <t>Contenedor Center Softclean x 350 22,5 x26,5</t>
        </is>
      </c>
      <c r="D94" s="166">
        <f>I94*0.93*0.98</f>
        <v/>
      </c>
      <c r="E94" s="166">
        <f>D94*1.3*1.105</f>
        <v/>
      </c>
      <c r="F94" s="166">
        <f>D94*1.3*1.105/0.9</f>
        <v/>
      </c>
      <c r="G94" s="166">
        <f>F94*1.21</f>
        <v/>
      </c>
      <c r="H94" s="166">
        <f>ROUND(G94/100,0)*100</f>
        <v/>
      </c>
      <c r="I94" s="240" t="n">
        <v>25.9</v>
      </c>
      <c r="M94" s="87" t="n">
        <v>23.60526</v>
      </c>
    </row>
    <row r="95">
      <c r="A95" s="186" t="n">
        <v>616</v>
      </c>
      <c r="B95" s="223" t="inlineStr">
        <is>
          <t>Rollo Mini Sofclean x 190 porciones de 22,5 x 26,5</t>
        </is>
      </c>
      <c r="D95" s="166">
        <f>I95*0.93*0.98</f>
        <v/>
      </c>
      <c r="E95" s="166">
        <f>D95*1.3*1.105</f>
        <v/>
      </c>
      <c r="F95" s="166">
        <f>D95*1.3*1.105/0.9</f>
        <v/>
      </c>
      <c r="G95" s="166">
        <f>F95*1.21</f>
        <v/>
      </c>
      <c r="H95" s="166">
        <f>ROUND(G95/100,0)*100</f>
        <v/>
      </c>
      <c r="I95" s="240" t="n">
        <v>12.94</v>
      </c>
      <c r="M95" s="87" t="n">
        <v>11.793516</v>
      </c>
    </row>
    <row r="96">
      <c r="A96" s="186" t="n">
        <v>617</v>
      </c>
      <c r="B96" s="223" t="inlineStr">
        <is>
          <t>Caja 1/4 Folded Softclean 500 30 x 30 cm Celeste</t>
        </is>
      </c>
      <c r="D96" s="166">
        <f>I96*0.93*0.98</f>
        <v/>
      </c>
      <c r="E96" s="166">
        <f>D96*1.3*1.105</f>
        <v/>
      </c>
      <c r="F96" s="166">
        <f>D96*1.3*1.105/0.9</f>
        <v/>
      </c>
      <c r="G96" s="166">
        <f>F96*1.21</f>
        <v/>
      </c>
      <c r="H96" s="166">
        <f>ROUND(G96/100,0)*100</f>
        <v/>
      </c>
      <c r="I96" s="240" t="n">
        <v>42.96</v>
      </c>
      <c r="M96" s="87" t="n">
        <v>39.153744</v>
      </c>
    </row>
    <row r="97">
      <c r="A97" s="186" t="n">
        <v>618</v>
      </c>
      <c r="B97" s="223" t="inlineStr">
        <is>
          <t>Rollo Precortado Softclean 600 porciones de 30x 26,5</t>
        </is>
      </c>
      <c r="D97" s="166">
        <f>I97*0.93*0.98</f>
        <v/>
      </c>
      <c r="E97" s="166">
        <f>D97*1.3*1.105</f>
        <v/>
      </c>
      <c r="F97" s="166">
        <f>D97*1.3*1.105/0.9</f>
        <v/>
      </c>
      <c r="G97" s="166">
        <f>F97*1.21</f>
        <v/>
      </c>
      <c r="H97" s="166">
        <f>ROUND(G97/100,0)*100</f>
        <v/>
      </c>
      <c r="I97" s="240" t="n">
        <v>42.96</v>
      </c>
      <c r="M97" s="87" t="n">
        <v>39.153744</v>
      </c>
    </row>
    <row r="98">
      <c r="A98" s="186" t="n"/>
      <c r="B98" s="223" t="n"/>
      <c r="C98" s="223" t="n"/>
      <c r="D98" s="166" t="n"/>
      <c r="E98" s="195" t="n"/>
      <c r="F98" s="195" t="n"/>
      <c r="G98" s="195" t="n"/>
      <c r="H98" s="195" t="n"/>
      <c r="I98" s="244" t="n"/>
      <c r="M98" s="87" t="n"/>
    </row>
    <row r="99">
      <c r="A99" s="168" t="inlineStr">
        <is>
          <t>Linea Sontara</t>
        </is>
      </c>
      <c r="C99" s="158" t="n"/>
      <c r="D99" s="169" t="n"/>
      <c r="E99" s="197" t="n"/>
      <c r="F99" s="197" t="n"/>
      <c r="G99" s="197" t="n"/>
      <c r="H99" s="197" t="n"/>
      <c r="I99" s="198" t="n"/>
      <c r="M99" s="87" t="n"/>
    </row>
    <row r="100">
      <c r="A100" s="186" t="n">
        <v>604</v>
      </c>
      <c r="B100" s="223" t="inlineStr">
        <is>
          <t>Rollo precortado Maxi de 30 x38 blanco</t>
        </is>
      </c>
      <c r="D100" s="166">
        <f>I100*0.93*0.98</f>
        <v/>
      </c>
      <c r="E100" s="166">
        <f>D100*1.3*1.105</f>
        <v/>
      </c>
      <c r="F100" s="166">
        <f>D100*1.3*1.105/0.9</f>
        <v/>
      </c>
      <c r="G100" s="166">
        <f>F100*1.21</f>
        <v/>
      </c>
      <c r="H100" s="166">
        <f>ROUND(G100/100,0)*100</f>
        <v/>
      </c>
      <c r="I100" s="240" t="n">
        <v>113.44</v>
      </c>
      <c r="M100" s="87" t="n">
        <v>103.389216</v>
      </c>
    </row>
    <row r="101">
      <c r="A101" s="186" t="n">
        <v>619</v>
      </c>
      <c r="B101" s="223" t="inlineStr">
        <is>
          <t>Centerfeed Sontara Celeste 350 porc22,5 x 26,5</t>
        </is>
      </c>
      <c r="D101" s="166">
        <f>I101*0.93*0.98</f>
        <v/>
      </c>
      <c r="E101" s="166">
        <f>D101*1.3*1.105</f>
        <v/>
      </c>
      <c r="F101" s="166">
        <f>D101*1.3*1.105/0.9</f>
        <v/>
      </c>
      <c r="G101" s="166">
        <f>F101*1.21</f>
        <v/>
      </c>
      <c r="H101" s="166">
        <f>ROUND(G101/100,0)*100</f>
        <v/>
      </c>
      <c r="I101" s="240" t="n">
        <v>57.54</v>
      </c>
      <c r="M101" s="87" t="n">
        <v>52.441956</v>
      </c>
    </row>
    <row r="102">
      <c r="A102" s="186" t="n">
        <v>620</v>
      </c>
      <c r="B102" s="223" t="inlineStr">
        <is>
          <t>Rollo prec Sontara por 600 porc 30 x26,5 celeste</t>
        </is>
      </c>
      <c r="D102" s="166">
        <f>I102*0.93*0.98</f>
        <v/>
      </c>
      <c r="E102" s="166">
        <f>D102*1.3*1.105</f>
        <v/>
      </c>
      <c r="F102" s="166">
        <f>D102*1.3*1.105/0.9</f>
        <v/>
      </c>
      <c r="G102" s="166">
        <f>F102*1.21</f>
        <v/>
      </c>
      <c r="H102" s="166">
        <f>ROUND(G102/100,0)*100</f>
        <v/>
      </c>
      <c r="I102" s="240" t="n">
        <v>106.81</v>
      </c>
      <c r="M102" s="87" t="n">
        <v>97.34663400000001</v>
      </c>
    </row>
    <row r="103">
      <c r="A103" s="186" t="n">
        <v>621</v>
      </c>
      <c r="B103" s="223" t="inlineStr">
        <is>
          <t>Rollo Sontara Mini x 190 porc 22,5 x26,5 celeste</t>
        </is>
      </c>
      <c r="D103" s="166">
        <f>I103*0.93*0.98</f>
        <v/>
      </c>
      <c r="E103" s="166">
        <f>D103*1.3*1.105</f>
        <v/>
      </c>
      <c r="F103" s="166">
        <f>D103*1.3*1.105/0.9</f>
        <v/>
      </c>
      <c r="G103" s="166">
        <f>F103*1.21</f>
        <v/>
      </c>
      <c r="H103" s="166">
        <f>ROUND(G103/100,0)*100</f>
        <v/>
      </c>
      <c r="I103" s="240" t="n">
        <v>26.14</v>
      </c>
      <c r="M103" s="87" t="n">
        <v>23.823996</v>
      </c>
    </row>
    <row r="104">
      <c r="A104" s="186" t="n">
        <v>627</v>
      </c>
      <c r="B104" s="223" t="inlineStr">
        <is>
          <t>SMP 300 Paños de 22,5 cm x 22,5 cm</t>
        </is>
      </c>
      <c r="D104" s="166">
        <f>I104*0.93*0.98</f>
        <v/>
      </c>
      <c r="E104" s="166">
        <f>D104*1.3*1.105</f>
        <v/>
      </c>
      <c r="F104" s="166">
        <f>D104*1.3*1.105/0.9</f>
        <v/>
      </c>
      <c r="G104" s="166">
        <f>F104*1.21</f>
        <v/>
      </c>
      <c r="H104" s="166">
        <f>ROUND(G104/100,0)*100</f>
        <v/>
      </c>
      <c r="I104" s="240" t="n">
        <v>69.04000000000001</v>
      </c>
      <c r="M104" s="87" t="n">
        <v>62.92305600000001</v>
      </c>
    </row>
    <row r="105">
      <c r="A105" s="171" t="n">
        <v>645</v>
      </c>
      <c r="B105" s="175" t="inlineStr">
        <is>
          <t>Caja por 500Paños Sontara de 30 x 30 cm celeste</t>
        </is>
      </c>
      <c r="D105" s="166">
        <f>I105*0.93*0.98</f>
        <v/>
      </c>
      <c r="E105" s="166">
        <f>D105*1.3*1.105</f>
        <v/>
      </c>
      <c r="F105" s="166">
        <f>D105*1.3*1.105/0.9</f>
        <v/>
      </c>
      <c r="G105" s="166">
        <f>F105*1.21</f>
        <v/>
      </c>
      <c r="H105" s="166">
        <f>ROUND(G105/100,0)*100</f>
        <v/>
      </c>
      <c r="I105" s="240" t="n">
        <v>75.94</v>
      </c>
      <c r="M105" s="87" t="n">
        <v>69.211716</v>
      </c>
    </row>
    <row r="106">
      <c r="A106" s="186" t="n">
        <v>656</v>
      </c>
      <c r="B106" s="175" t="inlineStr">
        <is>
          <t>Caja por 400 Paños Sontara de 30 x 30 cm Blancos</t>
        </is>
      </c>
      <c r="D106" s="166">
        <f>I106*0.93*0.98</f>
        <v/>
      </c>
      <c r="E106" s="166">
        <f>D106*1.3*1.105</f>
        <v/>
      </c>
      <c r="F106" s="166">
        <f>D106*1.3*1.105/0.9</f>
        <v/>
      </c>
      <c r="G106" s="166">
        <f>F106*1.21</f>
        <v/>
      </c>
      <c r="H106" s="166">
        <f>ROUND(G106/100,0)*100</f>
        <v/>
      </c>
      <c r="I106" s="240" t="n">
        <v>73.48999999999999</v>
      </c>
      <c r="M106" s="87" t="n">
        <v>66.978786</v>
      </c>
    </row>
    <row r="107">
      <c r="A107" s="223" t="n"/>
      <c r="B107" s="175" t="n"/>
      <c r="C107" s="175" t="n"/>
      <c r="D107" s="215" t="n"/>
      <c r="E107" s="223" t="n"/>
      <c r="F107" s="223" t="n"/>
      <c r="G107" s="223" t="n"/>
      <c r="H107" s="223" t="n"/>
      <c r="I107" s="215" t="n"/>
      <c r="M107" s="87" t="n"/>
    </row>
    <row r="108">
      <c r="A108" s="223" t="n"/>
      <c r="B108" s="175" t="n"/>
      <c r="C108" s="223" t="n"/>
      <c r="D108" s="215" t="n"/>
      <c r="E108" s="223" t="n"/>
      <c r="F108" s="223" t="n"/>
      <c r="G108" s="223" t="n"/>
      <c r="H108" s="223" t="n"/>
      <c r="I108" s="215" t="n"/>
      <c r="M108" s="87" t="n"/>
    </row>
    <row r="109">
      <c r="A109" s="223" t="n"/>
      <c r="B109" s="175" t="n"/>
      <c r="C109" s="223" t="n"/>
      <c r="D109" s="215" t="n"/>
      <c r="E109" s="223" t="n"/>
      <c r="F109" s="223" t="n"/>
      <c r="G109" s="223" t="n"/>
      <c r="H109" s="223" t="n"/>
      <c r="I109" s="215" t="n"/>
      <c r="M109" s="87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E110" s="223" t="n"/>
      <c r="F110" s="223" t="n"/>
      <c r="G110" s="223" t="n"/>
      <c r="H110" s="223" t="n"/>
      <c r="I110" s="215" t="n"/>
      <c r="M110" s="87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E111" s="223" t="n"/>
      <c r="F111" s="223" t="n"/>
      <c r="G111" s="223" t="n"/>
      <c r="H111" s="223" t="n"/>
      <c r="I111" s="215" t="n"/>
      <c r="M111" s="87" t="n"/>
    </row>
    <row r="112">
      <c r="D112" s="87" t="n"/>
      <c r="I112" s="87" t="n"/>
      <c r="M112" s="87" t="n"/>
    </row>
    <row r="113">
      <c r="D113" s="87" t="n"/>
      <c r="I113" s="87" t="n"/>
      <c r="M113" s="87" t="n"/>
    </row>
    <row r="114">
      <c r="D114" s="87" t="n"/>
      <c r="I114" s="87" t="n"/>
      <c r="M114" s="87" t="n"/>
    </row>
    <row r="115">
      <c r="D115" s="87" t="n"/>
      <c r="I115" s="87" t="n"/>
      <c r="M115" s="87" t="n"/>
    </row>
    <row r="116">
      <c r="D116" s="87" t="n"/>
      <c r="I116" s="87" t="n"/>
      <c r="M116" s="87" t="n"/>
    </row>
    <row r="117">
      <c r="D117" s="87" t="n"/>
      <c r="I117" s="87" t="n"/>
      <c r="M117" s="87" t="n"/>
    </row>
    <row r="118">
      <c r="D118" s="87" t="n"/>
      <c r="I118" s="87" t="n"/>
      <c r="M118" s="87" t="n"/>
    </row>
    <row r="119">
      <c r="D119" s="87" t="n"/>
      <c r="I119" s="87" t="n"/>
      <c r="M119" s="87" t="n"/>
    </row>
    <row r="120">
      <c r="D120" s="87" t="n"/>
      <c r="I120" s="87" t="n"/>
      <c r="M120" s="87" t="n"/>
    </row>
    <row r="121">
      <c r="D121" s="87" t="n"/>
      <c r="I121" s="87" t="n"/>
      <c r="M121" s="87" t="n"/>
    </row>
    <row r="122">
      <c r="D122" s="87" t="n"/>
      <c r="I122" s="87" t="n"/>
      <c r="M122" s="87" t="n"/>
    </row>
    <row r="123">
      <c r="D123" s="87" t="n"/>
      <c r="I123" s="87" t="n"/>
      <c r="M123" s="87" t="n"/>
    </row>
    <row r="124">
      <c r="D124" s="87" t="n"/>
      <c r="I124" s="87" t="n"/>
      <c r="M124" s="87" t="n"/>
    </row>
    <row r="125">
      <c r="D125" s="87" t="n"/>
      <c r="I125" s="87" t="n"/>
      <c r="M125" s="87" t="n"/>
    </row>
    <row r="126">
      <c r="D126" s="87" t="n"/>
      <c r="I126" s="87" t="n"/>
      <c r="M126" s="87" t="n"/>
    </row>
    <row r="127">
      <c r="D127" s="87" t="n"/>
      <c r="I127" s="87" t="n"/>
      <c r="M127" s="87" t="n"/>
    </row>
    <row r="128">
      <c r="D128" s="87" t="n"/>
      <c r="I128" s="87" t="n"/>
      <c r="M128" s="87" t="n"/>
    </row>
    <row r="129">
      <c r="D129" s="87" t="n"/>
      <c r="I129" s="87" t="n"/>
      <c r="M129" s="87" t="n"/>
    </row>
    <row r="130">
      <c r="D130" s="87" t="n"/>
      <c r="I130" s="87" t="n"/>
      <c r="M130" s="87" t="n"/>
    </row>
    <row r="131">
      <c r="D131" s="87" t="n"/>
      <c r="I131" s="87" t="n"/>
      <c r="M131" s="87" t="n"/>
    </row>
    <row r="132">
      <c r="D132" s="87" t="n"/>
      <c r="I132" s="87" t="n"/>
      <c r="M132" s="87" t="n"/>
    </row>
    <row r="133">
      <c r="D133" s="87" t="n"/>
      <c r="I133" s="87" t="n"/>
      <c r="M133" s="87" t="n"/>
    </row>
    <row r="134">
      <c r="D134" s="87" t="n"/>
      <c r="I134" s="87" t="n"/>
      <c r="M134" s="87" t="n"/>
    </row>
    <row r="135">
      <c r="D135" s="87" t="n"/>
      <c r="I135" s="87" t="n"/>
      <c r="M135" s="87" t="n"/>
    </row>
    <row r="136">
      <c r="D136" s="87" t="n"/>
      <c r="I136" s="87" t="n"/>
      <c r="M136" s="87" t="n"/>
    </row>
    <row r="137">
      <c r="D137" s="87" t="n"/>
      <c r="I137" s="87" t="n"/>
      <c r="M137" s="87" t="n"/>
    </row>
    <row r="138">
      <c r="D138" s="87" t="n"/>
      <c r="I138" s="87" t="n"/>
      <c r="M138" s="87" t="n"/>
    </row>
    <row r="139">
      <c r="D139" s="87" t="n"/>
      <c r="I139" s="87" t="n"/>
      <c r="M139" s="87" t="n"/>
    </row>
    <row r="140">
      <c r="D140" s="87" t="n"/>
      <c r="I140" s="87" t="n"/>
      <c r="M140" s="87" t="n"/>
    </row>
    <row r="141">
      <c r="D141" s="87" t="n"/>
      <c r="I141" s="87" t="n"/>
      <c r="M141" s="87" t="n"/>
    </row>
    <row r="142">
      <c r="D142" s="87" t="n"/>
      <c r="I142" s="87" t="n"/>
      <c r="M142" s="87" t="n"/>
    </row>
    <row r="143">
      <c r="D143" s="87" t="n"/>
      <c r="I143" s="87" t="n"/>
      <c r="M143" s="87" t="n"/>
    </row>
    <row r="144">
      <c r="D144" s="87" t="n"/>
      <c r="I144" s="87" t="n"/>
      <c r="M144" s="87" t="n"/>
    </row>
    <row r="145">
      <c r="D145" s="87" t="n"/>
      <c r="I145" s="87" t="n"/>
      <c r="M145" s="87" t="n"/>
    </row>
    <row r="146">
      <c r="D146" s="87" t="n"/>
      <c r="I146" s="87" t="n"/>
      <c r="M146" s="87" t="n"/>
    </row>
    <row r="147">
      <c r="D147" s="87" t="n"/>
      <c r="I147" s="87" t="n"/>
      <c r="M147" s="87" t="n"/>
    </row>
    <row r="148">
      <c r="D148" s="87" t="n"/>
      <c r="I148" s="87" t="n"/>
      <c r="M148" s="87" t="n"/>
    </row>
    <row r="149">
      <c r="D149" s="87" t="n"/>
      <c r="I149" s="87" t="n"/>
      <c r="M149" s="87" t="n"/>
    </row>
    <row r="150">
      <c r="D150" s="87" t="n"/>
      <c r="I150" s="87" t="n"/>
      <c r="M150" s="87" t="n"/>
    </row>
    <row r="151">
      <c r="D151" s="87" t="n"/>
      <c r="I151" s="87" t="n"/>
      <c r="M151" s="87" t="n"/>
    </row>
    <row r="152">
      <c r="D152" s="87" t="n"/>
      <c r="I152" s="87" t="n"/>
      <c r="M152" s="87" t="n"/>
    </row>
    <row r="153">
      <c r="D153" s="87" t="n"/>
      <c r="I153" s="87" t="n"/>
      <c r="M153" s="87" t="n"/>
    </row>
    <row r="154">
      <c r="D154" s="87" t="n"/>
      <c r="I154" s="87" t="n"/>
      <c r="M154" s="87" t="n"/>
    </row>
    <row r="155">
      <c r="D155" s="87" t="n"/>
      <c r="I155" s="87" t="n"/>
      <c r="M155" s="87" t="n"/>
    </row>
    <row r="156">
      <c r="D156" s="87" t="n"/>
      <c r="I156" s="87" t="n"/>
      <c r="M156" s="87" t="n"/>
    </row>
    <row r="157">
      <c r="D157" s="87" t="n"/>
      <c r="I157" s="87" t="n"/>
      <c r="M157" s="87" t="n"/>
    </row>
    <row r="158">
      <c r="D158" s="87" t="n"/>
      <c r="I158" s="87" t="n"/>
      <c r="M158" s="87" t="n"/>
    </row>
    <row r="159">
      <c r="D159" s="87" t="n"/>
      <c r="I159" s="87" t="n"/>
      <c r="M159" s="87" t="n"/>
    </row>
    <row r="160">
      <c r="D160" s="87" t="n"/>
      <c r="I160" s="87" t="n"/>
      <c r="M160" s="87" t="n"/>
    </row>
    <row r="161">
      <c r="D161" s="87" t="n"/>
      <c r="I161" s="87" t="n"/>
      <c r="M161" s="87" t="n"/>
    </row>
    <row r="162">
      <c r="D162" s="87" t="n"/>
      <c r="I162" s="87" t="n"/>
      <c r="M162" s="87" t="n"/>
    </row>
    <row r="163">
      <c r="D163" s="87" t="n"/>
      <c r="I163" s="87" t="n"/>
      <c r="M163" s="87" t="n"/>
    </row>
    <row r="164">
      <c r="D164" s="87" t="n"/>
      <c r="I164" s="87" t="n"/>
      <c r="M164" s="87" t="n"/>
    </row>
    <row r="165">
      <c r="D165" s="87" t="n"/>
      <c r="I165" s="87" t="n"/>
      <c r="M165" s="87" t="n"/>
    </row>
    <row r="166">
      <c r="D166" s="87" t="n"/>
      <c r="I166" s="87" t="n"/>
      <c r="M166" s="87" t="n"/>
    </row>
    <row r="167">
      <c r="D167" s="87" t="n"/>
      <c r="I167" s="87" t="n"/>
      <c r="M167" s="87" t="n"/>
    </row>
    <row r="168">
      <c r="D168" s="87" t="n"/>
      <c r="I168" s="87" t="n"/>
      <c r="M168" s="87" t="n"/>
    </row>
    <row r="169">
      <c r="D169" s="87" t="n"/>
      <c r="I169" s="87" t="n"/>
      <c r="M169" s="87" t="n"/>
    </row>
    <row r="170">
      <c r="D170" s="87" t="n"/>
      <c r="I170" s="87" t="n"/>
      <c r="M170" s="87" t="n"/>
    </row>
    <row r="171">
      <c r="D171" s="87" t="n"/>
      <c r="I171" s="87" t="n"/>
      <c r="M171" s="87" t="n"/>
    </row>
    <row r="172">
      <c r="D172" s="87" t="n"/>
      <c r="I172" s="87" t="n"/>
      <c r="M172" s="87" t="n"/>
    </row>
    <row r="173">
      <c r="D173" s="87" t="n"/>
      <c r="I173" s="87" t="n"/>
      <c r="M173" s="87" t="n"/>
    </row>
    <row r="174">
      <c r="D174" s="87" t="n"/>
      <c r="I174" s="87" t="n"/>
      <c r="M174" s="87" t="n"/>
    </row>
    <row r="175">
      <c r="D175" s="87" t="n"/>
      <c r="I175" s="87" t="n"/>
      <c r="M175" s="87" t="n"/>
    </row>
    <row r="176">
      <c r="D176" s="87" t="n"/>
      <c r="I176" s="87" t="n"/>
      <c r="M176" s="87" t="n"/>
    </row>
    <row r="177">
      <c r="D177" s="87" t="n"/>
      <c r="I177" s="87" t="n"/>
      <c r="M177" s="87" t="n"/>
    </row>
    <row r="178">
      <c r="D178" s="87" t="n"/>
      <c r="I178" s="87" t="n"/>
      <c r="M178" s="87" t="n"/>
    </row>
    <row r="179">
      <c r="D179" s="87" t="n"/>
      <c r="I179" s="87" t="n"/>
      <c r="M179" s="87" t="n"/>
    </row>
    <row r="180">
      <c r="D180" s="87" t="n"/>
      <c r="I180" s="87" t="n"/>
      <c r="M180" s="87" t="n"/>
    </row>
    <row r="181">
      <c r="D181" s="87" t="n"/>
      <c r="I181" s="87" t="n"/>
      <c r="M181" s="87" t="n"/>
    </row>
    <row r="182">
      <c r="D182" s="87" t="n"/>
      <c r="I182" s="87" t="n"/>
      <c r="M182" s="87" t="n"/>
    </row>
    <row r="183">
      <c r="D183" s="87" t="n"/>
      <c r="I183" s="87" t="n"/>
      <c r="M183" s="87" t="n"/>
    </row>
    <row r="184">
      <c r="D184" s="87" t="n"/>
      <c r="I184" s="87" t="n"/>
      <c r="M184" s="87" t="n"/>
    </row>
    <row r="185">
      <c r="D185" s="87" t="n"/>
      <c r="I185" s="87" t="n"/>
      <c r="M185" s="87" t="n"/>
    </row>
    <row r="186">
      <c r="D186" s="87" t="n"/>
      <c r="I186" s="87" t="n"/>
      <c r="M186" s="87" t="n"/>
    </row>
    <row r="187">
      <c r="D187" s="87" t="n"/>
      <c r="I187" s="87" t="n"/>
      <c r="M187" s="87" t="n"/>
    </row>
    <row r="188">
      <c r="D188" s="87" t="n"/>
      <c r="I188" s="87" t="n"/>
      <c r="M188" s="87" t="n"/>
    </row>
    <row r="189">
      <c r="D189" s="87" t="n"/>
      <c r="I189" s="87" t="n"/>
      <c r="M189" s="87" t="n"/>
    </row>
    <row r="190">
      <c r="D190" s="87" t="n"/>
      <c r="I190" s="87" t="n"/>
      <c r="M190" s="87" t="n"/>
    </row>
    <row r="191">
      <c r="D191" s="87" t="n"/>
      <c r="I191" s="87" t="n"/>
      <c r="M191" s="87" t="n"/>
    </row>
    <row r="192">
      <c r="D192" s="87" t="n"/>
      <c r="I192" s="87" t="n"/>
      <c r="M192" s="87" t="n"/>
    </row>
    <row r="193">
      <c r="D193" s="87" t="n"/>
      <c r="I193" s="87" t="n"/>
      <c r="M193" s="87" t="n"/>
    </row>
    <row r="194">
      <c r="D194" s="87" t="n"/>
      <c r="I194" s="87" t="n"/>
      <c r="M194" s="87" t="n"/>
    </row>
    <row r="195">
      <c r="D195" s="87" t="n"/>
      <c r="I195" s="87" t="n"/>
      <c r="M195" s="87" t="n"/>
    </row>
    <row r="196">
      <c r="D196" s="87" t="n"/>
      <c r="I196" s="87" t="n"/>
      <c r="M196" s="87" t="n"/>
    </row>
    <row r="197">
      <c r="D197" s="87" t="n"/>
      <c r="I197" s="87" t="n"/>
      <c r="M197" s="87" t="n"/>
    </row>
    <row r="198">
      <c r="D198" s="87" t="n"/>
      <c r="I198" s="87" t="n"/>
      <c r="M198" s="87" t="n"/>
    </row>
    <row r="199">
      <c r="D199" s="87" t="n"/>
      <c r="I199" s="87" t="n"/>
      <c r="M199" s="87" t="n"/>
    </row>
    <row r="200">
      <c r="D200" s="87" t="n"/>
      <c r="I200" s="87" t="n"/>
      <c r="M200" s="87" t="n"/>
    </row>
    <row r="201">
      <c r="D201" s="87" t="n"/>
      <c r="I201" s="87" t="n"/>
      <c r="M201" s="87" t="n"/>
    </row>
    <row r="202">
      <c r="D202" s="87" t="n"/>
      <c r="I202" s="87" t="n"/>
      <c r="M202" s="87" t="n"/>
    </row>
    <row r="203">
      <c r="D203" s="87" t="n"/>
      <c r="I203" s="87" t="n"/>
      <c r="M203" s="87" t="n"/>
    </row>
    <row r="204">
      <c r="D204" s="87" t="n"/>
      <c r="I204" s="87" t="n"/>
      <c r="M204" s="87" t="n"/>
    </row>
    <row r="205">
      <c r="D205" s="87" t="n"/>
      <c r="I205" s="87" t="n"/>
      <c r="M205" s="87" t="n"/>
    </row>
    <row r="206">
      <c r="D206" s="87" t="n"/>
      <c r="I206" s="87" t="n"/>
      <c r="M206" s="87" t="n"/>
    </row>
    <row r="207">
      <c r="D207" s="87" t="n"/>
      <c r="I207" s="87" t="n"/>
      <c r="M207" s="87" t="n"/>
    </row>
    <row r="208">
      <c r="D208" s="87" t="n"/>
      <c r="I208" s="87" t="n"/>
      <c r="M208" s="87" t="n"/>
    </row>
    <row r="209">
      <c r="D209" s="87" t="n"/>
      <c r="I209" s="87" t="n"/>
      <c r="M209" s="87" t="n"/>
    </row>
    <row r="210">
      <c r="D210" s="87" t="n"/>
      <c r="I210" s="87" t="n"/>
      <c r="M210" s="87" t="n"/>
    </row>
    <row r="211">
      <c r="D211" s="87" t="n"/>
      <c r="I211" s="87" t="n"/>
      <c r="M211" s="87" t="n"/>
    </row>
    <row r="212">
      <c r="D212" s="87" t="n"/>
      <c r="I212" s="87" t="n"/>
      <c r="M212" s="87" t="n"/>
    </row>
    <row r="213">
      <c r="D213" s="87" t="n"/>
      <c r="I213" s="87" t="n"/>
      <c r="M213" s="87" t="n"/>
    </row>
    <row r="214">
      <c r="D214" s="87" t="n"/>
      <c r="I214" s="87" t="n"/>
      <c r="M214" s="87" t="n"/>
    </row>
    <row r="215">
      <c r="D215" s="87" t="n"/>
      <c r="I215" s="87" t="n"/>
      <c r="M215" s="87" t="n"/>
    </row>
    <row r="216">
      <c r="D216" s="87" t="n"/>
      <c r="I216" s="87" t="n"/>
      <c r="M216" s="87" t="n"/>
    </row>
    <row r="217">
      <c r="D217" s="87" t="n"/>
      <c r="I217" s="87" t="n"/>
      <c r="M217" s="87" t="n"/>
    </row>
    <row r="218">
      <c r="D218" s="87" t="n"/>
      <c r="I218" s="87" t="n"/>
      <c r="M218" s="87" t="n"/>
    </row>
    <row r="219">
      <c r="D219" s="87" t="n"/>
      <c r="I219" s="87" t="n"/>
      <c r="M219" s="87" t="n"/>
    </row>
    <row r="220">
      <c r="D220" s="87" t="n"/>
      <c r="I220" s="87" t="n"/>
      <c r="M220" s="87" t="n"/>
    </row>
    <row r="221">
      <c r="D221" s="87" t="n"/>
      <c r="I221" s="87" t="n"/>
      <c r="M221" s="87" t="n"/>
    </row>
    <row r="222">
      <c r="D222" s="87" t="n"/>
      <c r="I222" s="87" t="n"/>
      <c r="M222" s="87" t="n"/>
    </row>
    <row r="223">
      <c r="D223" s="87" t="n"/>
      <c r="I223" s="87" t="n"/>
      <c r="M223" s="87" t="n"/>
    </row>
    <row r="224">
      <c r="D224" s="87" t="n"/>
      <c r="I224" s="87" t="n"/>
      <c r="M224" s="87" t="n"/>
    </row>
    <row r="225">
      <c r="D225" s="87" t="n"/>
      <c r="I225" s="87" t="n"/>
      <c r="M225" s="87" t="n"/>
    </row>
    <row r="226">
      <c r="D226" s="87" t="n"/>
      <c r="I226" s="87" t="n"/>
      <c r="M226" s="87" t="n"/>
    </row>
    <row r="227">
      <c r="D227" s="87" t="n"/>
      <c r="I227" s="87" t="n"/>
      <c r="M227" s="87" t="n"/>
    </row>
    <row r="228">
      <c r="D228" s="87" t="n"/>
      <c r="I228" s="87" t="n"/>
      <c r="M228" s="87" t="n"/>
    </row>
    <row r="229">
      <c r="D229" s="87" t="n"/>
      <c r="I229" s="87" t="n"/>
      <c r="M229" s="87" t="n"/>
    </row>
    <row r="230">
      <c r="D230" s="87" t="n"/>
      <c r="I230" s="87" t="n"/>
      <c r="M230" s="87" t="n"/>
    </row>
    <row r="231">
      <c r="D231" s="87" t="n"/>
      <c r="I231" s="87" t="n"/>
      <c r="M231" s="87" t="n"/>
    </row>
    <row r="232">
      <c r="D232" s="87" t="n"/>
      <c r="I232" s="87" t="n"/>
      <c r="M232" s="87" t="n"/>
    </row>
    <row r="233">
      <c r="D233" s="87" t="n"/>
      <c r="I233" s="87" t="n"/>
      <c r="M233" s="87" t="n"/>
    </row>
    <row r="234">
      <c r="D234" s="87" t="n"/>
      <c r="I234" s="87" t="n"/>
      <c r="M234" s="87" t="n"/>
    </row>
    <row r="235">
      <c r="D235" s="87" t="n"/>
      <c r="I235" s="87" t="n"/>
      <c r="M235" s="87" t="n"/>
    </row>
    <row r="236">
      <c r="D236" s="87" t="n"/>
      <c r="I236" s="87" t="n"/>
      <c r="M236" s="87" t="n"/>
    </row>
    <row r="237">
      <c r="D237" s="87" t="n"/>
      <c r="I237" s="87" t="n"/>
      <c r="M237" s="87" t="n"/>
    </row>
    <row r="238">
      <c r="D238" s="87" t="n"/>
      <c r="I238" s="87" t="n"/>
      <c r="M238" s="87" t="n"/>
    </row>
    <row r="239">
      <c r="D239" s="87" t="n"/>
      <c r="I239" s="87" t="n"/>
      <c r="M239" s="87" t="n"/>
    </row>
    <row r="240">
      <c r="D240" s="87" t="n"/>
      <c r="I240" s="87" t="n"/>
      <c r="M240" s="87" t="n"/>
    </row>
    <row r="241">
      <c r="D241" s="87" t="n"/>
      <c r="I241" s="87" t="n"/>
      <c r="M241" s="87" t="n"/>
    </row>
    <row r="242">
      <c r="D242" s="87" t="n"/>
      <c r="I242" s="87" t="n"/>
      <c r="M242" s="87" t="n"/>
    </row>
    <row r="243">
      <c r="D243" s="87" t="n"/>
      <c r="I243" s="87" t="n"/>
      <c r="M243" s="87" t="n"/>
    </row>
    <row r="244">
      <c r="D244" s="87" t="n"/>
      <c r="I244" s="87" t="n"/>
      <c r="M244" s="87" t="n"/>
    </row>
    <row r="245">
      <c r="D245" s="87" t="n"/>
      <c r="I245" s="87" t="n"/>
      <c r="M245" s="87" t="n"/>
    </row>
    <row r="246">
      <c r="D246" s="87" t="n"/>
      <c r="I246" s="87" t="n"/>
      <c r="M246" s="87" t="n"/>
    </row>
    <row r="247">
      <c r="D247" s="87" t="n"/>
      <c r="I247" s="87" t="n"/>
      <c r="M247" s="87" t="n"/>
    </row>
    <row r="248">
      <c r="D248" s="87" t="n"/>
      <c r="I248" s="87" t="n"/>
      <c r="M248" s="87" t="n"/>
    </row>
    <row r="249">
      <c r="D249" s="87" t="n"/>
      <c r="I249" s="87" t="n"/>
      <c r="M249" s="87" t="n"/>
    </row>
    <row r="250">
      <c r="D250" s="87" t="n"/>
      <c r="I250" s="87" t="n"/>
      <c r="M250" s="87" t="n"/>
    </row>
    <row r="251">
      <c r="D251" s="87" t="n"/>
      <c r="I251" s="87" t="n"/>
      <c r="M251" s="87" t="n"/>
    </row>
    <row r="252">
      <c r="D252" s="87" t="n"/>
      <c r="I252" s="87" t="n"/>
      <c r="M252" s="87" t="n"/>
    </row>
    <row r="253">
      <c r="D253" s="87" t="n"/>
      <c r="I253" s="87" t="n"/>
      <c r="M253" s="87" t="n"/>
    </row>
    <row r="254">
      <c r="D254" s="87" t="n"/>
      <c r="I254" s="87" t="n"/>
      <c r="M254" s="87" t="n"/>
    </row>
    <row r="255">
      <c r="D255" s="87" t="n"/>
      <c r="I255" s="87" t="n"/>
      <c r="M255" s="87" t="n"/>
    </row>
    <row r="256">
      <c r="D256" s="87" t="n"/>
      <c r="I256" s="87" t="n"/>
      <c r="M256" s="87" t="n"/>
    </row>
    <row r="257">
      <c r="D257" s="87" t="n"/>
      <c r="I257" s="87" t="n"/>
      <c r="M257" s="87" t="n"/>
    </row>
    <row r="258">
      <c r="D258" s="87" t="n"/>
      <c r="I258" s="87" t="n"/>
      <c r="M258" s="87" t="n"/>
    </row>
    <row r="259">
      <c r="D259" s="87" t="n"/>
      <c r="I259" s="87" t="n"/>
      <c r="M259" s="87" t="n"/>
    </row>
    <row r="260">
      <c r="D260" s="87" t="n"/>
      <c r="I260" s="87" t="n"/>
      <c r="M260" s="87" t="n"/>
    </row>
    <row r="261">
      <c r="D261" s="87" t="n"/>
      <c r="I261" s="87" t="n"/>
      <c r="M261" s="87" t="n"/>
    </row>
    <row r="262">
      <c r="D262" s="87" t="n"/>
      <c r="I262" s="87" t="n"/>
      <c r="M262" s="87" t="n"/>
    </row>
    <row r="263">
      <c r="D263" s="87" t="n"/>
      <c r="I263" s="87" t="n"/>
      <c r="M263" s="87" t="n"/>
    </row>
    <row r="264">
      <c r="D264" s="87" t="n"/>
      <c r="I264" s="87" t="n"/>
      <c r="M264" s="87" t="n"/>
    </row>
    <row r="265">
      <c r="D265" s="87" t="n"/>
      <c r="I265" s="87" t="n"/>
      <c r="M265" s="87" t="n"/>
    </row>
    <row r="266">
      <c r="D266" s="87" t="n"/>
      <c r="I266" s="87" t="n"/>
      <c r="M266" s="87" t="n"/>
    </row>
    <row r="267">
      <c r="D267" s="87" t="n"/>
      <c r="I267" s="87" t="n"/>
      <c r="M267" s="87" t="n"/>
    </row>
    <row r="268">
      <c r="D268" s="87" t="n"/>
      <c r="I268" s="87" t="n"/>
      <c r="M268" s="87" t="n"/>
    </row>
    <row r="269">
      <c r="D269" s="87" t="n"/>
      <c r="I269" s="87" t="n"/>
      <c r="M269" s="87" t="n"/>
    </row>
    <row r="270">
      <c r="D270" s="87" t="n"/>
      <c r="I270" s="87" t="n"/>
      <c r="M270" s="87" t="n"/>
    </row>
    <row r="271">
      <c r="D271" s="87" t="n"/>
      <c r="I271" s="87" t="n"/>
      <c r="M271" s="87" t="n"/>
    </row>
    <row r="272">
      <c r="D272" s="87" t="n"/>
      <c r="I272" s="87" t="n"/>
      <c r="M272" s="87" t="n"/>
    </row>
    <row r="273">
      <c r="D273" s="87" t="n"/>
      <c r="I273" s="87" t="n"/>
      <c r="M273" s="87" t="n"/>
    </row>
    <row r="274">
      <c r="D274" s="87" t="n"/>
      <c r="I274" s="87" t="n"/>
      <c r="M274" s="87" t="n"/>
    </row>
    <row r="275">
      <c r="D275" s="87" t="n"/>
      <c r="I275" s="87" t="n"/>
      <c r="M275" s="87" t="n"/>
    </row>
    <row r="276">
      <c r="D276" s="87" t="n"/>
      <c r="I276" s="87" t="n"/>
      <c r="M276" s="87" t="n"/>
    </row>
    <row r="277">
      <c r="D277" s="87" t="n"/>
      <c r="I277" s="87" t="n"/>
      <c r="M277" s="87" t="n"/>
    </row>
    <row r="278">
      <c r="D278" s="87" t="n"/>
      <c r="I278" s="87" t="n"/>
      <c r="M278" s="87" t="n"/>
    </row>
    <row r="279">
      <c r="D279" s="87" t="n"/>
      <c r="I279" s="87" t="n"/>
      <c r="M279" s="87" t="n"/>
    </row>
    <row r="280">
      <c r="D280" s="87" t="n"/>
      <c r="I280" s="87" t="n"/>
      <c r="M280" s="87" t="n"/>
    </row>
    <row r="281">
      <c r="D281" s="87" t="n"/>
      <c r="I281" s="87" t="n"/>
      <c r="M281" s="87" t="n"/>
    </row>
    <row r="282">
      <c r="D282" s="87" t="n"/>
      <c r="I282" s="87" t="n"/>
      <c r="M282" s="87" t="n"/>
    </row>
    <row r="283">
      <c r="D283" s="87" t="n"/>
      <c r="I283" s="87" t="n"/>
      <c r="M283" s="87" t="n"/>
    </row>
    <row r="284">
      <c r="D284" s="87" t="n"/>
      <c r="I284" s="87" t="n"/>
      <c r="M284" s="87" t="n"/>
    </row>
    <row r="285">
      <c r="D285" s="87" t="n"/>
      <c r="I285" s="87" t="n"/>
      <c r="M285" s="87" t="n"/>
    </row>
    <row r="286">
      <c r="D286" s="87" t="n"/>
      <c r="I286" s="87" t="n"/>
      <c r="M286" s="87" t="n"/>
    </row>
    <row r="287">
      <c r="D287" s="87" t="n"/>
      <c r="I287" s="87" t="n"/>
      <c r="M287" s="87" t="n"/>
    </row>
    <row r="288">
      <c r="D288" s="87" t="n"/>
      <c r="I288" s="87" t="n"/>
      <c r="M288" s="87" t="n"/>
    </row>
    <row r="289">
      <c r="D289" s="87" t="n"/>
      <c r="I289" s="87" t="n"/>
      <c r="M289" s="87" t="n"/>
    </row>
    <row r="290">
      <c r="D290" s="87" t="n"/>
      <c r="I290" s="87" t="n"/>
      <c r="M290" s="87" t="n"/>
    </row>
    <row r="291">
      <c r="D291" s="87" t="n"/>
      <c r="I291" s="87" t="n"/>
      <c r="M291" s="87" t="n"/>
    </row>
    <row r="292">
      <c r="D292" s="87" t="n"/>
      <c r="I292" s="87" t="n"/>
      <c r="M292" s="87" t="n"/>
    </row>
    <row r="293">
      <c r="D293" s="87" t="n"/>
      <c r="I293" s="87" t="n"/>
      <c r="M293" s="87" t="n"/>
    </row>
    <row r="294">
      <c r="D294" s="87" t="n"/>
      <c r="I294" s="87" t="n"/>
      <c r="M294" s="87" t="n"/>
    </row>
    <row r="295">
      <c r="D295" s="87" t="n"/>
      <c r="I295" s="87" t="n"/>
      <c r="M295" s="87" t="n"/>
    </row>
    <row r="296">
      <c r="D296" s="87" t="n"/>
      <c r="I296" s="87" t="n"/>
      <c r="M296" s="87" t="n"/>
    </row>
    <row r="297">
      <c r="D297" s="87" t="n"/>
      <c r="I297" s="87" t="n"/>
      <c r="M297" s="87" t="n"/>
    </row>
    <row r="298">
      <c r="D298" s="87" t="n"/>
      <c r="I298" s="87" t="n"/>
      <c r="M298" s="87" t="n"/>
    </row>
    <row r="299">
      <c r="D299" s="87" t="n"/>
      <c r="I299" s="87" t="n"/>
      <c r="M299" s="87" t="n"/>
    </row>
    <row r="300">
      <c r="D300" s="87" t="n"/>
      <c r="I300" s="87" t="n"/>
      <c r="M300" s="87" t="n"/>
    </row>
    <row r="301">
      <c r="D301" s="87" t="n"/>
      <c r="I301" s="87" t="n"/>
      <c r="M301" s="87" t="n"/>
    </row>
    <row r="302">
      <c r="D302" s="87" t="n"/>
      <c r="I302" s="87" t="n"/>
      <c r="M302" s="87" t="n"/>
    </row>
    <row r="303">
      <c r="D303" s="87" t="n"/>
      <c r="I303" s="87" t="n"/>
      <c r="M303" s="87" t="n"/>
    </row>
    <row r="304">
      <c r="D304" s="87" t="n"/>
      <c r="I304" s="87" t="n"/>
      <c r="M304" s="87" t="n"/>
    </row>
    <row r="305">
      <c r="D305" s="87" t="n"/>
      <c r="I305" s="87" t="n"/>
      <c r="M305" s="87" t="n"/>
    </row>
    <row r="306">
      <c r="D306" s="87" t="n"/>
      <c r="I306" s="87" t="n"/>
      <c r="M306" s="87" t="n"/>
    </row>
    <row r="307">
      <c r="D307" s="87" t="n"/>
      <c r="I307" s="87" t="n"/>
      <c r="M307" s="87" t="n"/>
    </row>
    <row r="308">
      <c r="D308" s="87" t="n"/>
      <c r="I308" s="87" t="n"/>
      <c r="M308" s="87" t="n"/>
    </row>
    <row r="309">
      <c r="D309" s="87" t="n"/>
      <c r="I309" s="87" t="n"/>
      <c r="M309" s="87" t="n"/>
    </row>
    <row r="310">
      <c r="D310" s="87" t="n"/>
      <c r="I310" s="87" t="n"/>
      <c r="M310" s="87" t="n"/>
    </row>
    <row r="311">
      <c r="D311" s="87" t="n"/>
      <c r="I311" s="87" t="n"/>
      <c r="M311" s="87" t="n"/>
    </row>
    <row r="312">
      <c r="D312" s="87" t="n"/>
      <c r="I312" s="87" t="n"/>
      <c r="M312" s="87" t="n"/>
    </row>
    <row r="313">
      <c r="D313" s="87" t="n"/>
      <c r="I313" s="87" t="n"/>
      <c r="M313" s="87" t="n"/>
    </row>
    <row r="314">
      <c r="D314" s="87" t="n"/>
      <c r="I314" s="87" t="n"/>
      <c r="M314" s="87" t="n"/>
    </row>
    <row r="315">
      <c r="D315" s="87" t="n"/>
      <c r="I315" s="87" t="n"/>
      <c r="M315" s="87" t="n"/>
    </row>
    <row r="316">
      <c r="D316" s="87" t="n"/>
      <c r="I316" s="87" t="n"/>
      <c r="M316" s="87" t="n"/>
    </row>
    <row r="317">
      <c r="D317" s="87" t="n"/>
      <c r="I317" s="87" t="n"/>
      <c r="M317" s="87" t="n"/>
    </row>
    <row r="318">
      <c r="D318" s="87" t="n"/>
      <c r="I318" s="87" t="n"/>
      <c r="M318" s="87" t="n"/>
    </row>
    <row r="319">
      <c r="D319" s="87" t="n"/>
      <c r="I319" s="87" t="n"/>
      <c r="M319" s="87" t="n"/>
    </row>
    <row r="320">
      <c r="D320" s="87" t="n"/>
      <c r="I320" s="87" t="n"/>
      <c r="M320" s="87" t="n"/>
    </row>
    <row r="321">
      <c r="D321" s="87" t="n"/>
      <c r="I321" s="87" t="n"/>
      <c r="M321" s="87" t="n"/>
    </row>
    <row r="322">
      <c r="D322" s="87" t="n"/>
      <c r="I322" s="87" t="n"/>
      <c r="M322" s="87" t="n"/>
    </row>
    <row r="323">
      <c r="D323" s="87" t="n"/>
      <c r="I323" s="87" t="n"/>
      <c r="M323" s="87" t="n"/>
    </row>
    <row r="324">
      <c r="D324" s="87" t="n"/>
      <c r="I324" s="87" t="n"/>
      <c r="M324" s="87" t="n"/>
    </row>
    <row r="325">
      <c r="D325" s="87" t="n"/>
      <c r="I325" s="87" t="n"/>
      <c r="M325" s="87" t="n"/>
    </row>
    <row r="326">
      <c r="D326" s="87" t="n"/>
      <c r="I326" s="87" t="n"/>
      <c r="M326" s="87" t="n"/>
    </row>
    <row r="327">
      <c r="D327" s="87" t="n"/>
      <c r="I327" s="87" t="n"/>
      <c r="M327" s="87" t="n"/>
    </row>
    <row r="328">
      <c r="D328" s="87" t="n"/>
      <c r="I328" s="87" t="n"/>
      <c r="M328" s="87" t="n"/>
    </row>
    <row r="329">
      <c r="D329" s="87" t="n"/>
      <c r="I329" s="87" t="n"/>
      <c r="M329" s="87" t="n"/>
    </row>
    <row r="330">
      <c r="D330" s="87" t="n"/>
      <c r="I330" s="87" t="n"/>
      <c r="M330" s="87" t="n"/>
    </row>
    <row r="331">
      <c r="D331" s="87" t="n"/>
      <c r="I331" s="87" t="n"/>
      <c r="M331" s="87" t="n"/>
    </row>
    <row r="332">
      <c r="D332" s="87" t="n"/>
      <c r="I332" s="87" t="n"/>
      <c r="M332" s="87" t="n"/>
    </row>
    <row r="333">
      <c r="D333" s="87" t="n"/>
      <c r="I333" s="87" t="n"/>
      <c r="M333" s="87" t="n"/>
    </row>
    <row r="334">
      <c r="D334" s="87" t="n"/>
      <c r="I334" s="87" t="n"/>
      <c r="M334" s="87" t="n"/>
    </row>
    <row r="335">
      <c r="D335" s="87" t="n"/>
      <c r="I335" s="87" t="n"/>
      <c r="M335" s="87" t="n"/>
    </row>
    <row r="336">
      <c r="D336" s="87" t="n"/>
      <c r="I336" s="87" t="n"/>
      <c r="M336" s="87" t="n"/>
    </row>
    <row r="337">
      <c r="D337" s="87" t="n"/>
      <c r="I337" s="87" t="n"/>
      <c r="M337" s="87" t="n"/>
    </row>
    <row r="338">
      <c r="D338" s="87" t="n"/>
      <c r="I338" s="87" t="n"/>
      <c r="M338" s="87" t="n"/>
    </row>
    <row r="339">
      <c r="D339" s="87" t="n"/>
      <c r="I339" s="87" t="n"/>
      <c r="M339" s="87" t="n"/>
    </row>
    <row r="340">
      <c r="D340" s="87" t="n"/>
      <c r="I340" s="87" t="n"/>
      <c r="M340" s="87" t="n"/>
    </row>
    <row r="341">
      <c r="D341" s="87" t="n"/>
      <c r="I341" s="87" t="n"/>
      <c r="M341" s="87" t="n"/>
    </row>
    <row r="342">
      <c r="D342" s="87" t="n"/>
      <c r="I342" s="87" t="n"/>
      <c r="M342" s="87" t="n"/>
    </row>
    <row r="343">
      <c r="D343" s="87" t="n"/>
      <c r="I343" s="87" t="n"/>
      <c r="M343" s="87" t="n"/>
    </row>
    <row r="344">
      <c r="D344" s="87" t="n"/>
      <c r="I344" s="87" t="n"/>
      <c r="M344" s="87" t="n"/>
    </row>
    <row r="345">
      <c r="D345" s="87" t="n"/>
      <c r="I345" s="87" t="n"/>
      <c r="M345" s="87" t="n"/>
    </row>
    <row r="346">
      <c r="D346" s="87" t="n"/>
      <c r="I346" s="87" t="n"/>
      <c r="M346" s="87" t="n"/>
    </row>
    <row r="347">
      <c r="D347" s="87" t="n"/>
      <c r="I347" s="87" t="n"/>
      <c r="M347" s="87" t="n"/>
    </row>
    <row r="348">
      <c r="D348" s="87" t="n"/>
      <c r="I348" s="87" t="n"/>
      <c r="M348" s="87" t="n"/>
    </row>
    <row r="349">
      <c r="D349" s="87" t="n"/>
      <c r="I349" s="87" t="n"/>
      <c r="M349" s="87" t="n"/>
    </row>
    <row r="350">
      <c r="D350" s="87" t="n"/>
      <c r="I350" s="87" t="n"/>
      <c r="M350" s="87" t="n"/>
    </row>
    <row r="351">
      <c r="D351" s="87" t="n"/>
      <c r="I351" s="87" t="n"/>
      <c r="M351" s="87" t="n"/>
    </row>
    <row r="352">
      <c r="D352" s="87" t="n"/>
      <c r="I352" s="87" t="n"/>
      <c r="M352" s="87" t="n"/>
    </row>
    <row r="353">
      <c r="D353" s="87" t="n"/>
      <c r="I353" s="87" t="n"/>
      <c r="M353" s="87" t="n"/>
    </row>
    <row r="354">
      <c r="D354" s="87" t="n"/>
      <c r="I354" s="87" t="n"/>
      <c r="M354" s="87" t="n"/>
    </row>
    <row r="355">
      <c r="D355" s="87" t="n"/>
      <c r="I355" s="87" t="n"/>
      <c r="M355" s="87" t="n"/>
    </row>
    <row r="356">
      <c r="D356" s="87" t="n"/>
      <c r="I356" s="87" t="n"/>
      <c r="M356" s="87" t="n"/>
    </row>
    <row r="357">
      <c r="D357" s="87" t="n"/>
      <c r="I357" s="87" t="n"/>
      <c r="M357" s="87" t="n"/>
    </row>
    <row r="358">
      <c r="D358" s="87" t="n"/>
      <c r="I358" s="87" t="n"/>
      <c r="M358" s="87" t="n"/>
    </row>
    <row r="359">
      <c r="D359" s="87" t="n"/>
      <c r="I359" s="87" t="n"/>
      <c r="M359" s="87" t="n"/>
    </row>
    <row r="360">
      <c r="D360" s="87" t="n"/>
      <c r="I360" s="87" t="n"/>
      <c r="M360" s="87" t="n"/>
    </row>
    <row r="361">
      <c r="D361" s="87" t="n"/>
      <c r="I361" s="87" t="n"/>
      <c r="M361" s="87" t="n"/>
    </row>
    <row r="362">
      <c r="D362" s="87" t="n"/>
      <c r="I362" s="87" t="n"/>
      <c r="M362" s="87" t="n"/>
    </row>
    <row r="363">
      <c r="D363" s="87" t="n"/>
      <c r="I363" s="87" t="n"/>
      <c r="M363" s="87" t="n"/>
    </row>
    <row r="364">
      <c r="D364" s="87" t="n"/>
      <c r="I364" s="87" t="n"/>
      <c r="M364" s="87" t="n"/>
    </row>
    <row r="365">
      <c r="D365" s="87" t="n"/>
      <c r="I365" s="87" t="n"/>
      <c r="M365" s="87" t="n"/>
    </row>
    <row r="366">
      <c r="D366" s="87" t="n"/>
      <c r="I366" s="87" t="n"/>
      <c r="M366" s="87" t="n"/>
    </row>
    <row r="367">
      <c r="D367" s="87" t="n"/>
      <c r="I367" s="87" t="n"/>
      <c r="M367" s="87" t="n"/>
    </row>
    <row r="368">
      <c r="D368" s="87" t="n"/>
      <c r="I368" s="87" t="n"/>
      <c r="M368" s="87" t="n"/>
    </row>
    <row r="369">
      <c r="D369" s="87" t="n"/>
      <c r="I369" s="87" t="n"/>
      <c r="M369" s="87" t="n"/>
    </row>
    <row r="370">
      <c r="D370" s="87" t="n"/>
      <c r="I370" s="87" t="n"/>
      <c r="M370" s="87" t="n"/>
    </row>
    <row r="371">
      <c r="D371" s="87" t="n"/>
      <c r="I371" s="87" t="n"/>
      <c r="M371" s="87" t="n"/>
    </row>
    <row r="372">
      <c r="D372" s="87" t="n"/>
      <c r="I372" s="87" t="n"/>
      <c r="M372" s="87" t="n"/>
    </row>
    <row r="373">
      <c r="D373" s="87" t="n"/>
      <c r="I373" s="87" t="n"/>
      <c r="M373" s="87" t="n"/>
    </row>
    <row r="374">
      <c r="D374" s="87" t="n"/>
      <c r="I374" s="87" t="n"/>
      <c r="M374" s="87" t="n"/>
    </row>
    <row r="375">
      <c r="D375" s="87" t="n"/>
      <c r="I375" s="87" t="n"/>
      <c r="M375" s="87" t="n"/>
    </row>
    <row r="376">
      <c r="D376" s="87" t="n"/>
      <c r="I376" s="87" t="n"/>
      <c r="M376" s="87" t="n"/>
    </row>
    <row r="377">
      <c r="D377" s="87" t="n"/>
      <c r="I377" s="87" t="n"/>
      <c r="M377" s="87" t="n"/>
    </row>
    <row r="378">
      <c r="D378" s="87" t="n"/>
      <c r="I378" s="87" t="n"/>
      <c r="M378" s="87" t="n"/>
    </row>
    <row r="379">
      <c r="D379" s="87" t="n"/>
      <c r="I379" s="87" t="n"/>
      <c r="M379" s="87" t="n"/>
    </row>
    <row r="380">
      <c r="D380" s="87" t="n"/>
      <c r="I380" s="87" t="n"/>
      <c r="M380" s="87" t="n"/>
    </row>
    <row r="381">
      <c r="D381" s="87" t="n"/>
      <c r="I381" s="87" t="n"/>
      <c r="M381" s="87" t="n"/>
    </row>
    <row r="382">
      <c r="D382" s="87" t="n"/>
      <c r="I382" s="87" t="n"/>
      <c r="M382" s="87" t="n"/>
    </row>
    <row r="383">
      <c r="D383" s="87" t="n"/>
      <c r="I383" s="87" t="n"/>
      <c r="M383" s="87" t="n"/>
    </row>
    <row r="384">
      <c r="D384" s="87" t="n"/>
      <c r="I384" s="87" t="n"/>
      <c r="M384" s="87" t="n"/>
    </row>
    <row r="385">
      <c r="D385" s="87" t="n"/>
      <c r="I385" s="87" t="n"/>
      <c r="M385" s="87" t="n"/>
    </row>
    <row r="386">
      <c r="D386" s="87" t="n"/>
      <c r="I386" s="87" t="n"/>
      <c r="M386" s="87" t="n"/>
    </row>
    <row r="387">
      <c r="D387" s="87" t="n"/>
      <c r="I387" s="87" t="n"/>
      <c r="M387" s="87" t="n"/>
    </row>
    <row r="388">
      <c r="D388" s="87" t="n"/>
      <c r="I388" s="87" t="n"/>
      <c r="M388" s="87" t="n"/>
    </row>
    <row r="389">
      <c r="D389" s="87" t="n"/>
      <c r="I389" s="87" t="n"/>
      <c r="M389" s="87" t="n"/>
    </row>
    <row r="390">
      <c r="D390" s="87" t="n"/>
      <c r="I390" s="87" t="n"/>
      <c r="M390" s="87" t="n"/>
    </row>
    <row r="391">
      <c r="D391" s="87" t="n"/>
      <c r="I391" s="87" t="n"/>
      <c r="M391" s="87" t="n"/>
    </row>
    <row r="392">
      <c r="D392" s="87" t="n"/>
      <c r="I392" s="87" t="n"/>
      <c r="M392" s="87" t="n"/>
    </row>
    <row r="393">
      <c r="D393" s="87" t="n"/>
      <c r="I393" s="87" t="n"/>
      <c r="M393" s="87" t="n"/>
    </row>
    <row r="394">
      <c r="D394" s="87" t="n"/>
      <c r="I394" s="87" t="n"/>
      <c r="M394" s="87" t="n"/>
    </row>
    <row r="395">
      <c r="D395" s="87" t="n"/>
      <c r="I395" s="87" t="n"/>
      <c r="M395" s="87" t="n"/>
    </row>
    <row r="396">
      <c r="D396" s="87" t="n"/>
      <c r="I396" s="87" t="n"/>
      <c r="M396" s="87" t="n"/>
    </row>
    <row r="397">
      <c r="D397" s="87" t="n"/>
      <c r="I397" s="87" t="n"/>
      <c r="M397" s="87" t="n"/>
    </row>
    <row r="398">
      <c r="D398" s="87" t="n"/>
      <c r="I398" s="87" t="n"/>
      <c r="M398" s="87" t="n"/>
    </row>
    <row r="399">
      <c r="D399" s="87" t="n"/>
      <c r="I399" s="87" t="n"/>
      <c r="M399" s="87" t="n"/>
    </row>
    <row r="400">
      <c r="D400" s="87" t="n"/>
      <c r="I400" s="87" t="n"/>
      <c r="M400" s="87" t="n"/>
    </row>
    <row r="401">
      <c r="D401" s="87" t="n"/>
      <c r="I401" s="87" t="n"/>
      <c r="M401" s="87" t="n"/>
    </row>
    <row r="402">
      <c r="D402" s="87" t="n"/>
      <c r="I402" s="87" t="n"/>
      <c r="M402" s="87" t="n"/>
    </row>
    <row r="403">
      <c r="D403" s="87" t="n"/>
      <c r="I403" s="87" t="n"/>
      <c r="M403" s="87" t="n"/>
    </row>
    <row r="404">
      <c r="D404" s="87" t="n"/>
      <c r="I404" s="87" t="n"/>
      <c r="M404" s="87" t="n"/>
    </row>
    <row r="405">
      <c r="D405" s="87" t="n"/>
      <c r="I405" s="87" t="n"/>
      <c r="M405" s="87" t="n"/>
    </row>
    <row r="406">
      <c r="D406" s="87" t="n"/>
      <c r="I406" s="87" t="n"/>
      <c r="M406" s="87" t="n"/>
    </row>
    <row r="407">
      <c r="D407" s="87" t="n"/>
      <c r="I407" s="87" t="n"/>
      <c r="M407" s="87" t="n"/>
    </row>
    <row r="408">
      <c r="D408" s="87" t="n"/>
      <c r="I408" s="87" t="n"/>
      <c r="M408" s="87" t="n"/>
    </row>
    <row r="409">
      <c r="D409" s="87" t="n"/>
      <c r="I409" s="87" t="n"/>
      <c r="M409" s="87" t="n"/>
    </row>
    <row r="410">
      <c r="D410" s="87" t="n"/>
      <c r="I410" s="87" t="n"/>
      <c r="M410" s="87" t="n"/>
    </row>
    <row r="411">
      <c r="D411" s="87" t="n"/>
      <c r="I411" s="87" t="n"/>
      <c r="M411" s="87" t="n"/>
    </row>
    <row r="412">
      <c r="D412" s="87" t="n"/>
      <c r="I412" s="87" t="n"/>
      <c r="M412" s="87" t="n"/>
    </row>
    <row r="413">
      <c r="D413" s="87" t="n"/>
      <c r="I413" s="87" t="n"/>
      <c r="M413" s="87" t="n"/>
    </row>
    <row r="414">
      <c r="D414" s="87" t="n"/>
      <c r="I414" s="87" t="n"/>
      <c r="M414" s="87" t="n"/>
    </row>
    <row r="415">
      <c r="D415" s="87" t="n"/>
      <c r="I415" s="87" t="n"/>
      <c r="M415" s="87" t="n"/>
    </row>
    <row r="416">
      <c r="D416" s="87" t="n"/>
      <c r="I416" s="87" t="n"/>
      <c r="M416" s="87" t="n"/>
    </row>
    <row r="417">
      <c r="D417" s="87" t="n"/>
      <c r="I417" s="87" t="n"/>
      <c r="M417" s="87" t="n"/>
    </row>
    <row r="418">
      <c r="D418" s="87" t="n"/>
      <c r="I418" s="87" t="n"/>
      <c r="M418" s="87" t="n"/>
    </row>
    <row r="419">
      <c r="D419" s="87" t="n"/>
      <c r="I419" s="87" t="n"/>
      <c r="M419" s="87" t="n"/>
    </row>
    <row r="420">
      <c r="D420" s="87" t="n"/>
      <c r="I420" s="87" t="n"/>
      <c r="M420" s="87" t="n"/>
    </row>
    <row r="421">
      <c r="D421" s="87" t="n"/>
      <c r="I421" s="87" t="n"/>
      <c r="M421" s="87" t="n"/>
    </row>
    <row r="422">
      <c r="D422" s="87" t="n"/>
      <c r="I422" s="87" t="n"/>
      <c r="M422" s="87" t="n"/>
    </row>
    <row r="423">
      <c r="D423" s="87" t="n"/>
      <c r="I423" s="87" t="n"/>
      <c r="M423" s="87" t="n"/>
    </row>
    <row r="424">
      <c r="D424" s="87" t="n"/>
      <c r="I424" s="87" t="n"/>
      <c r="M424" s="87" t="n"/>
    </row>
    <row r="425">
      <c r="D425" s="87" t="n"/>
      <c r="I425" s="87" t="n"/>
      <c r="M425" s="87" t="n"/>
    </row>
    <row r="426">
      <c r="D426" s="87" t="n"/>
      <c r="I426" s="87" t="n"/>
      <c r="M426" s="87" t="n"/>
    </row>
    <row r="427">
      <c r="D427" s="87" t="n"/>
      <c r="I427" s="87" t="n"/>
      <c r="M427" s="87" t="n"/>
    </row>
    <row r="428">
      <c r="D428" s="87" t="n"/>
      <c r="I428" s="87" t="n"/>
      <c r="M428" s="87" t="n"/>
    </row>
    <row r="429">
      <c r="D429" s="87" t="n"/>
      <c r="I429" s="87" t="n"/>
      <c r="M429" s="87" t="n"/>
    </row>
    <row r="430">
      <c r="D430" s="87" t="n"/>
      <c r="I430" s="87" t="n"/>
      <c r="M430" s="87" t="n"/>
    </row>
    <row r="431">
      <c r="D431" s="87" t="n"/>
      <c r="I431" s="87" t="n"/>
      <c r="M431" s="87" t="n"/>
    </row>
    <row r="432">
      <c r="D432" s="87" t="n"/>
      <c r="I432" s="87" t="n"/>
      <c r="M432" s="87" t="n"/>
    </row>
    <row r="433">
      <c r="D433" s="87" t="n"/>
      <c r="I433" s="87" t="n"/>
      <c r="M433" s="87" t="n"/>
    </row>
    <row r="434">
      <c r="D434" s="87" t="n"/>
      <c r="I434" s="87" t="n"/>
      <c r="M434" s="87" t="n"/>
    </row>
    <row r="435">
      <c r="D435" s="87" t="n"/>
      <c r="I435" s="87" t="n"/>
      <c r="M435" s="87" t="n"/>
    </row>
    <row r="436">
      <c r="D436" s="87" t="n"/>
      <c r="I436" s="87" t="n"/>
      <c r="M436" s="87" t="n"/>
    </row>
    <row r="437">
      <c r="D437" s="87" t="n"/>
      <c r="I437" s="87" t="n"/>
      <c r="M437" s="87" t="n"/>
    </row>
    <row r="438">
      <c r="D438" s="87" t="n"/>
      <c r="I438" s="87" t="n"/>
      <c r="M438" s="87" t="n"/>
    </row>
    <row r="439">
      <c r="D439" s="87" t="n"/>
      <c r="I439" s="87" t="n"/>
      <c r="M439" s="87" t="n"/>
    </row>
    <row r="440">
      <c r="D440" s="87" t="n"/>
      <c r="I440" s="87" t="n"/>
      <c r="M440" s="87" t="n"/>
    </row>
    <row r="441">
      <c r="D441" s="87" t="n"/>
      <c r="I441" s="87" t="n"/>
      <c r="M441" s="87" t="n"/>
    </row>
    <row r="442">
      <c r="D442" s="87" t="n"/>
      <c r="I442" s="87" t="n"/>
      <c r="M442" s="87" t="n"/>
    </row>
    <row r="443">
      <c r="D443" s="87" t="n"/>
      <c r="I443" s="87" t="n"/>
      <c r="M443" s="87" t="n"/>
    </row>
    <row r="444">
      <c r="D444" s="87" t="n"/>
      <c r="I444" s="87" t="n"/>
      <c r="M444" s="87" t="n"/>
    </row>
    <row r="445">
      <c r="D445" s="87" t="n"/>
      <c r="I445" s="87" t="n"/>
      <c r="M445" s="87" t="n"/>
    </row>
    <row r="446">
      <c r="D446" s="87" t="n"/>
      <c r="I446" s="87" t="n"/>
      <c r="M446" s="87" t="n"/>
    </row>
    <row r="447">
      <c r="D447" s="87" t="n"/>
      <c r="I447" s="87" t="n"/>
      <c r="M447" s="87" t="n"/>
    </row>
    <row r="448">
      <c r="D448" s="87" t="n"/>
      <c r="I448" s="87" t="n"/>
      <c r="M448" s="87" t="n"/>
    </row>
    <row r="449">
      <c r="D449" s="87" t="n"/>
      <c r="I449" s="87" t="n"/>
      <c r="M449" s="87" t="n"/>
    </row>
    <row r="450">
      <c r="D450" s="87" t="n"/>
      <c r="I450" s="87" t="n"/>
      <c r="M450" s="87" t="n"/>
    </row>
    <row r="451">
      <c r="D451" s="87" t="n"/>
      <c r="I451" s="87" t="n"/>
      <c r="M451" s="87" t="n"/>
    </row>
    <row r="452">
      <c r="D452" s="87" t="n"/>
      <c r="I452" s="87" t="n"/>
      <c r="M452" s="87" t="n"/>
    </row>
    <row r="453">
      <c r="D453" s="87" t="n"/>
      <c r="I453" s="87" t="n"/>
      <c r="M453" s="87" t="n"/>
    </row>
    <row r="454">
      <c r="D454" s="87" t="n"/>
      <c r="I454" s="87" t="n"/>
      <c r="M454" s="87" t="n"/>
    </row>
    <row r="455">
      <c r="D455" s="87" t="n"/>
      <c r="I455" s="87" t="n"/>
      <c r="M455" s="87" t="n"/>
    </row>
    <row r="456">
      <c r="D456" s="87" t="n"/>
      <c r="I456" s="87" t="n"/>
      <c r="M456" s="87" t="n"/>
    </row>
    <row r="457">
      <c r="D457" s="87" t="n"/>
      <c r="I457" s="87" t="n"/>
      <c r="M457" s="87" t="n"/>
    </row>
    <row r="458">
      <c r="D458" s="87" t="n"/>
      <c r="I458" s="87" t="n"/>
      <c r="M458" s="87" t="n"/>
    </row>
    <row r="459">
      <c r="D459" s="87" t="n"/>
      <c r="I459" s="87" t="n"/>
      <c r="M459" s="87" t="n"/>
    </row>
    <row r="460">
      <c r="D460" s="87" t="n"/>
      <c r="I460" s="87" t="n"/>
      <c r="M460" s="87" t="n"/>
    </row>
    <row r="461">
      <c r="D461" s="87" t="n"/>
      <c r="I461" s="87" t="n"/>
      <c r="M461" s="87" t="n"/>
    </row>
    <row r="462">
      <c r="D462" s="87" t="n"/>
      <c r="I462" s="87" t="n"/>
      <c r="M462" s="87" t="n"/>
    </row>
    <row r="463">
      <c r="D463" s="87" t="n"/>
      <c r="I463" s="87" t="n"/>
      <c r="M463" s="87" t="n"/>
    </row>
    <row r="464">
      <c r="D464" s="87" t="n"/>
      <c r="I464" s="87" t="n"/>
      <c r="M464" s="87" t="n"/>
    </row>
    <row r="465">
      <c r="D465" s="87" t="n"/>
      <c r="I465" s="87" t="n"/>
      <c r="M465" s="87" t="n"/>
    </row>
    <row r="466">
      <c r="D466" s="87" t="n"/>
      <c r="I466" s="87" t="n"/>
      <c r="M466" s="87" t="n"/>
    </row>
    <row r="467">
      <c r="D467" s="87" t="n"/>
      <c r="I467" s="87" t="n"/>
      <c r="M467" s="87" t="n"/>
    </row>
    <row r="468">
      <c r="D468" s="87" t="n"/>
      <c r="I468" s="87" t="n"/>
      <c r="M468" s="87" t="n"/>
    </row>
    <row r="469">
      <c r="D469" s="87" t="n"/>
      <c r="I469" s="87" t="n"/>
      <c r="M469" s="87" t="n"/>
    </row>
    <row r="470">
      <c r="D470" s="87" t="n"/>
      <c r="I470" s="87" t="n"/>
      <c r="M470" s="87" t="n"/>
    </row>
    <row r="471">
      <c r="D471" s="87" t="n"/>
      <c r="I471" s="87" t="n"/>
      <c r="M471" s="87" t="n"/>
    </row>
    <row r="472">
      <c r="D472" s="87" t="n"/>
      <c r="I472" s="87" t="n"/>
      <c r="M472" s="87" t="n"/>
    </row>
    <row r="473">
      <c r="D473" s="87" t="n"/>
      <c r="I473" s="87" t="n"/>
      <c r="M473" s="87" t="n"/>
    </row>
    <row r="474">
      <c r="D474" s="87" t="n"/>
      <c r="I474" s="87" t="n"/>
      <c r="M474" s="87" t="n"/>
    </row>
    <row r="475">
      <c r="D475" s="87" t="n"/>
      <c r="I475" s="87" t="n"/>
      <c r="M475" s="87" t="n"/>
    </row>
    <row r="476">
      <c r="D476" s="87" t="n"/>
      <c r="I476" s="87" t="n"/>
      <c r="M476" s="87" t="n"/>
    </row>
    <row r="477">
      <c r="D477" s="87" t="n"/>
      <c r="I477" s="87" t="n"/>
      <c r="M477" s="87" t="n"/>
    </row>
    <row r="478">
      <c r="D478" s="87" t="n"/>
      <c r="I478" s="87" t="n"/>
      <c r="M478" s="87" t="n"/>
    </row>
    <row r="479">
      <c r="D479" s="87" t="n"/>
      <c r="I479" s="87" t="n"/>
      <c r="M479" s="87" t="n"/>
    </row>
    <row r="480">
      <c r="D480" s="87" t="n"/>
      <c r="I480" s="87" t="n"/>
      <c r="M480" s="87" t="n"/>
    </row>
    <row r="481">
      <c r="D481" s="87" t="n"/>
      <c r="I481" s="87" t="n"/>
      <c r="M481" s="87" t="n"/>
    </row>
    <row r="482">
      <c r="D482" s="87" t="n"/>
      <c r="I482" s="87" t="n"/>
      <c r="M482" s="87" t="n"/>
    </row>
    <row r="483">
      <c r="D483" s="87" t="n"/>
      <c r="I483" s="87" t="n"/>
      <c r="M483" s="87" t="n"/>
    </row>
    <row r="484">
      <c r="D484" s="87" t="n"/>
      <c r="I484" s="87" t="n"/>
      <c r="M484" s="87" t="n"/>
    </row>
    <row r="485">
      <c r="D485" s="87" t="n"/>
      <c r="I485" s="87" t="n"/>
      <c r="M485" s="87" t="n"/>
    </row>
    <row r="486">
      <c r="D486" s="87" t="n"/>
      <c r="I486" s="87" t="n"/>
      <c r="M486" s="87" t="n"/>
    </row>
    <row r="487">
      <c r="D487" s="87" t="n"/>
      <c r="I487" s="87" t="n"/>
      <c r="M487" s="87" t="n"/>
    </row>
    <row r="488">
      <c r="D488" s="87" t="n"/>
      <c r="I488" s="87" t="n"/>
      <c r="M488" s="87" t="n"/>
    </row>
    <row r="489">
      <c r="D489" s="87" t="n"/>
      <c r="I489" s="87" t="n"/>
      <c r="M489" s="87" t="n"/>
    </row>
    <row r="490">
      <c r="D490" s="87" t="n"/>
      <c r="I490" s="87" t="n"/>
      <c r="M490" s="87" t="n"/>
    </row>
    <row r="491">
      <c r="D491" s="87" t="n"/>
      <c r="I491" s="87" t="n"/>
      <c r="M491" s="87" t="n"/>
    </row>
    <row r="492">
      <c r="D492" s="87" t="n"/>
      <c r="I492" s="87" t="n"/>
      <c r="M492" s="87" t="n"/>
    </row>
    <row r="493">
      <c r="D493" s="87" t="n"/>
      <c r="I493" s="87" t="n"/>
      <c r="M493" s="87" t="n"/>
    </row>
    <row r="494">
      <c r="D494" s="87" t="n"/>
      <c r="I494" s="87" t="n"/>
      <c r="M494" s="87" t="n"/>
    </row>
    <row r="495">
      <c r="D495" s="87" t="n"/>
      <c r="I495" s="87" t="n"/>
      <c r="M495" s="87" t="n"/>
    </row>
    <row r="496">
      <c r="D496" s="87" t="n"/>
      <c r="I496" s="87" t="n"/>
      <c r="M496" s="87" t="n"/>
    </row>
    <row r="497">
      <c r="D497" s="87" t="n"/>
      <c r="I497" s="87" t="n"/>
      <c r="M497" s="87" t="n"/>
    </row>
    <row r="498">
      <c r="D498" s="87" t="n"/>
      <c r="I498" s="87" t="n"/>
      <c r="M498" s="87" t="n"/>
    </row>
    <row r="499">
      <c r="D499" s="87" t="n"/>
      <c r="I499" s="87" t="n"/>
      <c r="M499" s="87" t="n"/>
    </row>
    <row r="500">
      <c r="D500" s="87" t="n"/>
      <c r="I500" s="87" t="n"/>
      <c r="M500" s="87" t="n"/>
    </row>
    <row r="501">
      <c r="D501" s="87" t="n"/>
      <c r="I501" s="87" t="n"/>
      <c r="M501" s="87" t="n"/>
    </row>
    <row r="502">
      <c r="D502" s="87" t="n"/>
      <c r="I502" s="87" t="n"/>
      <c r="M502" s="87" t="n"/>
    </row>
    <row r="503">
      <c r="D503" s="87" t="n"/>
      <c r="I503" s="87" t="n"/>
      <c r="M503" s="87" t="n"/>
    </row>
    <row r="504">
      <c r="D504" s="87" t="n"/>
      <c r="I504" s="87" t="n"/>
      <c r="M504" s="87" t="n"/>
    </row>
    <row r="505">
      <c r="D505" s="87" t="n"/>
      <c r="I505" s="87" t="n"/>
      <c r="M505" s="87" t="n"/>
    </row>
    <row r="506">
      <c r="D506" s="87" t="n"/>
      <c r="I506" s="87" t="n"/>
      <c r="M506" s="87" t="n"/>
    </row>
    <row r="507">
      <c r="D507" s="87" t="n"/>
      <c r="I507" s="87" t="n"/>
      <c r="M507" s="87" t="n"/>
    </row>
    <row r="508">
      <c r="D508" s="87" t="n"/>
      <c r="I508" s="87" t="n"/>
      <c r="M508" s="87" t="n"/>
    </row>
    <row r="509">
      <c r="D509" s="87" t="n"/>
      <c r="I509" s="87" t="n"/>
      <c r="M509" s="87" t="n"/>
    </row>
    <row r="510">
      <c r="D510" s="87" t="n"/>
      <c r="I510" s="87" t="n"/>
      <c r="M510" s="87" t="n"/>
    </row>
    <row r="511">
      <c r="D511" s="87" t="n"/>
      <c r="I511" s="87" t="n"/>
      <c r="M511" s="87" t="n"/>
    </row>
    <row r="512">
      <c r="D512" s="87" t="n"/>
      <c r="I512" s="87" t="n"/>
      <c r="M512" s="87" t="n"/>
    </row>
    <row r="513">
      <c r="D513" s="87" t="n"/>
      <c r="I513" s="87" t="n"/>
      <c r="M513" s="87" t="n"/>
    </row>
    <row r="514">
      <c r="D514" s="87" t="n"/>
      <c r="I514" s="87" t="n"/>
      <c r="M514" s="87" t="n"/>
    </row>
    <row r="515">
      <c r="D515" s="87" t="n"/>
      <c r="I515" s="87" t="n"/>
      <c r="M515" s="87" t="n"/>
    </row>
    <row r="516">
      <c r="D516" s="87" t="n"/>
      <c r="I516" s="87" t="n"/>
      <c r="M516" s="87" t="n"/>
    </row>
    <row r="517">
      <c r="D517" s="87" t="n"/>
      <c r="I517" s="87" t="n"/>
      <c r="M517" s="87" t="n"/>
    </row>
    <row r="518">
      <c r="D518" s="87" t="n"/>
      <c r="I518" s="87" t="n"/>
      <c r="M518" s="87" t="n"/>
    </row>
    <row r="519">
      <c r="D519" s="87" t="n"/>
      <c r="I519" s="87" t="n"/>
      <c r="M519" s="87" t="n"/>
    </row>
    <row r="520">
      <c r="D520" s="87" t="n"/>
      <c r="I520" s="87" t="n"/>
      <c r="M520" s="87" t="n"/>
    </row>
    <row r="521">
      <c r="D521" s="87" t="n"/>
      <c r="I521" s="87" t="n"/>
      <c r="M521" s="87" t="n"/>
    </row>
    <row r="522">
      <c r="D522" s="87" t="n"/>
      <c r="I522" s="87" t="n"/>
      <c r="M522" s="87" t="n"/>
    </row>
    <row r="523">
      <c r="D523" s="87" t="n"/>
      <c r="I523" s="87" t="n"/>
      <c r="M523" s="87" t="n"/>
    </row>
    <row r="524">
      <c r="D524" s="87" t="n"/>
      <c r="I524" s="87" t="n"/>
      <c r="M524" s="87" t="n"/>
    </row>
    <row r="525">
      <c r="D525" s="87" t="n"/>
      <c r="I525" s="87" t="n"/>
      <c r="M525" s="87" t="n"/>
    </row>
    <row r="526">
      <c r="D526" s="87" t="n"/>
      <c r="I526" s="87" t="n"/>
      <c r="M526" s="87" t="n"/>
    </row>
    <row r="527">
      <c r="D527" s="87" t="n"/>
      <c r="I527" s="87" t="n"/>
      <c r="M527" s="87" t="n"/>
    </row>
    <row r="528">
      <c r="D528" s="87" t="n"/>
      <c r="I528" s="87" t="n"/>
      <c r="M528" s="87" t="n"/>
    </row>
    <row r="529">
      <c r="D529" s="87" t="n"/>
      <c r="I529" s="87" t="n"/>
      <c r="M529" s="87" t="n"/>
    </row>
    <row r="530">
      <c r="D530" s="87" t="n"/>
      <c r="I530" s="87" t="n"/>
      <c r="M530" s="87" t="n"/>
    </row>
    <row r="531">
      <c r="D531" s="87" t="n"/>
      <c r="I531" s="87" t="n"/>
      <c r="M531" s="87" t="n"/>
    </row>
    <row r="532">
      <c r="D532" s="87" t="n"/>
      <c r="I532" s="87" t="n"/>
      <c r="M532" s="87" t="n"/>
    </row>
    <row r="533">
      <c r="D533" s="87" t="n"/>
      <c r="I533" s="87" t="n"/>
      <c r="M533" s="87" t="n"/>
    </row>
    <row r="534">
      <c r="D534" s="87" t="n"/>
      <c r="I534" s="87" t="n"/>
      <c r="M534" s="87" t="n"/>
    </row>
    <row r="535">
      <c r="D535" s="87" t="n"/>
      <c r="I535" s="87" t="n"/>
      <c r="M535" s="87" t="n"/>
    </row>
    <row r="536">
      <c r="D536" s="87" t="n"/>
      <c r="I536" s="87" t="n"/>
      <c r="M536" s="87" t="n"/>
    </row>
    <row r="537">
      <c r="D537" s="87" t="n"/>
      <c r="I537" s="87" t="n"/>
      <c r="M537" s="87" t="n"/>
    </row>
    <row r="538">
      <c r="D538" s="87" t="n"/>
      <c r="I538" s="87" t="n"/>
      <c r="M538" s="87" t="n"/>
    </row>
    <row r="539">
      <c r="D539" s="87" t="n"/>
      <c r="I539" s="87" t="n"/>
      <c r="M539" s="87" t="n"/>
    </row>
    <row r="540">
      <c r="D540" s="87" t="n"/>
      <c r="I540" s="87" t="n"/>
      <c r="M540" s="87" t="n"/>
    </row>
    <row r="541">
      <c r="D541" s="87" t="n"/>
      <c r="I541" s="87" t="n"/>
      <c r="M541" s="87" t="n"/>
    </row>
    <row r="542">
      <c r="D542" s="87" t="n"/>
      <c r="I542" s="87" t="n"/>
      <c r="M542" s="87" t="n"/>
    </row>
    <row r="543">
      <c r="D543" s="87" t="n"/>
      <c r="I543" s="87" t="n"/>
      <c r="M543" s="87" t="n"/>
    </row>
    <row r="544">
      <c r="D544" s="87" t="n"/>
      <c r="I544" s="87" t="n"/>
      <c r="M544" s="87" t="n"/>
    </row>
    <row r="545">
      <c r="D545" s="87" t="n"/>
      <c r="I545" s="87" t="n"/>
      <c r="M545" s="87" t="n"/>
    </row>
    <row r="546">
      <c r="D546" s="87" t="n"/>
      <c r="I546" s="87" t="n"/>
      <c r="M546" s="87" t="n"/>
    </row>
    <row r="547">
      <c r="D547" s="87" t="n"/>
      <c r="I547" s="87" t="n"/>
      <c r="M547" s="87" t="n"/>
    </row>
    <row r="548">
      <c r="D548" s="87" t="n"/>
      <c r="I548" s="87" t="n"/>
      <c r="M548" s="87" t="n"/>
    </row>
    <row r="549">
      <c r="D549" s="87" t="n"/>
      <c r="I549" s="87" t="n"/>
      <c r="M549" s="87" t="n"/>
    </row>
    <row r="550">
      <c r="D550" s="87" t="n"/>
      <c r="I550" s="87" t="n"/>
      <c r="M550" s="87" t="n"/>
    </row>
    <row r="551">
      <c r="D551" s="87" t="n"/>
      <c r="I551" s="87" t="n"/>
      <c r="M551" s="87" t="n"/>
    </row>
    <row r="552">
      <c r="D552" s="87" t="n"/>
      <c r="I552" s="87" t="n"/>
      <c r="M552" s="87" t="n"/>
    </row>
    <row r="553">
      <c r="D553" s="87" t="n"/>
      <c r="I553" s="87" t="n"/>
      <c r="M553" s="87" t="n"/>
    </row>
    <row r="554">
      <c r="D554" s="87" t="n"/>
      <c r="I554" s="87" t="n"/>
      <c r="M554" s="87" t="n"/>
    </row>
    <row r="555">
      <c r="D555" s="87" t="n"/>
      <c r="I555" s="87" t="n"/>
      <c r="M555" s="87" t="n"/>
    </row>
    <row r="556">
      <c r="D556" s="87" t="n"/>
      <c r="I556" s="87" t="n"/>
      <c r="M556" s="87" t="n"/>
    </row>
    <row r="557">
      <c r="D557" s="87" t="n"/>
      <c r="I557" s="87" t="n"/>
      <c r="M557" s="87" t="n"/>
    </row>
    <row r="558">
      <c r="D558" s="87" t="n"/>
      <c r="I558" s="87" t="n"/>
      <c r="M558" s="87" t="n"/>
    </row>
    <row r="559">
      <c r="D559" s="87" t="n"/>
      <c r="I559" s="87" t="n"/>
      <c r="M559" s="87" t="n"/>
    </row>
    <row r="560">
      <c r="D560" s="87" t="n"/>
      <c r="I560" s="87" t="n"/>
      <c r="M560" s="87" t="n"/>
    </row>
    <row r="561">
      <c r="D561" s="87" t="n"/>
      <c r="I561" s="87" t="n"/>
      <c r="M561" s="87" t="n"/>
    </row>
    <row r="562">
      <c r="D562" s="87" t="n"/>
      <c r="I562" s="87" t="n"/>
      <c r="M562" s="87" t="n"/>
    </row>
    <row r="563">
      <c r="D563" s="87" t="n"/>
      <c r="I563" s="87" t="n"/>
      <c r="M563" s="87" t="n"/>
    </row>
    <row r="564">
      <c r="D564" s="87" t="n"/>
      <c r="I564" s="87" t="n"/>
      <c r="M564" s="87" t="n"/>
    </row>
    <row r="565">
      <c r="D565" s="87" t="n"/>
      <c r="I565" s="87" t="n"/>
      <c r="M565" s="87" t="n"/>
    </row>
    <row r="566">
      <c r="D566" s="87" t="n"/>
      <c r="I566" s="87" t="n"/>
      <c r="M566" s="87" t="n"/>
    </row>
    <row r="567">
      <c r="D567" s="87" t="n"/>
      <c r="I567" s="87" t="n"/>
      <c r="M567" s="87" t="n"/>
    </row>
    <row r="568">
      <c r="D568" s="87" t="n"/>
      <c r="I568" s="87" t="n"/>
      <c r="M568" s="87" t="n"/>
    </row>
    <row r="569">
      <c r="D569" s="87" t="n"/>
      <c r="I569" s="87" t="n"/>
      <c r="M569" s="87" t="n"/>
    </row>
    <row r="570">
      <c r="D570" s="87" t="n"/>
      <c r="I570" s="87" t="n"/>
      <c r="M570" s="87" t="n"/>
    </row>
    <row r="571">
      <c r="D571" s="87" t="n"/>
      <c r="I571" s="87" t="n"/>
      <c r="M571" s="87" t="n"/>
    </row>
    <row r="572">
      <c r="D572" s="87" t="n"/>
      <c r="I572" s="87" t="n"/>
      <c r="M572" s="87" t="n"/>
    </row>
    <row r="573">
      <c r="D573" s="87" t="n"/>
      <c r="I573" s="87" t="n"/>
      <c r="M573" s="87" t="n"/>
    </row>
    <row r="574">
      <c r="D574" s="87" t="n"/>
      <c r="I574" s="87" t="n"/>
      <c r="M574" s="87" t="n"/>
    </row>
    <row r="575">
      <c r="D575" s="87" t="n"/>
      <c r="I575" s="87" t="n"/>
      <c r="M575" s="87" t="n"/>
    </row>
    <row r="576">
      <c r="D576" s="87" t="n"/>
      <c r="I576" s="87" t="n"/>
      <c r="M576" s="87" t="n"/>
    </row>
    <row r="577">
      <c r="D577" s="87" t="n"/>
      <c r="I577" s="87" t="n"/>
      <c r="M577" s="87" t="n"/>
    </row>
    <row r="578">
      <c r="D578" s="87" t="n"/>
      <c r="I578" s="87" t="n"/>
      <c r="M578" s="87" t="n"/>
    </row>
    <row r="579">
      <c r="D579" s="87" t="n"/>
      <c r="I579" s="87" t="n"/>
      <c r="M579" s="87" t="n"/>
    </row>
    <row r="580">
      <c r="D580" s="87" t="n"/>
      <c r="I580" s="87" t="n"/>
      <c r="M580" s="87" t="n"/>
    </row>
    <row r="581">
      <c r="D581" s="87" t="n"/>
      <c r="I581" s="87" t="n"/>
      <c r="M581" s="87" t="n"/>
    </row>
    <row r="582">
      <c r="D582" s="87" t="n"/>
      <c r="I582" s="87" t="n"/>
      <c r="M582" s="87" t="n"/>
    </row>
    <row r="583">
      <c r="D583" s="87" t="n"/>
      <c r="I583" s="87" t="n"/>
      <c r="M583" s="87" t="n"/>
    </row>
    <row r="584">
      <c r="D584" s="87" t="n"/>
      <c r="I584" s="87" t="n"/>
      <c r="M584" s="87" t="n"/>
    </row>
    <row r="585">
      <c r="D585" s="87" t="n"/>
      <c r="I585" s="87" t="n"/>
      <c r="M585" s="87" t="n"/>
    </row>
    <row r="586">
      <c r="D586" s="87" t="n"/>
      <c r="I586" s="87" t="n"/>
      <c r="M586" s="87" t="n"/>
    </row>
    <row r="587">
      <c r="D587" s="87" t="n"/>
      <c r="I587" s="87" t="n"/>
      <c r="M587" s="87" t="n"/>
    </row>
    <row r="588">
      <c r="D588" s="87" t="n"/>
      <c r="I588" s="87" t="n"/>
      <c r="M588" s="87" t="n"/>
    </row>
    <row r="589">
      <c r="D589" s="87" t="n"/>
      <c r="I589" s="87" t="n"/>
      <c r="M589" s="87" t="n"/>
    </row>
    <row r="590">
      <c r="D590" s="87" t="n"/>
      <c r="I590" s="87" t="n"/>
      <c r="M590" s="87" t="n"/>
    </row>
    <row r="591">
      <c r="D591" s="87" t="n"/>
      <c r="I591" s="87" t="n"/>
      <c r="M591" s="87" t="n"/>
    </row>
    <row r="592">
      <c r="D592" s="87" t="n"/>
      <c r="I592" s="87" t="n"/>
      <c r="M592" s="87" t="n"/>
    </row>
    <row r="593">
      <c r="D593" s="87" t="n"/>
      <c r="I593" s="87" t="n"/>
      <c r="M593" s="87" t="n"/>
    </row>
    <row r="594">
      <c r="D594" s="87" t="n"/>
      <c r="I594" s="87" t="n"/>
      <c r="M594" s="87" t="n"/>
    </row>
    <row r="595">
      <c r="D595" s="87" t="n"/>
      <c r="I595" s="87" t="n"/>
      <c r="M595" s="87" t="n"/>
    </row>
    <row r="596">
      <c r="D596" s="87" t="n"/>
      <c r="I596" s="87" t="n"/>
      <c r="M596" s="87" t="n"/>
    </row>
    <row r="597">
      <c r="D597" s="87" t="n"/>
      <c r="I597" s="87" t="n"/>
      <c r="M597" s="87" t="n"/>
    </row>
    <row r="598">
      <c r="D598" s="87" t="n"/>
      <c r="I598" s="87" t="n"/>
      <c r="M598" s="87" t="n"/>
    </row>
    <row r="599">
      <c r="D599" s="87" t="n"/>
      <c r="I599" s="87" t="n"/>
      <c r="M599" s="87" t="n"/>
    </row>
    <row r="600">
      <c r="D600" s="87" t="n"/>
      <c r="I600" s="87" t="n"/>
      <c r="M600" s="87" t="n"/>
    </row>
    <row r="601">
      <c r="D601" s="87" t="n"/>
      <c r="I601" s="87" t="n"/>
      <c r="M601" s="87" t="n"/>
    </row>
    <row r="602">
      <c r="D602" s="87" t="n"/>
      <c r="I602" s="87" t="n"/>
      <c r="M602" s="87" t="n"/>
    </row>
    <row r="603">
      <c r="D603" s="87" t="n"/>
      <c r="I603" s="87" t="n"/>
      <c r="M603" s="87" t="n"/>
    </row>
    <row r="604">
      <c r="D604" s="87" t="n"/>
      <c r="I604" s="87" t="n"/>
      <c r="M604" s="87" t="n"/>
    </row>
    <row r="605">
      <c r="D605" s="87" t="n"/>
      <c r="I605" s="87" t="n"/>
      <c r="M605" s="87" t="n"/>
    </row>
    <row r="606">
      <c r="D606" s="87" t="n"/>
      <c r="I606" s="87" t="n"/>
      <c r="M606" s="87" t="n"/>
    </row>
    <row r="607">
      <c r="D607" s="87" t="n"/>
      <c r="I607" s="87" t="n"/>
      <c r="M607" s="87" t="n"/>
    </row>
    <row r="608">
      <c r="D608" s="87" t="n"/>
      <c r="I608" s="87" t="n"/>
      <c r="M608" s="87" t="n"/>
    </row>
    <row r="609">
      <c r="D609" s="87" t="n"/>
      <c r="I609" s="87" t="n"/>
      <c r="M609" s="87" t="n"/>
    </row>
    <row r="610">
      <c r="D610" s="87" t="n"/>
      <c r="I610" s="87" t="n"/>
      <c r="M610" s="87" t="n"/>
    </row>
    <row r="611">
      <c r="D611" s="87" t="n"/>
      <c r="I611" s="87" t="n"/>
      <c r="M611" s="87" t="n"/>
    </row>
    <row r="612">
      <c r="D612" s="87" t="n"/>
      <c r="I612" s="87" t="n"/>
      <c r="M612" s="87" t="n"/>
    </row>
    <row r="613">
      <c r="D613" s="87" t="n"/>
      <c r="I613" s="87" t="n"/>
      <c r="M613" s="87" t="n"/>
    </row>
    <row r="614">
      <c r="D614" s="87" t="n"/>
      <c r="I614" s="87" t="n"/>
      <c r="M614" s="87" t="n"/>
    </row>
    <row r="615">
      <c r="D615" s="87" t="n"/>
      <c r="I615" s="87" t="n"/>
      <c r="M615" s="87" t="n"/>
    </row>
    <row r="616">
      <c r="D616" s="87" t="n"/>
      <c r="I616" s="87" t="n"/>
      <c r="M616" s="87" t="n"/>
    </row>
    <row r="617">
      <c r="D617" s="87" t="n"/>
      <c r="I617" s="87" t="n"/>
      <c r="M617" s="87" t="n"/>
    </row>
    <row r="618">
      <c r="D618" s="87" t="n"/>
      <c r="I618" s="87" t="n"/>
      <c r="M618" s="87" t="n"/>
    </row>
    <row r="619">
      <c r="D619" s="87" t="n"/>
      <c r="I619" s="87" t="n"/>
      <c r="M619" s="87" t="n"/>
    </row>
    <row r="620">
      <c r="D620" s="87" t="n"/>
      <c r="I620" s="87" t="n"/>
      <c r="M620" s="87" t="n"/>
    </row>
    <row r="621">
      <c r="D621" s="87" t="n"/>
      <c r="I621" s="87" t="n"/>
      <c r="M621" s="87" t="n"/>
    </row>
    <row r="622">
      <c r="D622" s="87" t="n"/>
      <c r="I622" s="87" t="n"/>
      <c r="M622" s="87" t="n"/>
    </row>
    <row r="623">
      <c r="D623" s="87" t="n"/>
      <c r="I623" s="87" t="n"/>
      <c r="M623" s="87" t="n"/>
    </row>
    <row r="624">
      <c r="D624" s="87" t="n"/>
      <c r="I624" s="87" t="n"/>
      <c r="M624" s="87" t="n"/>
    </row>
    <row r="625">
      <c r="D625" s="87" t="n"/>
      <c r="I625" s="87" t="n"/>
      <c r="M625" s="87" t="n"/>
    </row>
    <row r="626">
      <c r="D626" s="87" t="n"/>
      <c r="I626" s="87" t="n"/>
      <c r="M626" s="87" t="n"/>
    </row>
    <row r="627">
      <c r="D627" s="87" t="n"/>
      <c r="I627" s="87" t="n"/>
      <c r="M627" s="87" t="n"/>
    </row>
    <row r="628">
      <c r="D628" s="87" t="n"/>
      <c r="I628" s="87" t="n"/>
      <c r="M628" s="87" t="n"/>
    </row>
    <row r="629">
      <c r="D629" s="87" t="n"/>
      <c r="I629" s="87" t="n"/>
      <c r="M629" s="87" t="n"/>
    </row>
    <row r="630">
      <c r="D630" s="87" t="n"/>
      <c r="I630" s="87" t="n"/>
      <c r="M630" s="87" t="n"/>
    </row>
    <row r="631">
      <c r="D631" s="87" t="n"/>
      <c r="I631" s="87" t="n"/>
      <c r="M631" s="87" t="n"/>
    </row>
    <row r="632">
      <c r="D632" s="87" t="n"/>
      <c r="I632" s="87" t="n"/>
      <c r="M632" s="87" t="n"/>
    </row>
    <row r="633">
      <c r="D633" s="87" t="n"/>
      <c r="I633" s="87" t="n"/>
      <c r="M633" s="87" t="n"/>
    </row>
    <row r="634">
      <c r="D634" s="87" t="n"/>
      <c r="I634" s="87" t="n"/>
      <c r="M634" s="87" t="n"/>
    </row>
    <row r="635">
      <c r="D635" s="87" t="n"/>
      <c r="I635" s="87" t="n"/>
      <c r="M635" s="87" t="n"/>
    </row>
    <row r="636">
      <c r="D636" s="87" t="n"/>
      <c r="I636" s="87" t="n"/>
      <c r="M636" s="87" t="n"/>
    </row>
    <row r="637">
      <c r="D637" s="87" t="n"/>
      <c r="I637" s="87" t="n"/>
      <c r="M637" s="87" t="n"/>
    </row>
    <row r="638">
      <c r="D638" s="87" t="n"/>
      <c r="I638" s="87" t="n"/>
      <c r="M638" s="87" t="n"/>
    </row>
    <row r="639">
      <c r="D639" s="87" t="n"/>
      <c r="I639" s="87" t="n"/>
      <c r="M639" s="87" t="n"/>
    </row>
    <row r="640">
      <c r="D640" s="87" t="n"/>
      <c r="I640" s="87" t="n"/>
      <c r="M640" s="87" t="n"/>
    </row>
    <row r="641">
      <c r="D641" s="87" t="n"/>
      <c r="I641" s="87" t="n"/>
      <c r="M641" s="87" t="n"/>
    </row>
    <row r="642">
      <c r="D642" s="87" t="n"/>
      <c r="I642" s="87" t="n"/>
      <c r="M642" s="87" t="n"/>
    </row>
    <row r="643">
      <c r="D643" s="87" t="n"/>
      <c r="I643" s="87" t="n"/>
      <c r="M643" s="87" t="n"/>
    </row>
    <row r="644">
      <c r="D644" s="87" t="n"/>
      <c r="I644" s="87" t="n"/>
      <c r="M644" s="87" t="n"/>
    </row>
    <row r="645">
      <c r="D645" s="87" t="n"/>
      <c r="I645" s="87" t="n"/>
      <c r="M645" s="87" t="n"/>
    </row>
    <row r="646">
      <c r="D646" s="87" t="n"/>
      <c r="I646" s="87" t="n"/>
      <c r="M646" s="87" t="n"/>
    </row>
    <row r="647">
      <c r="D647" s="87" t="n"/>
      <c r="I647" s="87" t="n"/>
      <c r="M647" s="87" t="n"/>
    </row>
    <row r="648">
      <c r="D648" s="87" t="n"/>
      <c r="I648" s="87" t="n"/>
      <c r="M648" s="87" t="n"/>
    </row>
    <row r="649">
      <c r="D649" s="87" t="n"/>
      <c r="I649" s="87" t="n"/>
      <c r="M649" s="87" t="n"/>
    </row>
    <row r="650">
      <c r="D650" s="87" t="n"/>
      <c r="I650" s="87" t="n"/>
      <c r="M650" s="87" t="n"/>
    </row>
    <row r="651">
      <c r="D651" s="87" t="n"/>
      <c r="I651" s="87" t="n"/>
      <c r="M651" s="87" t="n"/>
    </row>
    <row r="652">
      <c r="D652" s="87" t="n"/>
      <c r="I652" s="87" t="n"/>
      <c r="M652" s="87" t="n"/>
    </row>
    <row r="653">
      <c r="D653" s="87" t="n"/>
      <c r="I653" s="87" t="n"/>
      <c r="M653" s="87" t="n"/>
    </row>
    <row r="654">
      <c r="D654" s="87" t="n"/>
      <c r="I654" s="87" t="n"/>
      <c r="M654" s="87" t="n"/>
    </row>
    <row r="655">
      <c r="D655" s="87" t="n"/>
      <c r="I655" s="87" t="n"/>
      <c r="M655" s="87" t="n"/>
    </row>
    <row r="656">
      <c r="D656" s="87" t="n"/>
      <c r="I656" s="87" t="n"/>
      <c r="M656" s="87" t="n"/>
    </row>
    <row r="657">
      <c r="D657" s="87" t="n"/>
      <c r="I657" s="87" t="n"/>
      <c r="M657" s="87" t="n"/>
    </row>
    <row r="658">
      <c r="D658" s="87" t="n"/>
      <c r="I658" s="87" t="n"/>
      <c r="M658" s="87" t="n"/>
    </row>
    <row r="659">
      <c r="D659" s="87" t="n"/>
      <c r="I659" s="87" t="n"/>
      <c r="M659" s="87" t="n"/>
    </row>
    <row r="660">
      <c r="D660" s="87" t="n"/>
      <c r="I660" s="87" t="n"/>
      <c r="M660" s="87" t="n"/>
    </row>
    <row r="661">
      <c r="D661" s="87" t="n"/>
      <c r="I661" s="87" t="n"/>
      <c r="M661" s="87" t="n"/>
    </row>
    <row r="662">
      <c r="D662" s="87" t="n"/>
      <c r="I662" s="87" t="n"/>
      <c r="M662" s="87" t="n"/>
    </row>
    <row r="663">
      <c r="D663" s="87" t="n"/>
      <c r="I663" s="87" t="n"/>
      <c r="M663" s="87" t="n"/>
    </row>
    <row r="664">
      <c r="D664" s="87" t="n"/>
      <c r="I664" s="87" t="n"/>
      <c r="M664" s="87" t="n"/>
    </row>
    <row r="665">
      <c r="D665" s="87" t="n"/>
      <c r="I665" s="87" t="n"/>
      <c r="M665" s="87" t="n"/>
    </row>
    <row r="666">
      <c r="D666" s="87" t="n"/>
      <c r="I666" s="87" t="n"/>
      <c r="M666" s="87" t="n"/>
    </row>
    <row r="667">
      <c r="D667" s="87" t="n"/>
      <c r="I667" s="87" t="n"/>
      <c r="M667" s="87" t="n"/>
    </row>
    <row r="668">
      <c r="D668" s="87" t="n"/>
      <c r="I668" s="87" t="n"/>
      <c r="M668" s="87" t="n"/>
    </row>
    <row r="669">
      <c r="D669" s="87" t="n"/>
      <c r="I669" s="87" t="n"/>
      <c r="M669" s="87" t="n"/>
    </row>
    <row r="670">
      <c r="D670" s="87" t="n"/>
      <c r="I670" s="87" t="n"/>
      <c r="M670" s="87" t="n"/>
    </row>
    <row r="671">
      <c r="D671" s="87" t="n"/>
      <c r="I671" s="87" t="n"/>
      <c r="M671" s="87" t="n"/>
    </row>
    <row r="672">
      <c r="D672" s="87" t="n"/>
      <c r="I672" s="87" t="n"/>
      <c r="M672" s="87" t="n"/>
    </row>
    <row r="673">
      <c r="D673" s="87" t="n"/>
      <c r="I673" s="87" t="n"/>
      <c r="M673" s="87" t="n"/>
    </row>
    <row r="674">
      <c r="D674" s="87" t="n"/>
      <c r="I674" s="87" t="n"/>
      <c r="M674" s="87" t="n"/>
    </row>
    <row r="675">
      <c r="D675" s="87" t="n"/>
      <c r="I675" s="87" t="n"/>
      <c r="M675" s="87" t="n"/>
    </row>
    <row r="676">
      <c r="D676" s="87" t="n"/>
      <c r="I676" s="87" t="n"/>
      <c r="M676" s="87" t="n"/>
    </row>
    <row r="677">
      <c r="D677" s="87" t="n"/>
      <c r="I677" s="87" t="n"/>
      <c r="M677" s="87" t="n"/>
    </row>
    <row r="678">
      <c r="D678" s="87" t="n"/>
      <c r="I678" s="87" t="n"/>
      <c r="M678" s="87" t="n"/>
    </row>
    <row r="679">
      <c r="D679" s="87" t="n"/>
      <c r="I679" s="87" t="n"/>
      <c r="M679" s="87" t="n"/>
    </row>
    <row r="680">
      <c r="D680" s="87" t="n"/>
      <c r="I680" s="87" t="n"/>
      <c r="M680" s="87" t="n"/>
    </row>
    <row r="681">
      <c r="D681" s="87" t="n"/>
      <c r="I681" s="87" t="n"/>
      <c r="M681" s="87" t="n"/>
    </row>
    <row r="682">
      <c r="D682" s="87" t="n"/>
      <c r="I682" s="87" t="n"/>
      <c r="M682" s="87" t="n"/>
    </row>
    <row r="683">
      <c r="D683" s="87" t="n"/>
      <c r="I683" s="87" t="n"/>
      <c r="M683" s="87" t="n"/>
    </row>
    <row r="684">
      <c r="D684" s="87" t="n"/>
      <c r="I684" s="87" t="n"/>
      <c r="M684" s="87" t="n"/>
    </row>
    <row r="685">
      <c r="D685" s="87" t="n"/>
      <c r="I685" s="87" t="n"/>
      <c r="M685" s="87" t="n"/>
    </row>
    <row r="686">
      <c r="D686" s="87" t="n"/>
      <c r="I686" s="87" t="n"/>
      <c r="M686" s="87" t="n"/>
    </row>
    <row r="687">
      <c r="D687" s="87" t="n"/>
      <c r="I687" s="87" t="n"/>
      <c r="M687" s="87" t="n"/>
    </row>
    <row r="688">
      <c r="D688" s="87" t="n"/>
      <c r="I688" s="87" t="n"/>
      <c r="M688" s="87" t="n"/>
    </row>
    <row r="689">
      <c r="D689" s="87" t="n"/>
      <c r="I689" s="87" t="n"/>
      <c r="M689" s="87" t="n"/>
    </row>
    <row r="690">
      <c r="D690" s="87" t="n"/>
      <c r="I690" s="87" t="n"/>
      <c r="M690" s="87" t="n"/>
    </row>
    <row r="691">
      <c r="D691" s="87" t="n"/>
      <c r="I691" s="87" t="n"/>
      <c r="M691" s="87" t="n"/>
    </row>
    <row r="692">
      <c r="D692" s="87" t="n"/>
      <c r="I692" s="87" t="n"/>
      <c r="M692" s="87" t="n"/>
    </row>
    <row r="693">
      <c r="D693" s="87" t="n"/>
      <c r="I693" s="87" t="n"/>
      <c r="M693" s="87" t="n"/>
    </row>
    <row r="694">
      <c r="D694" s="87" t="n"/>
      <c r="I694" s="87" t="n"/>
      <c r="M694" s="87" t="n"/>
    </row>
    <row r="695">
      <c r="D695" s="87" t="n"/>
      <c r="I695" s="87" t="n"/>
      <c r="M695" s="87" t="n"/>
    </row>
    <row r="696">
      <c r="D696" s="87" t="n"/>
      <c r="I696" s="87" t="n"/>
      <c r="M696" s="87" t="n"/>
    </row>
    <row r="697">
      <c r="D697" s="87" t="n"/>
      <c r="I697" s="87" t="n"/>
      <c r="M697" s="87" t="n"/>
    </row>
    <row r="698">
      <c r="D698" s="87" t="n"/>
      <c r="I698" s="87" t="n"/>
      <c r="M698" s="87" t="n"/>
    </row>
    <row r="699">
      <c r="D699" s="87" t="n"/>
      <c r="I699" s="87" t="n"/>
      <c r="M699" s="87" t="n"/>
    </row>
    <row r="700">
      <c r="D700" s="87" t="n"/>
      <c r="I700" s="87" t="n"/>
      <c r="M700" s="87" t="n"/>
    </row>
    <row r="701">
      <c r="D701" s="87" t="n"/>
      <c r="I701" s="87" t="n"/>
      <c r="M701" s="87" t="n"/>
    </row>
    <row r="702">
      <c r="D702" s="87" t="n"/>
      <c r="I702" s="87" t="n"/>
      <c r="M702" s="87" t="n"/>
    </row>
    <row r="703">
      <c r="D703" s="87" t="n"/>
      <c r="I703" s="87" t="n"/>
      <c r="M703" s="87" t="n"/>
    </row>
    <row r="704">
      <c r="D704" s="87" t="n"/>
      <c r="I704" s="87" t="n"/>
      <c r="M704" s="87" t="n"/>
    </row>
    <row r="705">
      <c r="D705" s="87" t="n"/>
      <c r="I705" s="87" t="n"/>
      <c r="M705" s="87" t="n"/>
    </row>
    <row r="706">
      <c r="D706" s="87" t="n"/>
      <c r="I706" s="87" t="n"/>
      <c r="M706" s="87" t="n"/>
    </row>
    <row r="707">
      <c r="D707" s="87" t="n"/>
      <c r="I707" s="87" t="n"/>
      <c r="M707" s="87" t="n"/>
    </row>
    <row r="708">
      <c r="D708" s="87" t="n"/>
      <c r="I708" s="87" t="n"/>
      <c r="M708" s="87" t="n"/>
    </row>
    <row r="709">
      <c r="D709" s="87" t="n"/>
      <c r="I709" s="87" t="n"/>
      <c r="M709" s="87" t="n"/>
    </row>
    <row r="710">
      <c r="D710" s="87" t="n"/>
      <c r="I710" s="87" t="n"/>
      <c r="M710" s="87" t="n"/>
    </row>
    <row r="711">
      <c r="D711" s="87" t="n"/>
      <c r="I711" s="87" t="n"/>
      <c r="M711" s="87" t="n"/>
    </row>
    <row r="712">
      <c r="D712" s="87" t="n"/>
      <c r="I712" s="87" t="n"/>
      <c r="M712" s="87" t="n"/>
    </row>
    <row r="713">
      <c r="D713" s="87" t="n"/>
      <c r="I713" s="87" t="n"/>
      <c r="M713" s="87" t="n"/>
    </row>
    <row r="714">
      <c r="D714" s="87" t="n"/>
      <c r="I714" s="87" t="n"/>
      <c r="M714" s="87" t="n"/>
    </row>
    <row r="715">
      <c r="D715" s="87" t="n"/>
      <c r="I715" s="87" t="n"/>
      <c r="M715" s="87" t="n"/>
    </row>
    <row r="716">
      <c r="D716" s="87" t="n"/>
      <c r="I716" s="87" t="n"/>
      <c r="M716" s="87" t="n"/>
    </row>
    <row r="717">
      <c r="D717" s="87" t="n"/>
      <c r="I717" s="87" t="n"/>
      <c r="M717" s="87" t="n"/>
    </row>
    <row r="718">
      <c r="D718" s="87" t="n"/>
      <c r="I718" s="87" t="n"/>
      <c r="M718" s="87" t="n"/>
    </row>
    <row r="719">
      <c r="D719" s="87" t="n"/>
      <c r="I719" s="87" t="n"/>
      <c r="M719" s="87" t="n"/>
    </row>
    <row r="720">
      <c r="D720" s="87" t="n"/>
      <c r="I720" s="87" t="n"/>
      <c r="M720" s="87" t="n"/>
    </row>
    <row r="721">
      <c r="D721" s="87" t="n"/>
      <c r="I721" s="87" t="n"/>
      <c r="M721" s="87" t="n"/>
    </row>
    <row r="722">
      <c r="D722" s="87" t="n"/>
      <c r="I722" s="87" t="n"/>
      <c r="M722" s="87" t="n"/>
    </row>
    <row r="723">
      <c r="D723" s="87" t="n"/>
      <c r="I723" s="87" t="n"/>
      <c r="M723" s="87" t="n"/>
    </row>
    <row r="724">
      <c r="D724" s="87" t="n"/>
      <c r="I724" s="87" t="n"/>
      <c r="M724" s="87" t="n"/>
    </row>
    <row r="725">
      <c r="D725" s="87" t="n"/>
      <c r="I725" s="87" t="n"/>
      <c r="M725" s="87" t="n"/>
    </row>
    <row r="726">
      <c r="D726" s="87" t="n"/>
      <c r="I726" s="87" t="n"/>
      <c r="M726" s="87" t="n"/>
    </row>
    <row r="727">
      <c r="D727" s="87" t="n"/>
      <c r="I727" s="87" t="n"/>
      <c r="M727" s="87" t="n"/>
    </row>
    <row r="728">
      <c r="D728" s="87" t="n"/>
      <c r="I728" s="87" t="n"/>
      <c r="M728" s="87" t="n"/>
    </row>
    <row r="729">
      <c r="D729" s="87" t="n"/>
      <c r="I729" s="87" t="n"/>
      <c r="M729" s="87" t="n"/>
    </row>
    <row r="730">
      <c r="D730" s="87" t="n"/>
      <c r="I730" s="87" t="n"/>
      <c r="M730" s="87" t="n"/>
    </row>
    <row r="731">
      <c r="D731" s="87" t="n"/>
      <c r="I731" s="87" t="n"/>
      <c r="M731" s="87" t="n"/>
    </row>
    <row r="732">
      <c r="D732" s="87" t="n"/>
      <c r="I732" s="87" t="n"/>
      <c r="M732" s="87" t="n"/>
    </row>
    <row r="733">
      <c r="D733" s="87" t="n"/>
      <c r="I733" s="87" t="n"/>
      <c r="M733" s="87" t="n"/>
    </row>
    <row r="734">
      <c r="D734" s="87" t="n"/>
      <c r="I734" s="87" t="n"/>
      <c r="M734" s="87" t="n"/>
    </row>
    <row r="735">
      <c r="D735" s="87" t="n"/>
      <c r="I735" s="87" t="n"/>
      <c r="M735" s="87" t="n"/>
    </row>
    <row r="736">
      <c r="D736" s="87" t="n"/>
      <c r="I736" s="87" t="n"/>
      <c r="M736" s="87" t="n"/>
    </row>
    <row r="737">
      <c r="D737" s="87" t="n"/>
      <c r="I737" s="87" t="n"/>
      <c r="M737" s="87" t="n"/>
    </row>
    <row r="738">
      <c r="D738" s="87" t="n"/>
      <c r="I738" s="87" t="n"/>
      <c r="M738" s="87" t="n"/>
    </row>
    <row r="739">
      <c r="D739" s="87" t="n"/>
      <c r="I739" s="87" t="n"/>
      <c r="M739" s="87" t="n"/>
    </row>
    <row r="740">
      <c r="D740" s="87" t="n"/>
      <c r="I740" s="87" t="n"/>
      <c r="M740" s="87" t="n"/>
    </row>
    <row r="741">
      <c r="D741" s="87" t="n"/>
      <c r="I741" s="87" t="n"/>
      <c r="M741" s="87" t="n"/>
    </row>
    <row r="742">
      <c r="D742" s="87" t="n"/>
      <c r="I742" s="87" t="n"/>
      <c r="M742" s="87" t="n"/>
    </row>
    <row r="743">
      <c r="D743" s="87" t="n"/>
      <c r="I743" s="87" t="n"/>
      <c r="M743" s="87" t="n"/>
    </row>
    <row r="744">
      <c r="D744" s="87" t="n"/>
      <c r="I744" s="87" t="n"/>
      <c r="M744" s="87" t="n"/>
    </row>
    <row r="745">
      <c r="D745" s="87" t="n"/>
      <c r="I745" s="87" t="n"/>
      <c r="M745" s="87" t="n"/>
    </row>
    <row r="746">
      <c r="D746" s="87" t="n"/>
      <c r="I746" s="87" t="n"/>
      <c r="M746" s="87" t="n"/>
    </row>
    <row r="747">
      <c r="D747" s="87" t="n"/>
      <c r="I747" s="87" t="n"/>
      <c r="M747" s="87" t="n"/>
    </row>
    <row r="748">
      <c r="D748" s="87" t="n"/>
      <c r="I748" s="87" t="n"/>
      <c r="M748" s="87" t="n"/>
    </row>
    <row r="749">
      <c r="D749" s="87" t="n"/>
      <c r="I749" s="87" t="n"/>
      <c r="M749" s="87" t="n"/>
    </row>
    <row r="750">
      <c r="D750" s="87" t="n"/>
      <c r="I750" s="87" t="n"/>
      <c r="M750" s="87" t="n"/>
    </row>
    <row r="751">
      <c r="D751" s="87" t="n"/>
      <c r="I751" s="87" t="n"/>
      <c r="M751" s="87" t="n"/>
    </row>
    <row r="752">
      <c r="D752" s="87" t="n"/>
      <c r="I752" s="87" t="n"/>
      <c r="M752" s="87" t="n"/>
    </row>
    <row r="753">
      <c r="D753" s="87" t="n"/>
      <c r="I753" s="87" t="n"/>
      <c r="M753" s="87" t="n"/>
    </row>
    <row r="754">
      <c r="D754" s="87" t="n"/>
      <c r="I754" s="87" t="n"/>
      <c r="M754" s="87" t="n"/>
    </row>
    <row r="755">
      <c r="D755" s="87" t="n"/>
      <c r="I755" s="87" t="n"/>
      <c r="M755" s="87" t="n"/>
    </row>
    <row r="756">
      <c r="D756" s="87" t="n"/>
      <c r="I756" s="87" t="n"/>
      <c r="M756" s="87" t="n"/>
    </row>
    <row r="757">
      <c r="D757" s="87" t="n"/>
      <c r="I757" s="87" t="n"/>
      <c r="M757" s="87" t="n"/>
    </row>
    <row r="758">
      <c r="D758" s="87" t="n"/>
      <c r="I758" s="87" t="n"/>
      <c r="M758" s="87" t="n"/>
    </row>
    <row r="759">
      <c r="D759" s="87" t="n"/>
      <c r="I759" s="87" t="n"/>
      <c r="M759" s="87" t="n"/>
    </row>
    <row r="760">
      <c r="D760" s="87" t="n"/>
      <c r="I760" s="87" t="n"/>
      <c r="M760" s="87" t="n"/>
    </row>
    <row r="761">
      <c r="D761" s="87" t="n"/>
      <c r="I761" s="87" t="n"/>
      <c r="M761" s="87" t="n"/>
    </row>
    <row r="762">
      <c r="D762" s="87" t="n"/>
      <c r="I762" s="87" t="n"/>
      <c r="M762" s="87" t="n"/>
    </row>
    <row r="763">
      <c r="D763" s="87" t="n"/>
      <c r="I763" s="87" t="n"/>
      <c r="M763" s="87" t="n"/>
    </row>
    <row r="764">
      <c r="D764" s="87" t="n"/>
      <c r="I764" s="87" t="n"/>
      <c r="M764" s="87" t="n"/>
    </row>
    <row r="765">
      <c r="D765" s="87" t="n"/>
      <c r="I765" s="87" t="n"/>
      <c r="M765" s="87" t="n"/>
    </row>
    <row r="766">
      <c r="D766" s="87" t="n"/>
      <c r="I766" s="87" t="n"/>
      <c r="M766" s="87" t="n"/>
    </row>
    <row r="767">
      <c r="D767" s="87" t="n"/>
      <c r="I767" s="87" t="n"/>
      <c r="M767" s="87" t="n"/>
    </row>
    <row r="768">
      <c r="D768" s="87" t="n"/>
      <c r="I768" s="87" t="n"/>
      <c r="M768" s="87" t="n"/>
    </row>
    <row r="769">
      <c r="D769" s="87" t="n"/>
      <c r="I769" s="87" t="n"/>
      <c r="M769" s="87" t="n"/>
    </row>
    <row r="770">
      <c r="D770" s="87" t="n"/>
      <c r="I770" s="87" t="n"/>
      <c r="M770" s="87" t="n"/>
    </row>
    <row r="771">
      <c r="D771" s="87" t="n"/>
      <c r="I771" s="87" t="n"/>
      <c r="M771" s="87" t="n"/>
    </row>
    <row r="772">
      <c r="D772" s="87" t="n"/>
      <c r="I772" s="87" t="n"/>
      <c r="M772" s="87" t="n"/>
    </row>
    <row r="773">
      <c r="D773" s="87" t="n"/>
      <c r="I773" s="87" t="n"/>
      <c r="M773" s="87" t="n"/>
    </row>
    <row r="774">
      <c r="D774" s="87" t="n"/>
      <c r="I774" s="87" t="n"/>
      <c r="M774" s="87" t="n"/>
    </row>
    <row r="775">
      <c r="D775" s="87" t="n"/>
      <c r="I775" s="87" t="n"/>
      <c r="M775" s="87" t="n"/>
    </row>
    <row r="776">
      <c r="D776" s="87" t="n"/>
      <c r="I776" s="87" t="n"/>
      <c r="M776" s="87" t="n"/>
    </row>
    <row r="777">
      <c r="D777" s="87" t="n"/>
      <c r="I777" s="87" t="n"/>
      <c r="M777" s="87" t="n"/>
    </row>
    <row r="778">
      <c r="D778" s="87" t="n"/>
      <c r="I778" s="87" t="n"/>
      <c r="M778" s="87" t="n"/>
    </row>
    <row r="779">
      <c r="D779" s="87" t="n"/>
      <c r="I779" s="87" t="n"/>
      <c r="M779" s="87" t="n"/>
    </row>
    <row r="780">
      <c r="D780" s="87" t="n"/>
      <c r="I780" s="87" t="n"/>
      <c r="M780" s="87" t="n"/>
    </row>
    <row r="781">
      <c r="D781" s="87" t="n"/>
      <c r="I781" s="87" t="n"/>
      <c r="M781" s="87" t="n"/>
    </row>
    <row r="782">
      <c r="D782" s="87" t="n"/>
      <c r="I782" s="87" t="n"/>
      <c r="M782" s="87" t="n"/>
    </row>
    <row r="783">
      <c r="D783" s="87" t="n"/>
      <c r="I783" s="87" t="n"/>
      <c r="M783" s="87" t="n"/>
    </row>
    <row r="784">
      <c r="D784" s="87" t="n"/>
      <c r="I784" s="87" t="n"/>
      <c r="M784" s="87" t="n"/>
    </row>
    <row r="785">
      <c r="D785" s="87" t="n"/>
      <c r="I785" s="87" t="n"/>
      <c r="M785" s="87" t="n"/>
    </row>
    <row r="786">
      <c r="D786" s="87" t="n"/>
      <c r="I786" s="87" t="n"/>
      <c r="M786" s="87" t="n"/>
    </row>
    <row r="787">
      <c r="D787" s="87" t="n"/>
      <c r="I787" s="87" t="n"/>
      <c r="M787" s="87" t="n"/>
    </row>
    <row r="788">
      <c r="D788" s="87" t="n"/>
      <c r="I788" s="87" t="n"/>
      <c r="M788" s="87" t="n"/>
    </row>
    <row r="789">
      <c r="D789" s="87" t="n"/>
      <c r="I789" s="87" t="n"/>
      <c r="M789" s="87" t="n"/>
    </row>
    <row r="790">
      <c r="D790" s="87" t="n"/>
      <c r="I790" s="87" t="n"/>
      <c r="M790" s="87" t="n"/>
    </row>
    <row r="791">
      <c r="D791" s="87" t="n"/>
      <c r="I791" s="87" t="n"/>
      <c r="M791" s="87" t="n"/>
    </row>
    <row r="792">
      <c r="D792" s="87" t="n"/>
      <c r="I792" s="87" t="n"/>
      <c r="M792" s="87" t="n"/>
    </row>
    <row r="793">
      <c r="D793" s="87" t="n"/>
      <c r="I793" s="87" t="n"/>
      <c r="M793" s="87" t="n"/>
    </row>
    <row r="794">
      <c r="D794" s="87" t="n"/>
      <c r="I794" s="87" t="n"/>
      <c r="M794" s="87" t="n"/>
    </row>
    <row r="795">
      <c r="D795" s="87" t="n"/>
      <c r="I795" s="87" t="n"/>
      <c r="M795" s="87" t="n"/>
    </row>
    <row r="796">
      <c r="D796" s="87" t="n"/>
      <c r="I796" s="87" t="n"/>
      <c r="M796" s="87" t="n"/>
    </row>
    <row r="797">
      <c r="D797" s="87" t="n"/>
      <c r="I797" s="87" t="n"/>
      <c r="M797" s="87" t="n"/>
    </row>
    <row r="798">
      <c r="D798" s="87" t="n"/>
      <c r="I798" s="87" t="n"/>
      <c r="M798" s="87" t="n"/>
    </row>
    <row r="799">
      <c r="D799" s="87" t="n"/>
      <c r="I799" s="87" t="n"/>
      <c r="M799" s="87" t="n"/>
    </row>
    <row r="800">
      <c r="D800" s="87" t="n"/>
      <c r="I800" s="87" t="n"/>
      <c r="M800" s="87" t="n"/>
    </row>
    <row r="801">
      <c r="D801" s="87" t="n"/>
      <c r="I801" s="87" t="n"/>
      <c r="M801" s="87" t="n"/>
    </row>
    <row r="802">
      <c r="D802" s="87" t="n"/>
      <c r="I802" s="87" t="n"/>
      <c r="M802" s="87" t="n"/>
    </row>
    <row r="803">
      <c r="D803" s="87" t="n"/>
      <c r="I803" s="87" t="n"/>
      <c r="M803" s="87" t="n"/>
    </row>
    <row r="804">
      <c r="D804" s="87" t="n"/>
      <c r="I804" s="87" t="n"/>
      <c r="M804" s="87" t="n"/>
    </row>
    <row r="805">
      <c r="D805" s="87" t="n"/>
      <c r="I805" s="87" t="n"/>
      <c r="M805" s="87" t="n"/>
    </row>
    <row r="806">
      <c r="D806" s="87" t="n"/>
      <c r="I806" s="87" t="n"/>
      <c r="M806" s="87" t="n"/>
    </row>
    <row r="807">
      <c r="D807" s="87" t="n"/>
      <c r="I807" s="87" t="n"/>
      <c r="M807" s="87" t="n"/>
    </row>
    <row r="808">
      <c r="D808" s="87" t="n"/>
      <c r="I808" s="87" t="n"/>
      <c r="M808" s="87" t="n"/>
    </row>
    <row r="809">
      <c r="D809" s="87" t="n"/>
      <c r="I809" s="87" t="n"/>
      <c r="M809" s="87" t="n"/>
    </row>
    <row r="810">
      <c r="D810" s="87" t="n"/>
      <c r="I810" s="87" t="n"/>
      <c r="M810" s="87" t="n"/>
    </row>
    <row r="811">
      <c r="D811" s="87" t="n"/>
      <c r="I811" s="87" t="n"/>
      <c r="M811" s="87" t="n"/>
    </row>
    <row r="812">
      <c r="D812" s="87" t="n"/>
      <c r="I812" s="87" t="n"/>
      <c r="M812" s="87" t="n"/>
    </row>
    <row r="813">
      <c r="D813" s="87" t="n"/>
      <c r="I813" s="87" t="n"/>
      <c r="M813" s="87" t="n"/>
    </row>
    <row r="814">
      <c r="D814" s="87" t="n"/>
      <c r="I814" s="87" t="n"/>
      <c r="M814" s="87" t="n"/>
    </row>
    <row r="815">
      <c r="D815" s="87" t="n"/>
      <c r="I815" s="87" t="n"/>
      <c r="M815" s="87" t="n"/>
    </row>
    <row r="816">
      <c r="D816" s="87" t="n"/>
      <c r="I816" s="87" t="n"/>
      <c r="M816" s="87" t="n"/>
    </row>
    <row r="817">
      <c r="D817" s="87" t="n"/>
      <c r="I817" s="87" t="n"/>
      <c r="M817" s="87" t="n"/>
    </row>
    <row r="818">
      <c r="D818" s="87" t="n"/>
      <c r="I818" s="87" t="n"/>
      <c r="M818" s="87" t="n"/>
    </row>
    <row r="819">
      <c r="D819" s="87" t="n"/>
      <c r="I819" s="87" t="n"/>
      <c r="M819" s="87" t="n"/>
    </row>
    <row r="820">
      <c r="D820" s="87" t="n"/>
      <c r="I820" s="87" t="n"/>
      <c r="M820" s="87" t="n"/>
    </row>
    <row r="821">
      <c r="D821" s="87" t="n"/>
      <c r="I821" s="87" t="n"/>
      <c r="M821" s="87" t="n"/>
    </row>
    <row r="822">
      <c r="D822" s="87" t="n"/>
      <c r="I822" s="87" t="n"/>
      <c r="M822" s="87" t="n"/>
    </row>
    <row r="823">
      <c r="D823" s="87" t="n"/>
      <c r="I823" s="87" t="n"/>
      <c r="M823" s="87" t="n"/>
    </row>
    <row r="824">
      <c r="D824" s="87" t="n"/>
      <c r="I824" s="87" t="n"/>
      <c r="M824" s="87" t="n"/>
    </row>
    <row r="825">
      <c r="D825" s="87" t="n"/>
      <c r="I825" s="87" t="n"/>
      <c r="M825" s="87" t="n"/>
    </row>
    <row r="826">
      <c r="D826" s="87" t="n"/>
      <c r="I826" s="87" t="n"/>
      <c r="M826" s="87" t="n"/>
    </row>
    <row r="827">
      <c r="D827" s="87" t="n"/>
      <c r="I827" s="87" t="n"/>
      <c r="M827" s="87" t="n"/>
    </row>
    <row r="828">
      <c r="D828" s="87" t="n"/>
      <c r="I828" s="87" t="n"/>
      <c r="M828" s="87" t="n"/>
    </row>
    <row r="829">
      <c r="D829" s="87" t="n"/>
      <c r="I829" s="87" t="n"/>
      <c r="M829" s="87" t="n"/>
    </row>
    <row r="830">
      <c r="D830" s="87" t="n"/>
      <c r="I830" s="87" t="n"/>
      <c r="M830" s="87" t="n"/>
    </row>
    <row r="831">
      <c r="D831" s="87" t="n"/>
      <c r="I831" s="87" t="n"/>
      <c r="M831" s="87" t="n"/>
    </row>
    <row r="832">
      <c r="D832" s="87" t="n"/>
      <c r="I832" s="87" t="n"/>
      <c r="M832" s="87" t="n"/>
    </row>
    <row r="833">
      <c r="D833" s="87" t="n"/>
      <c r="I833" s="87" t="n"/>
      <c r="M833" s="87" t="n"/>
    </row>
    <row r="834">
      <c r="D834" s="87" t="n"/>
      <c r="I834" s="87" t="n"/>
      <c r="M834" s="87" t="n"/>
    </row>
    <row r="835">
      <c r="D835" s="87" t="n"/>
      <c r="I835" s="87" t="n"/>
      <c r="M835" s="87" t="n"/>
    </row>
    <row r="836">
      <c r="D836" s="87" t="n"/>
      <c r="I836" s="87" t="n"/>
      <c r="M836" s="87" t="n"/>
    </row>
    <row r="837">
      <c r="D837" s="87" t="n"/>
      <c r="I837" s="87" t="n"/>
      <c r="M837" s="87" t="n"/>
    </row>
    <row r="838">
      <c r="D838" s="87" t="n"/>
      <c r="I838" s="87" t="n"/>
      <c r="M838" s="87" t="n"/>
    </row>
    <row r="839">
      <c r="D839" s="87" t="n"/>
      <c r="I839" s="87" t="n"/>
      <c r="M839" s="87" t="n"/>
    </row>
    <row r="840">
      <c r="D840" s="87" t="n"/>
      <c r="I840" s="87" t="n"/>
      <c r="M840" s="87" t="n"/>
    </row>
    <row r="841">
      <c r="D841" s="87" t="n"/>
      <c r="I841" s="87" t="n"/>
      <c r="M841" s="87" t="n"/>
    </row>
    <row r="842">
      <c r="D842" s="87" t="n"/>
      <c r="I842" s="87" t="n"/>
      <c r="M842" s="87" t="n"/>
    </row>
    <row r="843">
      <c r="D843" s="87" t="n"/>
      <c r="I843" s="87" t="n"/>
      <c r="M843" s="87" t="n"/>
    </row>
    <row r="844">
      <c r="D844" s="87" t="n"/>
      <c r="I844" s="87" t="n"/>
      <c r="M844" s="87" t="n"/>
    </row>
    <row r="845">
      <c r="D845" s="87" t="n"/>
      <c r="I845" s="87" t="n"/>
      <c r="M845" s="87" t="n"/>
    </row>
    <row r="846">
      <c r="D846" s="87" t="n"/>
      <c r="I846" s="87" t="n"/>
      <c r="M846" s="87" t="n"/>
    </row>
    <row r="847">
      <c r="D847" s="87" t="n"/>
      <c r="I847" s="87" t="n"/>
      <c r="M847" s="87" t="n"/>
    </row>
    <row r="848">
      <c r="D848" s="87" t="n"/>
      <c r="I848" s="87" t="n"/>
      <c r="M848" s="87" t="n"/>
    </row>
    <row r="849">
      <c r="D849" s="87" t="n"/>
      <c r="I849" s="87" t="n"/>
      <c r="M849" s="87" t="n"/>
    </row>
    <row r="850">
      <c r="D850" s="87" t="n"/>
      <c r="I850" s="87" t="n"/>
      <c r="M850" s="87" t="n"/>
    </row>
    <row r="851">
      <c r="D851" s="87" t="n"/>
      <c r="I851" s="87" t="n"/>
      <c r="M851" s="87" t="n"/>
    </row>
    <row r="852">
      <c r="D852" s="87" t="n"/>
      <c r="I852" s="87" t="n"/>
      <c r="M852" s="87" t="n"/>
    </row>
    <row r="853">
      <c r="D853" s="87" t="n"/>
      <c r="I853" s="87" t="n"/>
      <c r="M853" s="87" t="n"/>
    </row>
    <row r="854">
      <c r="D854" s="87" t="n"/>
      <c r="I854" s="87" t="n"/>
      <c r="M854" s="87" t="n"/>
    </row>
    <row r="855">
      <c r="D855" s="87" t="n"/>
      <c r="I855" s="87" t="n"/>
      <c r="M855" s="87" t="n"/>
    </row>
    <row r="856">
      <c r="D856" s="87" t="n"/>
      <c r="I856" s="87" t="n"/>
      <c r="M856" s="87" t="n"/>
    </row>
    <row r="857">
      <c r="D857" s="87" t="n"/>
      <c r="I857" s="87" t="n"/>
      <c r="M857" s="87" t="n"/>
    </row>
    <row r="858">
      <c r="D858" s="87" t="n"/>
      <c r="I858" s="87" t="n"/>
      <c r="M858" s="87" t="n"/>
    </row>
    <row r="859">
      <c r="D859" s="87" t="n"/>
      <c r="I859" s="87" t="n"/>
      <c r="M859" s="87" t="n"/>
    </row>
    <row r="860">
      <c r="D860" s="87" t="n"/>
      <c r="I860" s="87" t="n"/>
      <c r="M860" s="87" t="n"/>
    </row>
    <row r="861">
      <c r="D861" s="87" t="n"/>
      <c r="I861" s="87" t="n"/>
      <c r="M861" s="87" t="n"/>
    </row>
    <row r="862">
      <c r="D862" s="87" t="n"/>
      <c r="I862" s="87" t="n"/>
      <c r="M862" s="87" t="n"/>
    </row>
    <row r="863">
      <c r="D863" s="87" t="n"/>
      <c r="I863" s="87" t="n"/>
      <c r="M863" s="87" t="n"/>
    </row>
    <row r="864">
      <c r="D864" s="87" t="n"/>
      <c r="I864" s="87" t="n"/>
      <c r="M864" s="87" t="n"/>
    </row>
    <row r="865">
      <c r="D865" s="87" t="n"/>
      <c r="I865" s="87" t="n"/>
      <c r="M865" s="87" t="n"/>
    </row>
    <row r="866">
      <c r="D866" s="87" t="n"/>
      <c r="I866" s="87" t="n"/>
      <c r="M866" s="87" t="n"/>
    </row>
    <row r="867">
      <c r="D867" s="87" t="n"/>
      <c r="I867" s="87" t="n"/>
      <c r="M867" s="87" t="n"/>
    </row>
    <row r="868">
      <c r="D868" s="87" t="n"/>
      <c r="I868" s="87" t="n"/>
      <c r="M868" s="87" t="n"/>
    </row>
    <row r="869">
      <c r="D869" s="87" t="n"/>
      <c r="I869" s="87" t="n"/>
      <c r="M869" s="87" t="n"/>
    </row>
    <row r="870">
      <c r="D870" s="87" t="n"/>
      <c r="I870" s="87" t="n"/>
      <c r="M870" s="87" t="n"/>
    </row>
    <row r="871">
      <c r="D871" s="87" t="n"/>
      <c r="I871" s="87" t="n"/>
      <c r="M871" s="87" t="n"/>
    </row>
    <row r="872">
      <c r="D872" s="87" t="n"/>
      <c r="I872" s="87" t="n"/>
      <c r="M872" s="87" t="n"/>
    </row>
    <row r="873">
      <c r="D873" s="87" t="n"/>
      <c r="I873" s="87" t="n"/>
      <c r="M873" s="87" t="n"/>
    </row>
    <row r="874">
      <c r="D874" s="87" t="n"/>
      <c r="I874" s="87" t="n"/>
      <c r="M874" s="87" t="n"/>
    </row>
    <row r="875">
      <c r="D875" s="87" t="n"/>
      <c r="I875" s="87" t="n"/>
      <c r="M875" s="87" t="n"/>
    </row>
    <row r="876">
      <c r="D876" s="87" t="n"/>
      <c r="I876" s="87" t="n"/>
      <c r="M876" s="87" t="n"/>
    </row>
    <row r="877">
      <c r="D877" s="87" t="n"/>
      <c r="I877" s="87" t="n"/>
      <c r="M877" s="87" t="n"/>
    </row>
    <row r="878">
      <c r="D878" s="87" t="n"/>
      <c r="I878" s="87" t="n"/>
      <c r="M878" s="87" t="n"/>
    </row>
    <row r="879">
      <c r="D879" s="87" t="n"/>
      <c r="I879" s="87" t="n"/>
      <c r="M879" s="87" t="n"/>
    </row>
    <row r="880">
      <c r="D880" s="87" t="n"/>
      <c r="I880" s="87" t="n"/>
      <c r="M880" s="87" t="n"/>
    </row>
    <row r="881">
      <c r="D881" s="87" t="n"/>
      <c r="I881" s="87" t="n"/>
      <c r="M881" s="87" t="n"/>
    </row>
    <row r="882">
      <c r="D882" s="87" t="n"/>
      <c r="I882" s="87" t="n"/>
      <c r="M882" s="87" t="n"/>
    </row>
    <row r="883">
      <c r="D883" s="87" t="n"/>
      <c r="I883" s="87" t="n"/>
      <c r="M883" s="87" t="n"/>
    </row>
    <row r="884">
      <c r="D884" s="87" t="n"/>
      <c r="I884" s="87" t="n"/>
      <c r="M884" s="87" t="n"/>
    </row>
    <row r="885">
      <c r="D885" s="87" t="n"/>
      <c r="I885" s="87" t="n"/>
      <c r="M885" s="87" t="n"/>
    </row>
    <row r="886">
      <c r="D886" s="87" t="n"/>
      <c r="I886" s="87" t="n"/>
      <c r="M886" s="87" t="n"/>
    </row>
    <row r="887">
      <c r="D887" s="87" t="n"/>
      <c r="I887" s="87" t="n"/>
      <c r="M887" s="87" t="n"/>
    </row>
    <row r="888">
      <c r="D888" s="87" t="n"/>
      <c r="I888" s="87" t="n"/>
      <c r="M888" s="87" t="n"/>
    </row>
    <row r="889">
      <c r="D889" s="87" t="n"/>
      <c r="I889" s="87" t="n"/>
      <c r="M889" s="87" t="n"/>
    </row>
    <row r="890">
      <c r="D890" s="87" t="n"/>
      <c r="I890" s="87" t="n"/>
      <c r="M890" s="87" t="n"/>
    </row>
    <row r="891">
      <c r="D891" s="87" t="n"/>
      <c r="I891" s="87" t="n"/>
      <c r="M891" s="87" t="n"/>
    </row>
    <row r="892">
      <c r="D892" s="87" t="n"/>
      <c r="I892" s="87" t="n"/>
      <c r="M892" s="87" t="n"/>
    </row>
    <row r="893">
      <c r="D893" s="87" t="n"/>
      <c r="I893" s="87" t="n"/>
      <c r="M893" s="87" t="n"/>
    </row>
    <row r="894">
      <c r="D894" s="87" t="n"/>
      <c r="I894" s="87" t="n"/>
      <c r="M894" s="87" t="n"/>
    </row>
    <row r="895">
      <c r="D895" s="87" t="n"/>
      <c r="I895" s="87" t="n"/>
      <c r="M895" s="87" t="n"/>
    </row>
    <row r="896">
      <c r="D896" s="87" t="n"/>
      <c r="I896" s="87" t="n"/>
      <c r="M896" s="87" t="n"/>
    </row>
    <row r="897">
      <c r="D897" s="87" t="n"/>
      <c r="I897" s="87" t="n"/>
      <c r="M897" s="87" t="n"/>
    </row>
    <row r="898">
      <c r="D898" s="87" t="n"/>
      <c r="I898" s="87" t="n"/>
      <c r="M898" s="87" t="n"/>
    </row>
    <row r="899">
      <c r="D899" s="87" t="n"/>
      <c r="I899" s="87" t="n"/>
      <c r="M899" s="87" t="n"/>
    </row>
    <row r="900">
      <c r="D900" s="87" t="n"/>
      <c r="I900" s="87" t="n"/>
      <c r="M900" s="87" t="n"/>
    </row>
    <row r="901">
      <c r="D901" s="87" t="n"/>
      <c r="I901" s="87" t="n"/>
      <c r="M901" s="87" t="n"/>
    </row>
    <row r="902">
      <c r="D902" s="87" t="n"/>
      <c r="I902" s="87" t="n"/>
      <c r="M902" s="87" t="n"/>
    </row>
    <row r="903">
      <c r="D903" s="87" t="n"/>
      <c r="I903" s="87" t="n"/>
      <c r="M903" s="87" t="n"/>
    </row>
    <row r="904">
      <c r="D904" s="87" t="n"/>
      <c r="I904" s="87" t="n"/>
      <c r="M904" s="87" t="n"/>
    </row>
    <row r="905">
      <c r="D905" s="87" t="n"/>
      <c r="I905" s="87" t="n"/>
      <c r="M905" s="87" t="n"/>
    </row>
    <row r="906">
      <c r="D906" s="87" t="n"/>
      <c r="I906" s="87" t="n"/>
      <c r="M906" s="87" t="n"/>
    </row>
    <row r="907">
      <c r="D907" s="87" t="n"/>
      <c r="I907" s="87" t="n"/>
      <c r="M907" s="87" t="n"/>
    </row>
    <row r="908">
      <c r="D908" s="87" t="n"/>
      <c r="I908" s="87" t="n"/>
      <c r="M908" s="87" t="n"/>
    </row>
    <row r="909">
      <c r="D909" s="87" t="n"/>
      <c r="I909" s="87" t="n"/>
      <c r="M909" s="87" t="n"/>
    </row>
    <row r="910">
      <c r="D910" s="87" t="n"/>
      <c r="I910" s="87" t="n"/>
      <c r="M910" s="87" t="n"/>
    </row>
    <row r="911">
      <c r="D911" s="87" t="n"/>
      <c r="I911" s="87" t="n"/>
      <c r="M911" s="87" t="n"/>
    </row>
    <row r="912">
      <c r="D912" s="87" t="n"/>
      <c r="I912" s="87" t="n"/>
      <c r="M912" s="87" t="n"/>
    </row>
    <row r="913">
      <c r="D913" s="87" t="n"/>
      <c r="I913" s="87" t="n"/>
      <c r="M913" s="87" t="n"/>
    </row>
    <row r="914">
      <c r="D914" s="87" t="n"/>
      <c r="I914" s="87" t="n"/>
      <c r="M914" s="87" t="n"/>
    </row>
    <row r="915">
      <c r="D915" s="87" t="n"/>
      <c r="I915" s="87" t="n"/>
      <c r="M915" s="87" t="n"/>
    </row>
    <row r="916">
      <c r="D916" s="87" t="n"/>
      <c r="I916" s="87" t="n"/>
      <c r="M916" s="87" t="n"/>
    </row>
    <row r="917">
      <c r="D917" s="87" t="n"/>
      <c r="I917" s="87" t="n"/>
      <c r="M917" s="87" t="n"/>
    </row>
    <row r="918">
      <c r="D918" s="87" t="n"/>
      <c r="I918" s="87" t="n"/>
      <c r="M918" s="87" t="n"/>
    </row>
    <row r="919">
      <c r="D919" s="87" t="n"/>
      <c r="I919" s="87" t="n"/>
      <c r="M919" s="87" t="n"/>
    </row>
    <row r="920">
      <c r="D920" s="87" t="n"/>
      <c r="I920" s="87" t="n"/>
      <c r="M920" s="87" t="n"/>
    </row>
    <row r="921">
      <c r="D921" s="87" t="n"/>
      <c r="I921" s="87" t="n"/>
      <c r="M921" s="87" t="n"/>
    </row>
    <row r="922">
      <c r="D922" s="87" t="n"/>
      <c r="I922" s="87" t="n"/>
      <c r="M922" s="87" t="n"/>
    </row>
    <row r="923">
      <c r="D923" s="87" t="n"/>
      <c r="I923" s="87" t="n"/>
      <c r="M923" s="87" t="n"/>
    </row>
    <row r="924">
      <c r="D924" s="87" t="n"/>
      <c r="I924" s="87" t="n"/>
      <c r="M924" s="87" t="n"/>
    </row>
    <row r="925">
      <c r="D925" s="87" t="n"/>
      <c r="I925" s="87" t="n"/>
      <c r="M925" s="87" t="n"/>
    </row>
    <row r="926">
      <c r="D926" s="87" t="n"/>
      <c r="I926" s="87" t="n"/>
      <c r="M926" s="87" t="n"/>
    </row>
    <row r="927">
      <c r="D927" s="87" t="n"/>
      <c r="I927" s="87" t="n"/>
      <c r="M927" s="87" t="n"/>
    </row>
    <row r="928">
      <c r="D928" s="87" t="n"/>
      <c r="I928" s="87" t="n"/>
      <c r="M928" s="87" t="n"/>
    </row>
    <row r="929">
      <c r="D929" s="87" t="n"/>
      <c r="I929" s="87" t="n"/>
      <c r="M929" s="87" t="n"/>
    </row>
    <row r="930">
      <c r="D930" s="87" t="n"/>
      <c r="I930" s="87" t="n"/>
      <c r="M930" s="87" t="n"/>
    </row>
    <row r="931">
      <c r="D931" s="87" t="n"/>
      <c r="I931" s="87" t="n"/>
      <c r="M931" s="87" t="n"/>
    </row>
    <row r="932">
      <c r="D932" s="87" t="n"/>
      <c r="I932" s="87" t="n"/>
      <c r="M932" s="87" t="n"/>
    </row>
    <row r="933">
      <c r="D933" s="87" t="n"/>
      <c r="I933" s="87" t="n"/>
      <c r="M933" s="87" t="n"/>
    </row>
    <row r="934">
      <c r="D934" s="87" t="n"/>
      <c r="I934" s="87" t="n"/>
      <c r="M934" s="87" t="n"/>
    </row>
    <row r="935">
      <c r="D935" s="87" t="n"/>
      <c r="I935" s="87" t="n"/>
      <c r="M935" s="87" t="n"/>
    </row>
    <row r="936">
      <c r="D936" s="87" t="n"/>
      <c r="I936" s="87" t="n"/>
      <c r="M936" s="87" t="n"/>
    </row>
    <row r="937">
      <c r="D937" s="87" t="n"/>
      <c r="I937" s="87" t="n"/>
      <c r="M937" s="87" t="n"/>
    </row>
    <row r="938">
      <c r="D938" s="87" t="n"/>
      <c r="I938" s="87" t="n"/>
      <c r="M938" s="87" t="n"/>
    </row>
    <row r="939">
      <c r="D939" s="87" t="n"/>
      <c r="I939" s="87" t="n"/>
      <c r="M939" s="87" t="n"/>
    </row>
    <row r="940">
      <c r="D940" s="87" t="n"/>
      <c r="I940" s="87" t="n"/>
      <c r="M940" s="87" t="n"/>
    </row>
    <row r="941">
      <c r="D941" s="87" t="n"/>
      <c r="I941" s="87" t="n"/>
      <c r="M941" s="87" t="n"/>
    </row>
    <row r="942">
      <c r="D942" s="87" t="n"/>
      <c r="I942" s="87" t="n"/>
      <c r="M942" s="87" t="n"/>
    </row>
    <row r="943">
      <c r="D943" s="87" t="n"/>
      <c r="I943" s="87" t="n"/>
      <c r="M943" s="87" t="n"/>
    </row>
    <row r="944">
      <c r="D944" s="87" t="n"/>
      <c r="I944" s="87" t="n"/>
      <c r="M944" s="87" t="n"/>
    </row>
    <row r="945">
      <c r="D945" s="87" t="n"/>
      <c r="I945" s="87" t="n"/>
      <c r="M945" s="87" t="n"/>
    </row>
    <row r="946">
      <c r="D946" s="87" t="n"/>
      <c r="I946" s="87" t="n"/>
      <c r="M946" s="87" t="n"/>
    </row>
    <row r="947">
      <c r="D947" s="87" t="n"/>
      <c r="I947" s="87" t="n"/>
      <c r="M947" s="87" t="n"/>
    </row>
    <row r="948">
      <c r="D948" s="87" t="n"/>
      <c r="I948" s="87" t="n"/>
      <c r="M948" s="87" t="n"/>
    </row>
    <row r="949">
      <c r="D949" s="87" t="n"/>
      <c r="I949" s="87" t="n"/>
      <c r="M949" s="87" t="n"/>
    </row>
    <row r="950">
      <c r="D950" s="87" t="n"/>
      <c r="I950" s="87" t="n"/>
      <c r="M950" s="87" t="n"/>
    </row>
    <row r="951">
      <c r="D951" s="87" t="n"/>
      <c r="I951" s="87" t="n"/>
      <c r="M951" s="87" t="n"/>
    </row>
    <row r="952">
      <c r="D952" s="87" t="n"/>
      <c r="I952" s="87" t="n"/>
      <c r="M952" s="87" t="n"/>
    </row>
    <row r="953">
      <c r="D953" s="87" t="n"/>
      <c r="I953" s="87" t="n"/>
      <c r="M953" s="87" t="n"/>
    </row>
    <row r="954">
      <c r="D954" s="87" t="n"/>
      <c r="I954" s="87" t="n"/>
      <c r="M954" s="87" t="n"/>
    </row>
    <row r="955">
      <c r="D955" s="87" t="n"/>
      <c r="I955" s="87" t="n"/>
      <c r="M955" s="87" t="n"/>
    </row>
    <row r="956">
      <c r="D956" s="87" t="n"/>
      <c r="I956" s="87" t="n"/>
      <c r="M956" s="87" t="n"/>
    </row>
    <row r="957">
      <c r="D957" s="87" t="n"/>
      <c r="I957" s="87" t="n"/>
      <c r="M957" s="87" t="n"/>
    </row>
    <row r="958">
      <c r="D958" s="87" t="n"/>
      <c r="I958" s="87" t="n"/>
      <c r="M958" s="87" t="n"/>
    </row>
    <row r="959">
      <c r="D959" s="87" t="n"/>
      <c r="I959" s="87" t="n"/>
      <c r="M959" s="87" t="n"/>
    </row>
    <row r="960">
      <c r="D960" s="87" t="n"/>
      <c r="I960" s="87" t="n"/>
      <c r="M960" s="87" t="n"/>
    </row>
    <row r="961">
      <c r="D961" s="87" t="n"/>
      <c r="I961" s="87" t="n"/>
      <c r="M961" s="87" t="n"/>
    </row>
    <row r="962">
      <c r="D962" s="87" t="n"/>
      <c r="I962" s="87" t="n"/>
      <c r="M962" s="87" t="n"/>
    </row>
    <row r="963">
      <c r="D963" s="87" t="n"/>
      <c r="I963" s="87" t="n"/>
      <c r="M963" s="87" t="n"/>
    </row>
    <row r="964">
      <c r="D964" s="87" t="n"/>
      <c r="I964" s="87" t="n"/>
      <c r="M964" s="87" t="n"/>
    </row>
    <row r="965">
      <c r="D965" s="87" t="n"/>
      <c r="I965" s="87" t="n"/>
      <c r="M965" s="87" t="n"/>
    </row>
    <row r="966">
      <c r="D966" s="87" t="n"/>
      <c r="I966" s="87" t="n"/>
      <c r="M966" s="87" t="n"/>
    </row>
    <row r="967">
      <c r="D967" s="87" t="n"/>
      <c r="I967" s="87" t="n"/>
      <c r="M967" s="87" t="n"/>
    </row>
    <row r="968">
      <c r="D968" s="87" t="n"/>
      <c r="I968" s="87" t="n"/>
      <c r="M968" s="87" t="n"/>
    </row>
    <row r="969">
      <c r="D969" s="87" t="n"/>
      <c r="I969" s="87" t="n"/>
      <c r="M969" s="87" t="n"/>
    </row>
    <row r="970">
      <c r="D970" s="87" t="n"/>
      <c r="I970" s="87" t="n"/>
      <c r="M970" s="87" t="n"/>
    </row>
    <row r="971">
      <c r="D971" s="87" t="n"/>
      <c r="I971" s="87" t="n"/>
      <c r="M971" s="87" t="n"/>
    </row>
    <row r="972">
      <c r="D972" s="87" t="n"/>
      <c r="I972" s="87" t="n"/>
      <c r="M972" s="87" t="n"/>
    </row>
    <row r="973">
      <c r="D973" s="87" t="n"/>
      <c r="I973" s="87" t="n"/>
      <c r="M973" s="87" t="n"/>
    </row>
    <row r="974">
      <c r="D974" s="87" t="n"/>
      <c r="I974" s="87" t="n"/>
      <c r="M974" s="87" t="n"/>
    </row>
    <row r="975">
      <c r="D975" s="87" t="n"/>
      <c r="I975" s="87" t="n"/>
      <c r="M975" s="87" t="n"/>
    </row>
    <row r="976">
      <c r="D976" s="87" t="n"/>
      <c r="I976" s="87" t="n"/>
      <c r="M976" s="87" t="n"/>
    </row>
    <row r="977">
      <c r="D977" s="87" t="n"/>
      <c r="I977" s="87" t="n"/>
      <c r="M977" s="87" t="n"/>
    </row>
    <row r="978">
      <c r="D978" s="87" t="n"/>
      <c r="I978" s="87" t="n"/>
      <c r="M978" s="87" t="n"/>
    </row>
    <row r="979">
      <c r="D979" s="87" t="n"/>
      <c r="I979" s="87" t="n"/>
      <c r="M979" s="87" t="n"/>
    </row>
    <row r="980">
      <c r="D980" s="87" t="n"/>
      <c r="I980" s="87" t="n"/>
      <c r="M980" s="87" t="n"/>
    </row>
    <row r="981">
      <c r="D981" s="87" t="n"/>
      <c r="I981" s="87" t="n"/>
      <c r="M981" s="87" t="n"/>
    </row>
    <row r="982">
      <c r="D982" s="87" t="n"/>
      <c r="I982" s="87" t="n"/>
      <c r="M982" s="87" t="n"/>
    </row>
    <row r="983">
      <c r="D983" s="87" t="n"/>
      <c r="I983" s="87" t="n"/>
      <c r="M983" s="87" t="n"/>
    </row>
    <row r="984">
      <c r="D984" s="87" t="n"/>
      <c r="I984" s="87" t="n"/>
      <c r="M984" s="87" t="n"/>
    </row>
    <row r="985">
      <c r="D985" s="87" t="n"/>
      <c r="I985" s="87" t="n"/>
      <c r="M985" s="87" t="n"/>
    </row>
    <row r="986">
      <c r="D986" s="87" t="n"/>
      <c r="I986" s="87" t="n"/>
      <c r="M986" s="87" t="n"/>
    </row>
    <row r="987">
      <c r="D987" s="87" t="n"/>
      <c r="I987" s="87" t="n"/>
      <c r="M987" s="87" t="n"/>
    </row>
    <row r="988">
      <c r="D988" s="87" t="n"/>
      <c r="I988" s="87" t="n"/>
      <c r="M988" s="87" t="n"/>
    </row>
    <row r="989">
      <c r="D989" s="87" t="n"/>
      <c r="I989" s="87" t="n"/>
      <c r="M989" s="87" t="n"/>
    </row>
    <row r="990">
      <c r="D990" s="87" t="n"/>
      <c r="I990" s="87" t="n"/>
      <c r="M990" s="87" t="n"/>
    </row>
    <row r="991">
      <c r="D991" s="87" t="n"/>
      <c r="I991" s="87" t="n"/>
      <c r="M991" s="87" t="n"/>
    </row>
    <row r="992">
      <c r="D992" s="87" t="n"/>
      <c r="I992" s="87" t="n"/>
      <c r="M992" s="87" t="n"/>
    </row>
    <row r="993">
      <c r="D993" s="87" t="n"/>
      <c r="I993" s="87" t="n"/>
      <c r="M993" s="87" t="n"/>
    </row>
    <row r="994">
      <c r="D994" s="87" t="n"/>
      <c r="I994" s="87" t="n"/>
      <c r="M994" s="87" t="n"/>
    </row>
    <row r="995">
      <c r="D995" s="87" t="n"/>
      <c r="I995" s="87" t="n"/>
      <c r="M995" s="87" t="n"/>
    </row>
    <row r="996">
      <c r="D996" s="87" t="n"/>
      <c r="I996" s="87" t="n"/>
      <c r="M996" s="87" t="n"/>
    </row>
    <row r="997">
      <c r="D997" s="87" t="n"/>
      <c r="I997" s="87" t="n"/>
      <c r="M997" s="87" t="n"/>
    </row>
    <row r="998">
      <c r="D998" s="87" t="n"/>
      <c r="I998" s="87" t="n"/>
      <c r="M998" s="87" t="n"/>
    </row>
    <row r="999">
      <c r="D999" s="87" t="n"/>
      <c r="I999" s="87" t="n"/>
      <c r="M999" s="87" t="n"/>
    </row>
    <row r="1000">
      <c r="D1000" s="87" t="n"/>
      <c r="I1000" s="87" t="n"/>
      <c r="M1000" s="87" t="n"/>
    </row>
  </sheetData>
  <mergeCells count="66">
    <mergeCell ref="B91:C91"/>
    <mergeCell ref="B97:C97"/>
    <mergeCell ref="A24:B24"/>
    <mergeCell ref="B16:C16"/>
    <mergeCell ref="B54:C54"/>
    <mergeCell ref="B100:C100"/>
    <mergeCell ref="B7:C7"/>
    <mergeCell ref="B90:C90"/>
    <mergeCell ref="B81:C8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B52:C52"/>
    <mergeCell ref="B21:C21"/>
    <mergeCell ref="B48:C48"/>
    <mergeCell ref="B70:C70"/>
    <mergeCell ref="A99:B99"/>
    <mergeCell ref="B42:C42"/>
    <mergeCell ref="A46:B46"/>
    <mergeCell ref="B61:C61"/>
    <mergeCell ref="B101:C101"/>
    <mergeCell ref="B17:C17"/>
    <mergeCell ref="B88:C88"/>
    <mergeCell ref="B8:C8"/>
    <mergeCell ref="B82:C82"/>
    <mergeCell ref="B53:C53"/>
    <mergeCell ref="B73:C73"/>
    <mergeCell ref="B69:C69"/>
    <mergeCell ref="B38:C38"/>
    <mergeCell ref="B44:C44"/>
    <mergeCell ref="B29:C29"/>
    <mergeCell ref="A77:B77"/>
    <mergeCell ref="B19:C19"/>
    <mergeCell ref="B34:C34"/>
    <mergeCell ref="B37:C37"/>
    <mergeCell ref="A111:C111"/>
    <mergeCell ref="B28:C28"/>
    <mergeCell ref="B103:C103"/>
    <mergeCell ref="B41:C41"/>
    <mergeCell ref="B40:C40"/>
    <mergeCell ref="B49:C49"/>
    <mergeCell ref="B92:C92"/>
    <mergeCell ref="B55:C55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79:C79"/>
    <mergeCell ref="B35:C35"/>
    <mergeCell ref="B106:C10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Right="0"/>
    <pageSetUpPr/>
  </sheetPr>
  <dimension ref="A1:AB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 outlineLevelRow="1"/>
  <cols>
    <col width="31" customWidth="1" style="270" min="3" max="3"/>
    <col width="16.13" customWidth="1" style="270" min="4" max="4"/>
  </cols>
  <sheetData>
    <row r="1" outlineLevel="1" s="270">
      <c r="A1" s="111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215" t="n"/>
      <c r="M1" s="87" t="n"/>
    </row>
    <row r="2" outlineLevel="1" s="270">
      <c r="A2" s="186" t="inlineStr">
        <is>
          <t>VIGENCIA:</t>
        </is>
      </c>
      <c r="B2" s="108" t="n">
        <v>44932</v>
      </c>
      <c r="C2" s="223" t="n"/>
      <c r="D2" s="110" t="n"/>
      <c r="E2" s="111" t="n"/>
      <c r="F2" s="111" t="n"/>
      <c r="G2" s="111" t="n"/>
      <c r="H2" s="111" t="n"/>
      <c r="I2" s="215" t="n"/>
      <c r="M2" s="87" t="n"/>
    </row>
    <row r="3" outlineLevel="1" s="270">
      <c r="A3" s="223" t="n"/>
      <c r="B3" s="223" t="n"/>
      <c r="C3" s="223" t="n"/>
      <c r="D3" s="215" t="n"/>
      <c r="E3" s="223" t="n"/>
      <c r="F3" s="223" t="n"/>
      <c r="G3" s="223" t="n"/>
      <c r="H3" s="223" t="n"/>
      <c r="I3" s="215" t="n"/>
      <c r="M3" s="87" t="n"/>
    </row>
    <row r="4" outlineLevel="1" s="270">
      <c r="A4" s="117" t="inlineStr">
        <is>
          <t>JABONES</t>
        </is>
      </c>
      <c r="B4" s="223" t="n"/>
      <c r="C4" s="223" t="n"/>
      <c r="D4" s="118" t="inlineStr">
        <is>
          <t>Lista 20 con -7 y -2</t>
        </is>
      </c>
      <c r="E4" s="188" t="inlineStr">
        <is>
          <t xml:space="preserve">Mayorista </t>
        </is>
      </c>
      <c r="F4" s="188" t="inlineStr">
        <is>
          <t xml:space="preserve">Minorista </t>
        </is>
      </c>
      <c r="G4" s="188" t="inlineStr">
        <is>
          <t>Minorista con IVA</t>
        </is>
      </c>
      <c r="H4" s="188" t="inlineStr">
        <is>
          <t>Redondeado</t>
        </is>
      </c>
      <c r="I4" s="118" t="inlineStr">
        <is>
          <t>menos 20%</t>
        </is>
      </c>
      <c r="M4" s="87" t="inlineStr">
        <is>
          <t>Anterior</t>
        </is>
      </c>
    </row>
    <row r="5" outlineLevel="1" s="270">
      <c r="A5" s="131" t="n"/>
      <c r="B5" s="223" t="n"/>
      <c r="C5" s="223" t="n"/>
      <c r="D5" s="118" t="n"/>
      <c r="E5" s="188" t="n"/>
      <c r="F5" s="188" t="n"/>
      <c r="G5" s="188" t="n"/>
      <c r="H5" s="188" t="n"/>
      <c r="I5" s="118" t="n"/>
      <c r="M5" s="87" t="n"/>
    </row>
    <row r="6">
      <c r="A6" s="124" t="n"/>
      <c r="B6" s="223" t="n"/>
      <c r="C6" s="223" t="n"/>
      <c r="D6" s="237" t="n"/>
      <c r="E6" s="200" t="n"/>
      <c r="F6" s="200" t="n"/>
      <c r="G6" s="200" t="n"/>
      <c r="H6" s="200" t="n"/>
      <c r="I6" s="237" t="n"/>
      <c r="M6" s="87" t="n"/>
    </row>
    <row r="7">
      <c r="A7" s="124" t="n">
        <v>701</v>
      </c>
      <c r="B7" s="223" t="inlineStr">
        <is>
          <t>Botella 1 lt. Servicio Dilución DMQ</t>
        </is>
      </c>
      <c r="D7" s="237">
        <f>I7*0.93*0.98</f>
        <v/>
      </c>
      <c r="E7" s="237">
        <f>D7*1.3*1.105</f>
        <v/>
      </c>
      <c r="F7" s="237">
        <f>D7*1.3*1.105/0.9</f>
        <v/>
      </c>
      <c r="G7" s="237">
        <f>F7*1.21</f>
        <v/>
      </c>
      <c r="H7" s="237">
        <f>ROUND(G7/100,0)*100</f>
        <v/>
      </c>
      <c r="I7" s="87" t="n">
        <v>966.16</v>
      </c>
      <c r="M7" s="87" t="n">
        <v>830.7137580000001</v>
      </c>
    </row>
    <row r="8">
      <c r="A8" s="124" t="n">
        <v>720</v>
      </c>
      <c r="B8" s="223" t="inlineStr">
        <is>
          <t>Bidon x 5 lts. Jabón Líquido Tocador</t>
        </is>
      </c>
      <c r="D8" s="237">
        <f>I8*0.93*0.98</f>
        <v/>
      </c>
      <c r="E8" s="237">
        <f>D8*1.3*1.105</f>
        <v/>
      </c>
      <c r="F8" s="237">
        <f>D8*1.3*1.105/0.9</f>
        <v/>
      </c>
      <c r="G8" s="237">
        <f>F8*1.21</f>
        <v/>
      </c>
      <c r="H8" s="237">
        <f>ROUND(G8/100,0)*100</f>
        <v/>
      </c>
      <c r="I8" s="87" t="n">
        <v>3030.24</v>
      </c>
      <c r="M8" s="87" t="n">
        <v>2605.437408</v>
      </c>
    </row>
    <row r="9">
      <c r="A9" s="124" t="n"/>
      <c r="B9" s="223" t="n"/>
      <c r="C9" s="223" t="n"/>
      <c r="D9" s="237" t="n"/>
      <c r="E9" s="200" t="n"/>
      <c r="F9" s="200" t="n"/>
      <c r="G9" s="200" t="n"/>
      <c r="H9" s="200" t="n"/>
      <c r="I9" s="87" t="n"/>
      <c r="M9" s="87" t="n"/>
    </row>
    <row r="10">
      <c r="A10" s="117" t="inlineStr">
        <is>
          <t>TOALLAS</t>
        </is>
      </c>
      <c r="B10" s="223" t="n"/>
      <c r="C10" s="223" t="n"/>
      <c r="D10" s="237" t="n"/>
      <c r="E10" s="200" t="n"/>
      <c r="F10" s="200" t="n"/>
      <c r="G10" s="200" t="n"/>
      <c r="H10" s="200" t="n"/>
      <c r="I10" s="87" t="n"/>
      <c r="M10" s="87" t="n"/>
    </row>
    <row r="11">
      <c r="A11" s="131" t="n"/>
      <c r="B11" s="223" t="n"/>
      <c r="C11" s="223" t="n"/>
      <c r="D11" s="237" t="n"/>
      <c r="E11" s="200" t="n"/>
      <c r="F11" s="200" t="n"/>
      <c r="G11" s="200" t="n"/>
      <c r="H11" s="200" t="n"/>
      <c r="I11" s="87" t="n"/>
      <c r="M11" s="87" t="n"/>
    </row>
    <row r="12">
      <c r="A12" s="124" t="n">
        <v>901</v>
      </c>
      <c r="B12" s="223" t="inlineStr">
        <is>
          <t>Toallas Blancas Super 21x25</t>
        </is>
      </c>
      <c r="C12" s="223" t="n"/>
      <c r="D12" s="237">
        <f>I12*0.93*0.98</f>
        <v/>
      </c>
      <c r="E12" s="237">
        <f>D12*1.3*1.105</f>
        <v/>
      </c>
      <c r="F12" s="237">
        <f>D12*1.3*1.105/0.9</f>
        <v/>
      </c>
      <c r="G12" s="237">
        <f>F12*1.21</f>
        <v/>
      </c>
      <c r="H12" s="237">
        <f>ROUND(G12/100,0)*100</f>
        <v/>
      </c>
      <c r="I12" s="87" t="n">
        <v>3595.77</v>
      </c>
      <c r="M12" s="87" t="n">
        <v>3091.678422</v>
      </c>
    </row>
    <row r="13">
      <c r="A13" s="124" t="n">
        <v>902</v>
      </c>
      <c r="B13" s="223" t="inlineStr">
        <is>
          <t>Toallas Blancas Pura Simple</t>
        </is>
      </c>
      <c r="C13" s="223" t="n"/>
      <c r="D13" s="237">
        <f>I13*0.93*0.98</f>
        <v/>
      </c>
      <c r="E13" s="237">
        <f>D13*1.3*1.105</f>
        <v/>
      </c>
      <c r="F13" s="237">
        <f>D13*1.3*1.105/0.9</f>
        <v/>
      </c>
      <c r="G13" s="237">
        <f>F13*1.21</f>
        <v/>
      </c>
      <c r="H13" s="237">
        <f>ROUND(G13/100,0)*100</f>
        <v/>
      </c>
      <c r="I13" s="87" t="n">
        <v>3986.94</v>
      </c>
      <c r="M13" s="87" t="n">
        <v>3428.012364</v>
      </c>
    </row>
    <row r="14">
      <c r="A14" s="124" t="n">
        <v>903</v>
      </c>
      <c r="B14" s="223" t="inlineStr">
        <is>
          <t>Toallas Blancas Pura Doble</t>
        </is>
      </c>
      <c r="C14" s="223" t="n"/>
      <c r="D14" s="237">
        <f>I14*0.93*0.98</f>
        <v/>
      </c>
      <c r="E14" s="237">
        <f>D14*1.3*1.105</f>
        <v/>
      </c>
      <c r="F14" s="237">
        <f>D14*1.3*1.105/0.9</f>
        <v/>
      </c>
      <c r="G14" s="237">
        <f>F14*1.21</f>
        <v/>
      </c>
      <c r="H14" s="237">
        <f>ROUND(G14/100,0)*100</f>
        <v/>
      </c>
      <c r="I14" s="87" t="n">
        <v>4968.66</v>
      </c>
      <c r="M14" s="87" t="n">
        <v>4272.105474</v>
      </c>
    </row>
    <row r="15">
      <c r="A15" s="124" t="n">
        <v>914</v>
      </c>
      <c r="B15" s="223" t="inlineStr">
        <is>
          <t>Toalla Blanca Unitas (17,5x25 cm)</t>
        </is>
      </c>
      <c r="D15" s="237">
        <f>I15*0.93*0.98</f>
        <v/>
      </c>
      <c r="E15" s="237">
        <f>D15*1.3*1.105</f>
        <v/>
      </c>
      <c r="F15" s="237">
        <f>D15*1.3*1.105/0.9</f>
        <v/>
      </c>
      <c r="G15" s="237">
        <f>F15*1.21</f>
        <v/>
      </c>
      <c r="H15" s="237">
        <f>ROUND(G15/100,0)*100</f>
        <v/>
      </c>
      <c r="I15" s="87" t="n">
        <v>2739.86</v>
      </c>
      <c r="M15" s="87" t="n">
        <v>2355.768492</v>
      </c>
    </row>
    <row r="16">
      <c r="A16" s="124" t="n">
        <v>916</v>
      </c>
      <c r="B16" s="223" t="inlineStr">
        <is>
          <t>Toalla Blanca Especial 21 x 25 ( tiza )</t>
        </is>
      </c>
      <c r="D16" s="237">
        <f>I16*0.93*0.98</f>
        <v/>
      </c>
      <c r="E16" s="237">
        <f>D16*1.3*1.105</f>
        <v/>
      </c>
      <c r="F16" s="237">
        <f>D16*1.3*1.105/0.9</f>
        <v/>
      </c>
      <c r="G16" s="237">
        <f>F16*1.21</f>
        <v/>
      </c>
      <c r="H16" s="237">
        <f>ROUND(G16/100,0)*100</f>
        <v/>
      </c>
      <c r="I16" s="87" t="n">
        <v>3353.44</v>
      </c>
      <c r="M16" s="87" t="n">
        <v>2883.323268</v>
      </c>
    </row>
    <row r="17">
      <c r="A17" s="124" t="n">
        <v>920</v>
      </c>
      <c r="B17" s="223" t="inlineStr">
        <is>
          <t>Toalla Blanca Especial 21 x 37 ( tiza )</t>
        </is>
      </c>
      <c r="D17" s="237">
        <f>I17*0.93*0.98</f>
        <v/>
      </c>
      <c r="E17" s="237">
        <f>D17*1.3*1.105</f>
        <v/>
      </c>
      <c r="F17" s="237">
        <f>D17*1.3*1.105/0.9</f>
        <v/>
      </c>
      <c r="G17" s="237">
        <f>F17*1.21</f>
        <v/>
      </c>
      <c r="H17" s="237">
        <f>ROUND(G17/100,0)*100</f>
        <v/>
      </c>
      <c r="I17" s="87" t="n">
        <v>4574.6</v>
      </c>
      <c r="M17" s="87" t="n">
        <v>3933.28341</v>
      </c>
    </row>
    <row r="18">
      <c r="A18" s="124" t="n">
        <v>927</v>
      </c>
      <c r="B18" s="223" t="inlineStr">
        <is>
          <t>Toalla Blanca Especial 17,5 x 25 ( tiza ) Unita</t>
        </is>
      </c>
      <c r="D18" s="237">
        <f>I18*0.93*0.98</f>
        <v/>
      </c>
      <c r="E18" s="237">
        <f>D18*1.3*1.105</f>
        <v/>
      </c>
      <c r="F18" s="237">
        <f>D18*1.3*1.105/0.9</f>
        <v/>
      </c>
      <c r="G18" s="237">
        <f>F18*1.21</f>
        <v/>
      </c>
      <c r="H18" s="237">
        <f>ROUND(G18/100,0)*100</f>
        <v/>
      </c>
      <c r="I18" s="87" t="n">
        <v>2628.68</v>
      </c>
      <c r="M18" s="87" t="n">
        <v>2260.18086</v>
      </c>
    </row>
    <row r="19">
      <c r="A19" s="124" t="n">
        <v>928</v>
      </c>
      <c r="B19" s="223" t="inlineStr">
        <is>
          <t>Cajas x 2500 Toallas Beige 21x37</t>
        </is>
      </c>
      <c r="D19" s="237">
        <f>I19*0.93*0.98</f>
        <v/>
      </c>
      <c r="E19" s="237">
        <f>D19*1.3*1.105</f>
        <v/>
      </c>
      <c r="F19" s="237">
        <f>D19*1.3*1.105/0.9</f>
        <v/>
      </c>
      <c r="G19" s="237">
        <f>F19*1.21</f>
        <v/>
      </c>
      <c r="H19" s="237">
        <f>ROUND(G19/100,0)*100</f>
        <v/>
      </c>
      <c r="I19" s="87" t="n">
        <v>3874.32</v>
      </c>
      <c r="M19" s="87" t="n">
        <v>3331.167</v>
      </c>
    </row>
    <row r="20">
      <c r="A20" s="124" t="n">
        <v>930</v>
      </c>
      <c r="B20" s="223" t="inlineStr">
        <is>
          <t>Toalla Blanca Super 21x37 cm</t>
        </is>
      </c>
      <c r="C20" s="223" t="n"/>
      <c r="D20" s="237">
        <f>I20*0.93*0.98</f>
        <v/>
      </c>
      <c r="E20" s="237">
        <f>D20*1.3*1.105</f>
        <v/>
      </c>
      <c r="F20" s="237">
        <f>D20*1.3*1.105/0.9</f>
        <v/>
      </c>
      <c r="G20" s="237">
        <f>F20*1.21</f>
        <v/>
      </c>
      <c r="H20" s="237">
        <f>ROUND(G20/100,0)*100</f>
        <v/>
      </c>
      <c r="I20" s="87" t="n">
        <v>4944.8</v>
      </c>
      <c r="M20" s="87" t="n">
        <v>4251.580746000001</v>
      </c>
    </row>
    <row r="21">
      <c r="A21" s="124" t="n">
        <v>931</v>
      </c>
      <c r="B21" s="223" t="inlineStr">
        <is>
          <t>Caja x 2500 Toallas Beige Unitas 17,5 cm x 25 cm</t>
        </is>
      </c>
      <c r="D21" s="237">
        <f>I21*0.93*0.98</f>
        <v/>
      </c>
      <c r="E21" s="237">
        <f>D21*1.3*1.105</f>
        <v/>
      </c>
      <c r="F21" s="237">
        <f>D21*1.3*1.105/0.9</f>
        <v/>
      </c>
      <c r="G21" s="237">
        <f>F21*1.21</f>
        <v/>
      </c>
      <c r="H21" s="237">
        <f>ROUND(G21/100,0)*100</f>
        <v/>
      </c>
      <c r="I21" s="87" t="n">
        <v>2418.4</v>
      </c>
      <c r="M21" s="87" t="n">
        <v>2079.3591</v>
      </c>
    </row>
    <row r="22">
      <c r="A22" s="124" t="n">
        <v>932</v>
      </c>
      <c r="B22" s="223" t="inlineStr">
        <is>
          <t>Caja x 2500 Toallas Beige 21 cm x 25 cm simple hoja</t>
        </is>
      </c>
      <c r="D22" s="237">
        <f>I22*0.93*0.98</f>
        <v/>
      </c>
      <c r="E22" s="237">
        <f>D22*1.3*1.105</f>
        <v/>
      </c>
      <c r="F22" s="237">
        <f>D22*1.3*1.105/0.9</f>
        <v/>
      </c>
      <c r="G22" s="237">
        <f>F22*1.21</f>
        <v/>
      </c>
      <c r="H22" s="237">
        <f>ROUND(G22/100,0)*100</f>
        <v/>
      </c>
      <c r="I22" s="87" t="n">
        <v>2757.37</v>
      </c>
      <c r="M22" s="87" t="n">
        <v>2370.815706</v>
      </c>
    </row>
    <row r="23">
      <c r="A23" s="124" t="n"/>
      <c r="B23" s="223" t="n"/>
      <c r="C23" s="223" t="n"/>
      <c r="D23" s="237" t="n"/>
      <c r="E23" s="200" t="n"/>
      <c r="F23" s="200" t="n"/>
      <c r="G23" s="200" t="n"/>
      <c r="H23" s="200" t="n"/>
      <c r="I23" s="87" t="n"/>
      <c r="M23" s="87" t="n"/>
    </row>
    <row r="24">
      <c r="A24" s="117" t="inlineStr">
        <is>
          <t>TOALLAS EN ROLLO</t>
        </is>
      </c>
      <c r="B24" s="271" t="n"/>
      <c r="C24" s="223" t="n"/>
      <c r="D24" s="237" t="n"/>
      <c r="E24" s="200" t="n"/>
      <c r="F24" s="200" t="n"/>
      <c r="G24" s="200" t="n"/>
      <c r="H24" s="200" t="n"/>
      <c r="I24" s="87" t="n"/>
      <c r="M24" s="87" t="n"/>
    </row>
    <row r="25">
      <c r="A25" s="131" t="n"/>
      <c r="B25" s="111" t="n"/>
      <c r="C25" s="223" t="n"/>
      <c r="D25" s="237" t="n"/>
      <c r="E25" s="200" t="n"/>
      <c r="F25" s="200" t="n"/>
      <c r="G25" s="200" t="n"/>
      <c r="H25" s="200" t="n"/>
      <c r="I25" s="87" t="n"/>
      <c r="M25" s="87" t="n"/>
    </row>
    <row r="26">
      <c r="A26" s="124" t="n">
        <v>204</v>
      </c>
      <c r="B26" s="223" t="inlineStr">
        <is>
          <t>Pack X 2 Rollos de toalla x 300 mts Blanca</t>
        </is>
      </c>
      <c r="D26" s="237">
        <f>I26*0.93*0.98</f>
        <v/>
      </c>
      <c r="E26" s="237">
        <f>D26*1.3*1.105</f>
        <v/>
      </c>
      <c r="F26" s="237">
        <f>D26*1.3*1.105/0.9</f>
        <v/>
      </c>
      <c r="G26" s="237">
        <f>F26*1.21</f>
        <v/>
      </c>
      <c r="H26" s="237">
        <f>ROUND(G26/100,0)*100</f>
        <v/>
      </c>
      <c r="I26" s="87" t="n">
        <v>2651.6</v>
      </c>
      <c r="M26" s="87" t="n">
        <v>2279.8671</v>
      </c>
    </row>
    <row r="27">
      <c r="A27" s="124" t="n">
        <v>205</v>
      </c>
      <c r="B27" s="223" t="inlineStr">
        <is>
          <t>Pack X 2 Rollos de toalla x 240 mts Blanca</t>
        </is>
      </c>
      <c r="D27" s="237">
        <f>I27*0.93*0.98</f>
        <v/>
      </c>
      <c r="E27" s="237">
        <f>D27*1.3*1.105</f>
        <v/>
      </c>
      <c r="F27" s="237">
        <f>D27*1.3*1.105/0.9</f>
        <v/>
      </c>
      <c r="G27" s="237">
        <f>F27*1.21</f>
        <v/>
      </c>
      <c r="H27" s="237">
        <f>ROUND(G27/100,0)*100</f>
        <v/>
      </c>
      <c r="I27" s="87" t="n">
        <v>2113.22</v>
      </c>
      <c r="M27" s="87" t="n">
        <v>1816.96704</v>
      </c>
    </row>
    <row r="28">
      <c r="A28" s="124" t="n">
        <v>116</v>
      </c>
      <c r="B28" s="223" t="inlineStr">
        <is>
          <t>Pack x 6 Rollos de Toallas x 200 mts. Blanca</t>
        </is>
      </c>
      <c r="D28" s="237">
        <f>I28*0.93*0.98</f>
        <v/>
      </c>
      <c r="E28" s="237">
        <f>D28*1.3*1.105</f>
        <v/>
      </c>
      <c r="F28" s="237">
        <f>D28*1.3*1.105/0.9</f>
        <v/>
      </c>
      <c r="G28" s="237">
        <f>F28*1.21</f>
        <v/>
      </c>
      <c r="H28" s="237">
        <f>ROUND(G28/100,0)*100</f>
        <v/>
      </c>
      <c r="I28" s="87" t="n">
        <v>5426.84</v>
      </c>
      <c r="M28" s="87" t="n">
        <v>4666.058124</v>
      </c>
    </row>
    <row r="29">
      <c r="A29" s="124" t="n">
        <v>135</v>
      </c>
      <c r="B29" s="223" t="inlineStr">
        <is>
          <t>Recarga Original P/Dispenser Celmatic 2500 U. Dobles</t>
        </is>
      </c>
      <c r="D29" s="237">
        <f>I29*0.93*0.98</f>
        <v/>
      </c>
      <c r="E29" s="237">
        <f>D29*1.3*1.105</f>
        <v/>
      </c>
      <c r="F29" s="237">
        <f>D29*1.3*1.105/0.9</f>
        <v/>
      </c>
      <c r="G29" s="237">
        <f>F29*1.21</f>
        <v/>
      </c>
      <c r="H29" s="237">
        <f>ROUND(G29/100,0)*100</f>
        <v/>
      </c>
      <c r="I29" s="87" t="n">
        <v>6975.2</v>
      </c>
      <c r="M29" s="87" t="n">
        <v>5997.28542</v>
      </c>
    </row>
    <row r="30">
      <c r="A30" s="124" t="n">
        <v>136</v>
      </c>
      <c r="B30" s="223" t="inlineStr">
        <is>
          <t>Pack x 4 Recarga Celmatic Due 2400 U. Dobles</t>
        </is>
      </c>
      <c r="D30" s="237">
        <f>I30*0.93*0.98</f>
        <v/>
      </c>
      <c r="E30" s="237">
        <f>D30*1.3*1.105</f>
        <v/>
      </c>
      <c r="F30" s="237">
        <f>D30*1.3*1.105/0.9</f>
        <v/>
      </c>
      <c r="G30" s="237">
        <f>F30*1.21</f>
        <v/>
      </c>
      <c r="H30" s="237">
        <f>ROUND(G30/100,0)*100</f>
        <v/>
      </c>
      <c r="I30" s="87" t="n">
        <v>5471.48</v>
      </c>
      <c r="M30" s="87" t="n">
        <v>4485.692064000001</v>
      </c>
    </row>
    <row r="31">
      <c r="A31" s="124" t="n"/>
      <c r="B31" s="223" t="n"/>
      <c r="C31" s="223" t="n"/>
      <c r="D31" s="237" t="n"/>
      <c r="E31" s="200" t="n"/>
      <c r="F31" s="200" t="n"/>
      <c r="G31" s="200" t="n"/>
      <c r="H31" s="200" t="n"/>
      <c r="I31" s="87" t="n"/>
      <c r="M31" s="87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 t="n"/>
      <c r="E32" s="190" t="n"/>
      <c r="F32" s="190" t="n"/>
      <c r="G32" s="190" t="n"/>
      <c r="H32" s="190" t="n"/>
      <c r="I32" s="87" t="n"/>
      <c r="M32" s="87" t="n"/>
    </row>
    <row r="33">
      <c r="A33" s="131" t="n"/>
      <c r="B33" s="158" t="n"/>
      <c r="C33" s="223" t="n"/>
      <c r="D33" s="169" t="n"/>
      <c r="E33" s="197" t="n"/>
      <c r="F33" s="197" t="n"/>
      <c r="G33" s="197" t="n"/>
      <c r="H33" s="197" t="n"/>
      <c r="I33" s="87" t="n"/>
      <c r="M33" s="87" t="n"/>
    </row>
    <row r="34">
      <c r="A34" s="124" t="n">
        <v>501</v>
      </c>
      <c r="B34" s="140" t="inlineStr">
        <is>
          <t>Pack x 2 rollos Cel-Soft de 22,5 x 150 mts</t>
        </is>
      </c>
      <c r="D34" s="237">
        <f>I34*0.93*0.98</f>
        <v/>
      </c>
      <c r="E34" s="237">
        <f>D34*1.3*1.105</f>
        <v/>
      </c>
      <c r="F34" s="237">
        <f>D34*1.3*1.105/0.9</f>
        <v/>
      </c>
      <c r="G34" s="237">
        <f>F34*1.21</f>
        <v/>
      </c>
      <c r="H34" s="237">
        <f>ROUND(G34/100,0)*100</f>
        <v/>
      </c>
      <c r="I34" s="87" t="n">
        <v>57</v>
      </c>
      <c r="M34" s="87" t="n">
        <v>51.9498</v>
      </c>
    </row>
    <row r="35">
      <c r="A35" s="124" t="n">
        <v>505</v>
      </c>
      <c r="B35" s="223" t="inlineStr">
        <is>
          <t>Caja x 2000 U. Servilletas Cel-Soft 30 x 40 cm</t>
        </is>
      </c>
      <c r="D35" s="237">
        <f>I35*0.93*0.98</f>
        <v/>
      </c>
      <c r="E35" s="237">
        <f>D35*1.3*1.105</f>
        <v/>
      </c>
      <c r="F35" s="237">
        <f>D35*1.3*1.105/0.9</f>
        <v/>
      </c>
      <c r="G35" s="237">
        <f>F35*1.21</f>
        <v/>
      </c>
      <c r="H35" s="237">
        <f>ROUND(G35/100,0)*100</f>
        <v/>
      </c>
      <c r="I35" s="87" t="n">
        <v>273.74</v>
      </c>
      <c r="M35" s="87" t="n">
        <v>249.486636</v>
      </c>
    </row>
    <row r="36">
      <c r="A36" s="124" t="n">
        <v>506</v>
      </c>
      <c r="B36" s="223" t="inlineStr">
        <is>
          <t>Caja x 3500 Toallas Cel-Soft 21 x 25 cm Blancas</t>
        </is>
      </c>
      <c r="D36" s="237">
        <f>I36*0.93*0.98</f>
        <v/>
      </c>
      <c r="E36" s="237">
        <f>D36*1.3*1.105</f>
        <v/>
      </c>
      <c r="F36" s="237">
        <f>D36*1.3*1.105/0.9</f>
        <v/>
      </c>
      <c r="G36" s="237">
        <f>F36*1.21</f>
        <v/>
      </c>
      <c r="H36" s="237">
        <f>ROUND(G36/100,0)*100</f>
        <v/>
      </c>
      <c r="I36" s="87" t="n">
        <v>153.22</v>
      </c>
      <c r="M36" s="87" t="n">
        <v>139.644708</v>
      </c>
    </row>
    <row r="37">
      <c r="A37" s="124" t="n">
        <v>512</v>
      </c>
      <c r="B37" s="223" t="inlineStr">
        <is>
          <t>Caja x 2000 U. Servilletas Cel-Soft 30 x 25 cm</t>
        </is>
      </c>
      <c r="D37" s="237">
        <f>I37*0.93*0.98</f>
        <v/>
      </c>
      <c r="E37" s="237">
        <f>D37*1.3*1.105</f>
        <v/>
      </c>
      <c r="F37" s="237">
        <f>D37*1.3*1.105/0.9</f>
        <v/>
      </c>
      <c r="G37" s="237">
        <f>F37*1.21</f>
        <v/>
      </c>
      <c r="H37" s="237">
        <f>ROUND(G37/100,0)*100</f>
        <v/>
      </c>
      <c r="I37" s="87" t="n">
        <v>173.66</v>
      </c>
      <c r="M37" s="87" t="n">
        <v>158.273724</v>
      </c>
    </row>
    <row r="38">
      <c r="A38" s="124" t="n">
        <v>514</v>
      </c>
      <c r="B38" s="223" t="inlineStr">
        <is>
          <t>Caja por 600 servilletas Celsoft 40x40 Victoria Ambra</t>
        </is>
      </c>
      <c r="D38" s="237">
        <f>I38*0.93*0.98</f>
        <v/>
      </c>
      <c r="E38" s="237">
        <f>D38*1.3*1.105</f>
        <v/>
      </c>
      <c r="F38" s="237">
        <f>D38*1.3*1.105/0.9</f>
        <v/>
      </c>
      <c r="G38" s="237">
        <f>F38*1.21</f>
        <v/>
      </c>
      <c r="H38" s="237">
        <f>ROUND(G38/100,0)*100</f>
        <v/>
      </c>
      <c r="I38" s="87" t="n">
        <v>187.2</v>
      </c>
      <c r="M38" s="87" t="n">
        <v>170.61408</v>
      </c>
    </row>
    <row r="39">
      <c r="A39" s="124" t="n">
        <v>515</v>
      </c>
      <c r="B39" s="223" t="inlineStr">
        <is>
          <t>Caja por 600 servilletas Celsoft 40x40 Victoria Nero</t>
        </is>
      </c>
      <c r="D39" s="237">
        <f>I39*0.93*0.98</f>
        <v/>
      </c>
      <c r="E39" s="237">
        <f>D39*1.3*1.105</f>
        <v/>
      </c>
      <c r="F39" s="237">
        <f>D39*1.3*1.105/0.9</f>
        <v/>
      </c>
      <c r="G39" s="237">
        <f>F39*1.21</f>
        <v/>
      </c>
      <c r="H39" s="237">
        <f>ROUND(G39/100,0)*100</f>
        <v/>
      </c>
      <c r="I39" s="87" t="n">
        <v>187.2</v>
      </c>
      <c r="M39" s="87" t="n">
        <v>170.61408</v>
      </c>
    </row>
    <row r="40">
      <c r="A40" s="124" t="n">
        <v>516</v>
      </c>
      <c r="B40" s="223" t="inlineStr">
        <is>
          <t>Caja por 600 servilletas Celsoft 40x40 Tasca Bordeaux</t>
        </is>
      </c>
      <c r="D40" s="237">
        <f>I40*0.93*0.98</f>
        <v/>
      </c>
      <c r="E40" s="237">
        <f>D40*1.3*1.105</f>
        <v/>
      </c>
      <c r="F40" s="237">
        <f>D40*1.3*1.105/0.9</f>
        <v/>
      </c>
      <c r="G40" s="237">
        <f>F40*1.21</f>
        <v/>
      </c>
      <c r="H40" s="237">
        <f>ROUND(G40/100,0)*100</f>
        <v/>
      </c>
      <c r="I40" s="87" t="n">
        <v>220.74</v>
      </c>
      <c r="M40" s="87" t="n">
        <v>201.182436</v>
      </c>
    </row>
    <row r="41">
      <c r="A41" s="124" t="n">
        <v>517</v>
      </c>
      <c r="B41" s="223" t="inlineStr">
        <is>
          <t>Caja por 600 servilletas Celsoft 40x40 Tasca Nero</t>
        </is>
      </c>
      <c r="D41" s="237">
        <f>I41*0.93*0.98</f>
        <v/>
      </c>
      <c r="E41" s="237">
        <f>D41*1.3*1.105</f>
        <v/>
      </c>
      <c r="F41" s="237">
        <f>D41*1.3*1.105/0.9</f>
        <v/>
      </c>
      <c r="G41" s="237">
        <f>F41*1.21</f>
        <v/>
      </c>
      <c r="H41" s="237">
        <f>ROUND(G41/100,0)*100</f>
        <v/>
      </c>
      <c r="I41" s="87" t="n">
        <v>220.74</v>
      </c>
      <c r="M41" s="87" t="n">
        <v>201.182436</v>
      </c>
    </row>
    <row r="42">
      <c r="A42" s="124" t="n">
        <v>518</v>
      </c>
      <c r="B42" s="223" t="inlineStr">
        <is>
          <t>Caja por 600 servilletas Celsoft 40x40 Tasca Lino Avorio</t>
        </is>
      </c>
      <c r="D42" s="237">
        <f>I42*0.93*0.98</f>
        <v/>
      </c>
      <c r="E42" s="237">
        <f>D42*1.3*1.105</f>
        <v/>
      </c>
      <c r="F42" s="237">
        <f>D42*1.3*1.105/0.9</f>
        <v/>
      </c>
      <c r="G42" s="237">
        <f>F42*1.21</f>
        <v/>
      </c>
      <c r="H42" s="237">
        <f>ROUND(G42/100,0)*100</f>
        <v/>
      </c>
      <c r="I42" s="87" t="n">
        <v>187.2</v>
      </c>
      <c r="M42" s="87" t="n">
        <v>170.61408</v>
      </c>
    </row>
    <row r="43">
      <c r="A43" s="124" t="n">
        <v>519</v>
      </c>
      <c r="B43" s="223" t="inlineStr">
        <is>
          <t>Caja por 600 servilletas Celsoft 40x40 Taca Iuta Grigio</t>
        </is>
      </c>
      <c r="D43" s="237">
        <f>I43*0.93*0.98</f>
        <v/>
      </c>
      <c r="E43" s="237">
        <f>D43*1.3*1.105</f>
        <v/>
      </c>
      <c r="F43" s="237">
        <f>D43*1.3*1.105/0.9</f>
        <v/>
      </c>
      <c r="G43" s="237">
        <f>F43*1.21</f>
        <v/>
      </c>
      <c r="H43" s="237">
        <f>ROUND(G43/100,0)*100</f>
        <v/>
      </c>
      <c r="I43" s="87" t="n">
        <v>187.2</v>
      </c>
      <c r="M43" s="87" t="n">
        <v>170.61408</v>
      </c>
    </row>
    <row r="44">
      <c r="A44" s="124" t="n">
        <v>520</v>
      </c>
      <c r="B44" s="223" t="inlineStr">
        <is>
          <t>Caja de servilletas Celsoft 40 x 40 SAMPLER 300 Unid</t>
        </is>
      </c>
      <c r="D44" s="237">
        <f>I44*0.93*0.98</f>
        <v/>
      </c>
      <c r="E44" s="237">
        <f>D44*1.3*1.105</f>
        <v/>
      </c>
      <c r="F44" s="237">
        <f>D44*1.3*1.105/0.9</f>
        <v/>
      </c>
      <c r="G44" s="237">
        <f>F44*1.21</f>
        <v/>
      </c>
      <c r="H44" s="237">
        <f>ROUND(G44/100,0)*100</f>
        <v/>
      </c>
      <c r="I44" s="87" t="n">
        <v>99.09</v>
      </c>
      <c r="M44" s="87" t="n">
        <v>90.31062600000001</v>
      </c>
    </row>
    <row r="45">
      <c r="A45" s="124" t="n"/>
      <c r="B45" s="223" t="n"/>
      <c r="C45" s="223" t="n"/>
      <c r="D45" s="237" t="n"/>
      <c r="E45" s="200" t="n"/>
      <c r="F45" s="200" t="n"/>
      <c r="G45" s="200" t="n"/>
      <c r="H45" s="200" t="n"/>
      <c r="I45" s="87" t="n"/>
      <c r="M45" s="87" t="n"/>
    </row>
    <row r="46">
      <c r="A46" s="142" t="inlineStr">
        <is>
          <t>PAPEL HIGIENICO</t>
        </is>
      </c>
      <c r="B46" s="271" t="n"/>
      <c r="C46" s="223" t="n"/>
      <c r="D46" s="237" t="n"/>
      <c r="E46" s="200" t="n"/>
      <c r="F46" s="200" t="n"/>
      <c r="G46" s="200" t="n"/>
      <c r="H46" s="200" t="n"/>
      <c r="I46" s="87" t="n"/>
      <c r="M46" s="87" t="n"/>
    </row>
    <row r="47">
      <c r="A47" s="111" t="n"/>
      <c r="B47" s="223" t="n"/>
      <c r="C47" s="223" t="n"/>
      <c r="D47" s="237" t="n"/>
      <c r="E47" s="200" t="n"/>
      <c r="F47" s="200" t="n"/>
      <c r="G47" s="200" t="n"/>
      <c r="H47" s="200" t="n"/>
      <c r="I47" s="87" t="n"/>
      <c r="M47" s="87" t="n"/>
    </row>
    <row r="48">
      <c r="A48" s="124" t="n">
        <v>211</v>
      </c>
      <c r="B48" s="223" t="inlineStr">
        <is>
          <t>Pack x18 Rollos Higienico Racional D/H x 60 mts</t>
        </is>
      </c>
      <c r="D48" s="237">
        <f>I48*0.93*0.98</f>
        <v/>
      </c>
      <c r="E48" s="237">
        <f>D48*1.3*1.105</f>
        <v/>
      </c>
      <c r="F48" s="237">
        <f>D48*1.3*1.105/0.9</f>
        <v/>
      </c>
      <c r="G48" s="237">
        <f>F48*1.21</f>
        <v/>
      </c>
      <c r="H48" s="237">
        <f>ROUND(G48/100,0)*100</f>
        <v/>
      </c>
      <c r="I48" s="87" t="n">
        <v>3886.68</v>
      </c>
      <c r="M48" s="87" t="n">
        <v>3341.803038</v>
      </c>
    </row>
    <row r="49">
      <c r="A49" s="124" t="n">
        <v>213</v>
      </c>
      <c r="B49" s="223" t="inlineStr">
        <is>
          <t>Pack x 4 Rollos Higienico Racional x 500 mts Buje 7,5</t>
        </is>
      </c>
      <c r="D49" s="237">
        <f>I49*0.93*0.98</f>
        <v/>
      </c>
      <c r="E49" s="237">
        <f>D49*1.3*1.105</f>
        <v/>
      </c>
      <c r="F49" s="237">
        <f>D49*1.3*1.105/0.9</f>
        <v/>
      </c>
      <c r="G49" s="237">
        <f>F49*1.21</f>
        <v/>
      </c>
      <c r="H49" s="237">
        <f>ROUND(G49/100,0)*100</f>
        <v/>
      </c>
      <c r="I49" s="87" t="n">
        <v>3012.24</v>
      </c>
      <c r="M49" s="87" t="n">
        <v>2589.934494</v>
      </c>
    </row>
    <row r="50">
      <c r="A50" s="182" t="n">
        <v>214</v>
      </c>
      <c r="B50" s="224" t="inlineStr">
        <is>
          <t>Pack x 18 rollos Papel Higienico Racional x 122 mts</t>
        </is>
      </c>
      <c r="D50" s="184">
        <f>I50*0.93*0.98</f>
        <v/>
      </c>
      <c r="E50" s="184">
        <f>D50*1.3*1.105</f>
        <v/>
      </c>
      <c r="F50" s="184">
        <f>D50*1.3*1.105/0.9</f>
        <v/>
      </c>
      <c r="G50" s="184">
        <f>F50*1.21</f>
        <v/>
      </c>
      <c r="H50" s="184">
        <f>ROUND(G50/100,0)*100</f>
        <v/>
      </c>
      <c r="I50" s="194" t="n">
        <v>3700.73</v>
      </c>
      <c r="J50" s="193" t="n"/>
      <c r="K50" s="193" t="n"/>
      <c r="L50" s="193" t="n"/>
      <c r="M50" s="194" t="n">
        <v>3181.934364</v>
      </c>
      <c r="N50" s="193" t="n"/>
      <c r="O50" s="193" t="n"/>
      <c r="P50" s="193" t="n"/>
      <c r="Q50" s="193" t="n"/>
      <c r="R50" s="193" t="n"/>
      <c r="S50" s="193" t="n"/>
      <c r="T50" s="193" t="n"/>
      <c r="U50" s="193" t="n"/>
      <c r="V50" s="193" t="n"/>
      <c r="W50" s="193" t="n"/>
      <c r="X50" s="193" t="n"/>
      <c r="Y50" s="193" t="n"/>
      <c r="Z50" s="193" t="n"/>
      <c r="AA50" s="193" t="n"/>
      <c r="AB50" s="193" t="n"/>
    </row>
    <row r="51">
      <c r="A51" s="124" t="n">
        <v>218</v>
      </c>
      <c r="B51" s="223" t="inlineStr">
        <is>
          <t>Pack x 8 rollos Higienico Racional x 265 mts buje 7,5</t>
        </is>
      </c>
      <c r="D51" s="237">
        <f>I51*0.93*0.98</f>
        <v/>
      </c>
      <c r="E51" s="237">
        <f>D51*1.3*1.105</f>
        <v/>
      </c>
      <c r="F51" s="237">
        <f>D51*1.3*1.105/0.9</f>
        <v/>
      </c>
      <c r="G51" s="237">
        <f>F51*1.21</f>
        <v/>
      </c>
      <c r="H51" s="237">
        <f>ROUND(G51/100,0)*100</f>
        <v/>
      </c>
      <c r="I51" s="87" t="n">
        <v>3406.08</v>
      </c>
      <c r="M51" s="87" t="n">
        <v>2928.565164000001</v>
      </c>
    </row>
    <row r="52">
      <c r="A52" s="124" t="n">
        <v>220</v>
      </c>
      <c r="B52" s="223" t="inlineStr">
        <is>
          <t>Pack x 8 Rollos Papel Higienico Racional x 300 mts</t>
        </is>
      </c>
      <c r="D52" s="237">
        <f>I52*0.93*0.98</f>
        <v/>
      </c>
      <c r="E52" s="237">
        <f>D52*1.3*1.105</f>
        <v/>
      </c>
      <c r="F52" s="237">
        <f>D52*1.3*1.105/0.9</f>
        <v/>
      </c>
      <c r="G52" s="237">
        <f>F52*1.21</f>
        <v/>
      </c>
      <c r="H52" s="237">
        <f>ROUND(G52/100,0)*100</f>
        <v/>
      </c>
      <c r="I52" s="87" t="n">
        <v>3881.33</v>
      </c>
      <c r="M52" s="87" t="n">
        <v>3337.209582</v>
      </c>
    </row>
    <row r="53">
      <c r="A53" s="124" t="n">
        <v>222</v>
      </c>
      <c r="B53" s="223" t="inlineStr">
        <is>
          <t>Pack x 8 Rollos Papel Higienico x 260 mts Buje4,5</t>
        </is>
      </c>
      <c r="D53" s="237">
        <f>I53*0.93*0.98</f>
        <v/>
      </c>
      <c r="E53" s="237">
        <f>D53*1.3*1.105</f>
        <v/>
      </c>
      <c r="F53" s="237">
        <f>D53*1.3*1.105/0.9</f>
        <v/>
      </c>
      <c r="G53" s="237">
        <f>F53*1.21</f>
        <v/>
      </c>
      <c r="H53" s="237">
        <f>ROUND(G53/100,0)*100</f>
        <v/>
      </c>
      <c r="I53" s="87" t="n">
        <v>3294.96</v>
      </c>
      <c r="M53" s="87" t="n">
        <v>2833.050444</v>
      </c>
    </row>
    <row r="54">
      <c r="A54" s="124" t="n">
        <v>909</v>
      </c>
      <c r="B54" s="223" t="inlineStr">
        <is>
          <t>Papel Higiénico 20 x 14,5 8000 h. 4000 usos</t>
        </is>
      </c>
      <c r="D54" s="237">
        <f>I54*0.93*0.98</f>
        <v/>
      </c>
      <c r="E54" s="237">
        <f>D54*1.3*1.105</f>
        <v/>
      </c>
      <c r="F54" s="237">
        <f>D54*1.3*1.105/0.9</f>
        <v/>
      </c>
      <c r="G54" s="237">
        <f>F54*1.21</f>
        <v/>
      </c>
      <c r="H54" s="237">
        <f>ROUND(G54/100,0)*100</f>
        <v/>
      </c>
      <c r="I54" s="87" t="n">
        <v>5088.8</v>
      </c>
      <c r="M54" s="87" t="n">
        <v>4375.35798</v>
      </c>
    </row>
    <row r="55">
      <c r="A55" s="124" t="n">
        <v>912</v>
      </c>
      <c r="B55" s="223" t="inlineStr">
        <is>
          <t>Papel Higienico UNITAS(18x14,5cm) 8000 h/4000 usos</t>
        </is>
      </c>
      <c r="D55" s="237">
        <f>I55*0.93*0.98</f>
        <v/>
      </c>
      <c r="E55" s="237">
        <f>D55*1.3*1.105</f>
        <v/>
      </c>
      <c r="F55" s="237">
        <f>D55*1.3*1.105/0.9</f>
        <v/>
      </c>
      <c r="G55" s="237">
        <f>F55*1.21</f>
        <v/>
      </c>
      <c r="H55" s="237">
        <f>ROUND(G55/100,0)*100</f>
        <v/>
      </c>
      <c r="I55" s="87" t="n">
        <v>4088.97</v>
      </c>
      <c r="M55" s="87" t="n">
        <v>3515.743728</v>
      </c>
    </row>
    <row r="56">
      <c r="A56" s="124" t="n"/>
      <c r="B56" s="223" t="n"/>
      <c r="C56" s="223" t="n"/>
      <c r="D56" s="237" t="n"/>
      <c r="E56" s="200" t="n"/>
      <c r="F56" s="200" t="n"/>
      <c r="G56" s="200" t="n"/>
      <c r="H56" s="200" t="n"/>
      <c r="I56" s="87" t="n"/>
      <c r="M56" s="87" t="n"/>
    </row>
    <row r="57">
      <c r="A57" s="124" t="n"/>
      <c r="B57" s="108" t="n">
        <v>44896</v>
      </c>
      <c r="C57" s="223" t="n"/>
      <c r="D57" s="237" t="n"/>
      <c r="E57" s="200" t="n"/>
      <c r="F57" s="200" t="n"/>
      <c r="G57" s="200" t="n"/>
      <c r="H57" s="200" t="n"/>
      <c r="I57" s="87" t="n"/>
      <c r="M57" s="87" t="n"/>
    </row>
    <row r="58">
      <c r="A58" s="124" t="n"/>
      <c r="B58" s="223" t="n"/>
      <c r="C58" s="223" t="n"/>
      <c r="D58" s="237" t="n"/>
      <c r="E58" s="200" t="n"/>
      <c r="F58" s="200" t="n"/>
      <c r="G58" s="200" t="n"/>
      <c r="H58" s="200" t="n"/>
      <c r="I58" s="87" t="n"/>
      <c r="M58" s="87" t="n"/>
    </row>
    <row r="59">
      <c r="A59" s="117" t="inlineStr">
        <is>
          <t>CAMILLEROS</t>
        </is>
      </c>
      <c r="B59" s="223" t="n"/>
      <c r="C59" s="223" t="n"/>
      <c r="D59" s="237" t="n"/>
      <c r="E59" s="200" t="n"/>
      <c r="F59" s="200" t="n"/>
      <c r="G59" s="200" t="n"/>
      <c r="H59" s="200" t="n"/>
      <c r="I59" s="87" t="n"/>
      <c r="M59" s="87" t="n"/>
    </row>
    <row r="60">
      <c r="A60" s="131" t="n"/>
      <c r="B60" s="223" t="n"/>
      <c r="C60" s="223" t="n"/>
      <c r="D60" s="237" t="n"/>
      <c r="E60" s="200" t="n"/>
      <c r="F60" s="200" t="n"/>
      <c r="G60" s="200" t="n"/>
      <c r="H60" s="200" t="n"/>
      <c r="I60" s="87" t="n"/>
      <c r="M60" s="87" t="n"/>
    </row>
    <row r="61">
      <c r="A61" s="124" t="n">
        <v>301</v>
      </c>
      <c r="B61" s="223" t="inlineStr">
        <is>
          <t>Pack x 2 Rollos Camilleros bco s/h 54x100mts Prec</t>
        </is>
      </c>
      <c r="D61" s="154">
        <f>I61*0.93*0.98</f>
        <v/>
      </c>
      <c r="E61" s="237">
        <f>D61*1.3*1.105</f>
        <v/>
      </c>
      <c r="F61" s="237">
        <f>D61*1.3*1.105/0.9</f>
        <v/>
      </c>
      <c r="G61" s="237">
        <f>F61*1.21</f>
        <v/>
      </c>
      <c r="H61" s="237">
        <f>ROUND(G61/100,0)*100</f>
        <v/>
      </c>
      <c r="I61" s="87" t="n">
        <v>4100</v>
      </c>
      <c r="M61" s="87" t="n">
        <v>3524.875956</v>
      </c>
    </row>
    <row r="62">
      <c r="A62" s="124" t="n"/>
      <c r="B62" s="155" t="n"/>
      <c r="C62" s="223" t="n"/>
      <c r="D62" s="237" t="n"/>
      <c r="E62" s="200" t="n"/>
      <c r="F62" s="200" t="n"/>
      <c r="G62" s="200" t="n"/>
      <c r="H62" s="200" t="n"/>
      <c r="I62" s="87" t="n"/>
      <c r="M62" s="87" t="n"/>
    </row>
    <row r="63">
      <c r="A63" s="142" t="inlineStr">
        <is>
          <t>DISPENSERS</t>
        </is>
      </c>
      <c r="B63" s="223" t="n"/>
      <c r="C63" s="223" t="n"/>
      <c r="D63" s="237" t="n"/>
      <c r="E63" s="200" t="n"/>
      <c r="F63" s="200" t="n"/>
      <c r="G63" s="200" t="n"/>
      <c r="H63" s="200" t="n"/>
      <c r="I63" s="87" t="n"/>
      <c r="M63" s="87" t="n"/>
    </row>
    <row r="64">
      <c r="A64" s="111" t="n"/>
      <c r="B64" s="223" t="n"/>
      <c r="C64" s="223" t="n"/>
      <c r="D64" s="237" t="n"/>
      <c r="E64" s="200" t="n"/>
      <c r="F64" s="200" t="n"/>
      <c r="G64" s="200" t="n"/>
      <c r="H64" s="200" t="n"/>
      <c r="I64" s="87" t="n"/>
      <c r="M64" s="87" t="n"/>
    </row>
    <row r="65">
      <c r="A65" s="124" t="n">
        <v>403</v>
      </c>
      <c r="B65" s="223" t="inlineStr">
        <is>
          <t>Portabobina de Pared</t>
        </is>
      </c>
      <c r="C65" s="223" t="n"/>
      <c r="D65" s="237">
        <f>I65*0.93*0.98</f>
        <v/>
      </c>
      <c r="E65" s="237">
        <f>D65*1.3*1.105</f>
        <v/>
      </c>
      <c r="F65" s="237">
        <f>D65*1.3*1.105/0.9</f>
        <v/>
      </c>
      <c r="G65" s="237">
        <f>F65*1.21</f>
        <v/>
      </c>
      <c r="H65" s="237">
        <f>ROUND(G65/100,0)*100</f>
        <v/>
      </c>
      <c r="I65" s="87" t="n">
        <v>6666.72</v>
      </c>
      <c r="M65" s="87" t="n">
        <v>5732.122704</v>
      </c>
    </row>
    <row r="66">
      <c r="A66" s="124" t="n">
        <v>404</v>
      </c>
      <c r="B66" s="223" t="inlineStr">
        <is>
          <t>Portarollo para Camilla</t>
        </is>
      </c>
      <c r="C66" s="223" t="n"/>
      <c r="D66" s="237">
        <f>I66*0.93*0.98</f>
        <v/>
      </c>
      <c r="E66" s="237">
        <f>D66*1.3*1.105</f>
        <v/>
      </c>
      <c r="F66" s="237">
        <f>D66*1.3*1.105/0.9</f>
        <v/>
      </c>
      <c r="G66" s="237">
        <f>F66*1.21</f>
        <v/>
      </c>
      <c r="H66" s="237">
        <f>ROUND(G66/100,0)*100</f>
        <v/>
      </c>
      <c r="I66" s="87" t="n">
        <v>0</v>
      </c>
      <c r="M66" s="87" t="n">
        <v>0</v>
      </c>
    </row>
    <row r="67">
      <c r="A67" s="124" t="n">
        <v>418</v>
      </c>
      <c r="B67" s="223" t="inlineStr">
        <is>
          <t>Portabobina de Piso</t>
        </is>
      </c>
      <c r="C67" s="223" t="n"/>
      <c r="D67" s="237">
        <f>I67*0.93*0.98</f>
        <v/>
      </c>
      <c r="E67" s="237">
        <f>D67*1.3*1.105</f>
        <v/>
      </c>
      <c r="F67" s="237">
        <f>D67*1.3*1.105/0.9</f>
        <v/>
      </c>
      <c r="G67" s="237">
        <f>F67*1.21</f>
        <v/>
      </c>
      <c r="H67" s="237">
        <f>ROUND(G67/100,0)*100</f>
        <v/>
      </c>
      <c r="I67" s="87" t="n">
        <v>7333.2</v>
      </c>
      <c r="M67" s="87" t="n">
        <v>6305.165454</v>
      </c>
    </row>
    <row r="68">
      <c r="A68" s="124" t="n">
        <v>422</v>
      </c>
      <c r="B68" s="223" t="inlineStr">
        <is>
          <t>Dispenser Celmatic Due</t>
        </is>
      </c>
      <c r="C68" s="223" t="n"/>
      <c r="D68" s="237">
        <f>I68*0.93*0.98</f>
        <v/>
      </c>
      <c r="E68" s="237">
        <f>D68*1.3*1.105</f>
        <v/>
      </c>
      <c r="F68" s="237">
        <f>D68*1.3*1.105/0.9</f>
        <v/>
      </c>
      <c r="G68" s="237">
        <f>F68*1.21</f>
        <v/>
      </c>
      <c r="H68" s="237">
        <f>ROUND(G68/100,0)*100</f>
        <v/>
      </c>
      <c r="I68" s="87" t="n">
        <v>9391.200000000001</v>
      </c>
      <c r="M68" s="87" t="n">
        <v>8074.612098000001</v>
      </c>
    </row>
    <row r="69">
      <c r="A69" s="124" t="n">
        <v>425</v>
      </c>
      <c r="B69" s="223" t="inlineStr">
        <is>
          <t>Dosificador para Jabón Líquido Recargable</t>
        </is>
      </c>
      <c r="D69" s="237">
        <f>I69*0.93*0.98</f>
        <v/>
      </c>
      <c r="E69" s="237">
        <f>D69*1.3*1.105</f>
        <v/>
      </c>
      <c r="F69" s="237">
        <f>D69*1.3*1.105/0.9</f>
        <v/>
      </c>
      <c r="G69" s="237">
        <f>F69*1.21</f>
        <v/>
      </c>
      <c r="H69" s="237">
        <f>ROUND(G69/100,0)*100</f>
        <v/>
      </c>
      <c r="I69" s="87" t="n">
        <v>3524.8</v>
      </c>
      <c r="M69" s="87" t="n">
        <v>3030.487026</v>
      </c>
    </row>
    <row r="70">
      <c r="A70" s="124" t="n">
        <v>427</v>
      </c>
      <c r="B70" s="223" t="inlineStr">
        <is>
          <t>Dispenser Para Papel Higienico Racional 350</t>
        </is>
      </c>
      <c r="D70" s="237">
        <f>I70*0.93*0.98</f>
        <v/>
      </c>
      <c r="E70" s="237">
        <f>D70*1.3*1.105</f>
        <v/>
      </c>
      <c r="F70" s="237">
        <f>D70*1.3*1.105/0.9</f>
        <v/>
      </c>
      <c r="G70" s="237">
        <f>F70*1.21</f>
        <v/>
      </c>
      <c r="H70" s="237">
        <f>ROUND(G70/100,0)*100</f>
        <v/>
      </c>
      <c r="I70" s="87" t="n">
        <v>4305.6</v>
      </c>
      <c r="M70" s="87" t="n">
        <v>3701.6511</v>
      </c>
    </row>
    <row r="71">
      <c r="A71" s="124" t="n">
        <v>428</v>
      </c>
      <c r="B71" s="223" t="inlineStr">
        <is>
          <t>Dispenser para Papel Higiénico</t>
        </is>
      </c>
      <c r="C71" s="223" t="n"/>
      <c r="D71" s="237">
        <f>I71*0.93*0.98</f>
        <v/>
      </c>
      <c r="E71" s="237">
        <f>D71*1.3*1.105</f>
        <v/>
      </c>
      <c r="F71" s="237">
        <f>D71*1.3*1.105/0.9</f>
        <v/>
      </c>
      <c r="G71" s="237">
        <f>F71*1.21</f>
        <v/>
      </c>
      <c r="H71" s="237">
        <f>ROUND(G71/100,0)*100</f>
        <v/>
      </c>
      <c r="I71" s="87" t="n">
        <v>4923.6</v>
      </c>
      <c r="M71" s="87" t="n">
        <v>4233.325404</v>
      </c>
    </row>
    <row r="72">
      <c r="A72" s="124" t="n">
        <v>429</v>
      </c>
      <c r="B72" s="223" t="inlineStr">
        <is>
          <t>Dispenser para Toallas de Papel</t>
        </is>
      </c>
      <c r="C72" s="223" t="n"/>
      <c r="D72" s="237">
        <f>I72*0.93*0.98</f>
        <v/>
      </c>
      <c r="E72" s="237">
        <f>D72*1.3*1.105</f>
        <v/>
      </c>
      <c r="F72" s="237">
        <f>D72*1.3*1.105/0.9</f>
        <v/>
      </c>
      <c r="G72" s="237">
        <f>F72*1.21</f>
        <v/>
      </c>
      <c r="H72" s="237">
        <f>ROUND(G72/100,0)*100</f>
        <v/>
      </c>
      <c r="I72" s="87" t="n">
        <v>3532.32</v>
      </c>
      <c r="M72" s="87" t="n">
        <v>3037.112904</v>
      </c>
    </row>
    <row r="73">
      <c r="A73" s="124" t="n">
        <v>430</v>
      </c>
      <c r="B73" s="223" t="inlineStr">
        <is>
          <t>Dispenser Para Papel Higienico Racional 600</t>
        </is>
      </c>
      <c r="D73" s="237">
        <f>I73*0.93*0.98</f>
        <v/>
      </c>
      <c r="E73" s="237">
        <f>D73*1.3*1.105</f>
        <v/>
      </c>
      <c r="F73" s="237">
        <f>D73*1.3*1.105/0.9</f>
        <v/>
      </c>
      <c r="G73" s="237">
        <f>F73*1.21</f>
        <v/>
      </c>
      <c r="H73" s="237">
        <f>ROUND(G73/100,0)*100</f>
        <v/>
      </c>
      <c r="I73" s="87" t="n">
        <v>6930.72</v>
      </c>
      <c r="M73" s="87" t="n">
        <v>5959.09776</v>
      </c>
    </row>
    <row r="74">
      <c r="A74" s="124" t="n"/>
      <c r="B74" s="223" t="n"/>
      <c r="C74" s="223" t="n"/>
      <c r="D74" s="237" t="n"/>
      <c r="E74" s="200" t="n"/>
      <c r="F74" s="200" t="n"/>
      <c r="G74" s="200" t="n"/>
      <c r="H74" s="200" t="n"/>
      <c r="I74" s="87" t="n"/>
      <c r="M74" s="87" t="n"/>
    </row>
    <row r="75">
      <c r="A75" s="124" t="n"/>
      <c r="B75" s="223" t="n"/>
      <c r="C75" s="223" t="n"/>
      <c r="D75" s="237" t="n"/>
      <c r="E75" s="200" t="n"/>
      <c r="F75" s="200" t="n"/>
      <c r="G75" s="200" t="n"/>
      <c r="H75" s="200" t="n"/>
      <c r="I75" s="87" t="n"/>
      <c r="M75" s="87" t="n"/>
    </row>
    <row r="76">
      <c r="A76" s="124" t="n"/>
      <c r="B76" s="223" t="n"/>
      <c r="C76" s="223" t="n"/>
      <c r="D76" s="237" t="n"/>
      <c r="E76" s="200" t="n"/>
      <c r="F76" s="200" t="n"/>
      <c r="G76" s="200" t="n"/>
      <c r="H76" s="200" t="n"/>
      <c r="I76" s="87" t="n"/>
      <c r="M76" s="87" t="n"/>
    </row>
    <row r="77">
      <c r="A77" s="117" t="inlineStr">
        <is>
          <t>LIMPIEZA INDUSTRIAL</t>
        </is>
      </c>
      <c r="B77" s="271" t="n"/>
      <c r="C77" s="223" t="n"/>
      <c r="D77" s="237" t="n"/>
      <c r="E77" s="200" t="n"/>
      <c r="F77" s="200" t="n"/>
      <c r="G77" s="200" t="n"/>
      <c r="H77" s="200" t="n"/>
      <c r="I77" s="87" t="n"/>
      <c r="M77" s="87" t="n"/>
    </row>
    <row r="78">
      <c r="A78" s="131" t="n"/>
      <c r="B78" s="223" t="n"/>
      <c r="C78" s="223" t="n"/>
      <c r="D78" s="237" t="n"/>
      <c r="E78" s="200" t="n"/>
      <c r="F78" s="200" t="n"/>
      <c r="G78" s="200" t="n"/>
      <c r="H78" s="200" t="n"/>
      <c r="I78" s="87" t="n"/>
      <c r="M78" s="87" t="n"/>
    </row>
    <row r="79">
      <c r="A79" s="182" t="n">
        <v>101</v>
      </c>
      <c r="B79" s="224" t="inlineStr">
        <is>
          <t>Pack x 6 bobinas 22,5 cm x 300 porciones</t>
        </is>
      </c>
      <c r="D79" s="184">
        <f>I79*0.93*0.98</f>
        <v/>
      </c>
      <c r="E79" s="184">
        <f>D79*1.3*1.105</f>
        <v/>
      </c>
      <c r="F79" s="184">
        <f>D79*1.3*1.105/0.9</f>
        <v/>
      </c>
      <c r="G79" s="184">
        <f>F79*1.21</f>
        <v/>
      </c>
      <c r="H79" s="184">
        <f>ROUND(G79/100,0)*100</f>
        <v/>
      </c>
      <c r="I79" s="194" t="n">
        <v>5299</v>
      </c>
      <c r="J79" s="193" t="n"/>
      <c r="K79" s="193" t="n"/>
      <c r="L79" s="193" t="n"/>
      <c r="M79" s="194" t="n">
        <v>4556.13417</v>
      </c>
      <c r="N79" s="193" t="n"/>
      <c r="O79" s="193" t="n"/>
      <c r="P79" s="193" t="n"/>
      <c r="Q79" s="193" t="n"/>
      <c r="R79" s="193" t="n"/>
      <c r="S79" s="193" t="n"/>
      <c r="T79" s="193" t="n"/>
      <c r="U79" s="193" t="n"/>
      <c r="V79" s="193" t="n"/>
      <c r="W79" s="193" t="n"/>
      <c r="X79" s="193" t="n"/>
      <c r="Y79" s="193" t="n"/>
      <c r="Z79" s="193" t="n"/>
      <c r="AA79" s="193" t="n"/>
      <c r="AB79" s="193" t="n"/>
    </row>
    <row r="80">
      <c r="A80" s="124" t="n">
        <v>109</v>
      </c>
      <c r="B80" s="223" t="inlineStr">
        <is>
          <t>Pack x 2 bobinas papel original 22,5 cm x 270 mts</t>
        </is>
      </c>
      <c r="D80" s="237">
        <f>I80*0.93*0.98</f>
        <v/>
      </c>
      <c r="E80" s="237">
        <f>D80*1.3*1.105</f>
        <v/>
      </c>
      <c r="F80" s="237">
        <f>D80*1.3*1.105/0.9</f>
        <v/>
      </c>
      <c r="G80" s="237">
        <f>F80*1.21</f>
        <v/>
      </c>
      <c r="H80" s="237">
        <f>ROUND(G80/100,0)*100</f>
        <v/>
      </c>
      <c r="I80" s="87" t="n">
        <v>4135.6</v>
      </c>
      <c r="M80" s="87" t="n">
        <v>3555.808872</v>
      </c>
    </row>
    <row r="81">
      <c r="A81" s="182" t="n">
        <v>123</v>
      </c>
      <c r="B81" s="224" t="inlineStr">
        <is>
          <t>Pack x 2 bobinas Papel Original 900 hjs/360 mts.</t>
        </is>
      </c>
      <c r="D81" s="184">
        <f>I81*0.93*0.98</f>
        <v/>
      </c>
      <c r="E81" s="184">
        <f>D81*1.3*1.105</f>
        <v/>
      </c>
      <c r="F81" s="184">
        <f>D81*1.3*1.105/0.9</f>
        <v/>
      </c>
      <c r="G81" s="184">
        <f>F81*1.21</f>
        <v/>
      </c>
      <c r="H81" s="184">
        <f>ROUND(G81/100,0)*100</f>
        <v/>
      </c>
      <c r="I81" s="194" t="n">
        <v>6074.84</v>
      </c>
      <c r="J81" s="193" t="n"/>
      <c r="K81" s="193" t="n"/>
      <c r="L81" s="193" t="n"/>
      <c r="M81" s="194" t="n">
        <v>5223.196944</v>
      </c>
      <c r="N81" s="193" t="n"/>
      <c r="O81" s="193" t="n"/>
      <c r="P81" s="193" t="n"/>
      <c r="Q81" s="193" t="n"/>
      <c r="R81" s="193" t="n"/>
      <c r="S81" s="193" t="n"/>
      <c r="T81" s="193" t="n"/>
      <c r="U81" s="193" t="n"/>
      <c r="V81" s="193" t="n"/>
      <c r="W81" s="193" t="n"/>
      <c r="X81" s="193" t="n"/>
      <c r="Y81" s="193" t="n"/>
      <c r="Z81" s="193" t="n"/>
      <c r="AA81" s="193" t="n"/>
      <c r="AB81" s="193" t="n"/>
    </row>
    <row r="82">
      <c r="A82" s="124" t="n">
        <v>809</v>
      </c>
      <c r="B82" s="223" t="inlineStr">
        <is>
          <t>Pack x 4 Rollos 600 porc 25x25 Rep Tambo</t>
        </is>
      </c>
      <c r="D82" s="237">
        <f>I82*0.93*0.98</f>
        <v/>
      </c>
      <c r="E82" s="237">
        <f>D82*1.3*1.105</f>
        <v/>
      </c>
      <c r="F82" s="237">
        <f>D82*1.3*1.105/0.9</f>
        <v/>
      </c>
      <c r="G82" s="237">
        <f>F82*1.21</f>
        <v/>
      </c>
      <c r="H82" s="237">
        <f>ROUND(G82/100,0)*100</f>
        <v/>
      </c>
      <c r="I82" s="87" t="n">
        <v>6310.65</v>
      </c>
      <c r="M82" s="87" t="n">
        <v>5425.965216</v>
      </c>
    </row>
    <row r="83">
      <c r="A83" s="124" t="n"/>
      <c r="B83" s="223" t="n"/>
      <c r="C83" s="223" t="n"/>
      <c r="D83" s="237" t="n"/>
      <c r="E83" s="200" t="n"/>
      <c r="F83" s="200" t="n"/>
      <c r="G83" s="200" t="n"/>
      <c r="H83" s="200" t="n"/>
      <c r="I83" s="87" t="n"/>
      <c r="M83" s="87" t="n"/>
    </row>
    <row r="84">
      <c r="A84" s="124" t="n"/>
      <c r="B84" s="223" t="n"/>
      <c r="C84" s="223" t="n"/>
      <c r="D84" s="237" t="n"/>
      <c r="E84" s="200" t="n"/>
      <c r="F84" s="200" t="n"/>
      <c r="G84" s="200" t="n"/>
      <c r="H84" s="200" t="n"/>
      <c r="I84" s="87" t="n"/>
      <c r="M84" s="87" t="n"/>
    </row>
    <row r="85">
      <c r="A85" s="117" t="inlineStr">
        <is>
          <t>PAÑOS DE LIMPIEZA DE ALTA PERFORMANCE</t>
        </is>
      </c>
      <c r="B85" s="223" t="n"/>
      <c r="C85" s="223" t="n"/>
      <c r="D85" s="237" t="n"/>
      <c r="E85" s="200" t="n"/>
      <c r="F85" s="200" t="n"/>
      <c r="G85" s="200" t="n"/>
      <c r="H85" s="200" t="n"/>
      <c r="I85" s="87" t="n"/>
      <c r="M85" s="87" t="n"/>
    </row>
    <row r="86">
      <c r="A86" s="131" t="n"/>
      <c r="B86" s="223" t="n"/>
      <c r="C86" s="223" t="n"/>
      <c r="D86" s="237" t="n"/>
      <c r="E86" s="200" t="n"/>
      <c r="F86" s="200" t="n"/>
      <c r="G86" s="200" t="n"/>
      <c r="H86" s="200" t="n"/>
      <c r="I86" s="87" t="n"/>
      <c r="M86" s="87" t="n"/>
    </row>
    <row r="87">
      <c r="A87" s="157" t="inlineStr">
        <is>
          <t>Linea Softclean</t>
        </is>
      </c>
      <c r="C87" s="158" t="n"/>
      <c r="D87" s="169" t="n"/>
      <c r="E87" s="197" t="n"/>
      <c r="F87" s="197" t="n"/>
      <c r="G87" s="197" t="n"/>
      <c r="H87" s="197" t="n"/>
      <c r="I87" s="87" t="n"/>
      <c r="M87" s="87" t="n"/>
    </row>
    <row r="88">
      <c r="A88" s="186" t="n">
        <v>601</v>
      </c>
      <c r="B88" s="223" t="inlineStr">
        <is>
          <t>Rollo precortado Maxi blanco 30 x 38 x 500 softclean</t>
        </is>
      </c>
      <c r="D88" s="166">
        <f>I88*0.93*0.98</f>
        <v/>
      </c>
      <c r="E88" s="166">
        <f>D88*1.3*1.105</f>
        <v/>
      </c>
      <c r="F88" s="166">
        <f>D88*1.3*1.105/0.9</f>
        <v/>
      </c>
      <c r="G88" s="166">
        <f>F88*1.21</f>
        <v/>
      </c>
      <c r="H88" s="166">
        <f>ROUND(G88/100,0)*100</f>
        <v/>
      </c>
      <c r="I88" s="87" t="n">
        <v>54.43</v>
      </c>
      <c r="M88" s="87" t="n">
        <v>49.607502</v>
      </c>
    </row>
    <row r="89">
      <c r="A89" s="186" t="n">
        <v>605</v>
      </c>
      <c r="B89" s="223" t="inlineStr">
        <is>
          <t>Caja x 250 Paños Ultratex de 34cm x 60cm</t>
        </is>
      </c>
      <c r="D89" s="166">
        <f>I89*0.93*0.98</f>
        <v/>
      </c>
      <c r="E89" s="166">
        <f>D89*1.3*1.105</f>
        <v/>
      </c>
      <c r="F89" s="166">
        <f>D89*1.3*1.105/0.9</f>
        <v/>
      </c>
      <c r="G89" s="166">
        <f>F89*1.21</f>
        <v/>
      </c>
      <c r="H89" s="166">
        <f>ROUND(G89/100,0)*100</f>
        <v/>
      </c>
      <c r="I89" s="87" t="n">
        <v>228.4</v>
      </c>
      <c r="M89" s="87" t="n">
        <v>208.16376</v>
      </c>
    </row>
    <row r="90">
      <c r="A90" s="186" t="n">
        <v>606</v>
      </c>
      <c r="B90" s="223" t="inlineStr">
        <is>
          <t>Caja x 300 Paños Ultratex de 45,7cm x 53,3cm</t>
        </is>
      </c>
      <c r="D90" s="166">
        <f>I90*0.93*0.98</f>
        <v/>
      </c>
      <c r="E90" s="166">
        <f>D90*1.3*1.105</f>
        <v/>
      </c>
      <c r="F90" s="166">
        <f>D90*1.3*1.105/0.9</f>
        <v/>
      </c>
      <c r="G90" s="166">
        <f>F90*1.21</f>
        <v/>
      </c>
      <c r="H90" s="166">
        <f>ROUND(G90/100,0)*100</f>
        <v/>
      </c>
      <c r="I90" s="87" t="n">
        <v>323.14</v>
      </c>
      <c r="M90" s="87" t="n">
        <v>294.509796</v>
      </c>
    </row>
    <row r="91">
      <c r="A91" s="186" t="n">
        <v>608</v>
      </c>
      <c r="B91" s="223" t="inlineStr">
        <is>
          <t>Repuesto x 2 rollos Softclean x 350 mts</t>
        </is>
      </c>
      <c r="D91" s="166">
        <f>I91*0.93*0.98</f>
        <v/>
      </c>
      <c r="E91" s="166">
        <f>D91*1.3*1.105</f>
        <v/>
      </c>
      <c r="F91" s="166">
        <f>D91*1.3*1.105/0.9</f>
        <v/>
      </c>
      <c r="G91" s="166">
        <f>F91*1.21</f>
        <v/>
      </c>
      <c r="H91" s="166">
        <f>ROUND(G91/100,0)*100</f>
        <v/>
      </c>
      <c r="I91" s="87" t="n">
        <v>49.43</v>
      </c>
      <c r="M91" s="87" t="n">
        <v>45.050502</v>
      </c>
    </row>
    <row r="92">
      <c r="A92" s="186" t="n">
        <v>612</v>
      </c>
      <c r="B92" s="223" t="inlineStr">
        <is>
          <t>Contenedor Mini Softclean x 150 porc. 13 x 26.5cm</t>
        </is>
      </c>
      <c r="D92" s="166">
        <f>I92*0.93*0.98</f>
        <v/>
      </c>
      <c r="E92" s="166">
        <f>D92*1.3*1.105</f>
        <v/>
      </c>
      <c r="F92" s="166">
        <f>D92*1.3*1.105/0.9</f>
        <v/>
      </c>
      <c r="G92" s="166">
        <f>F92*1.21</f>
        <v/>
      </c>
      <c r="H92" s="166">
        <f>ROUND(G92/100,0)*100</f>
        <v/>
      </c>
      <c r="I92" s="87" t="n">
        <v>7.53</v>
      </c>
      <c r="M92" s="87" t="n">
        <v>6.862842000000001</v>
      </c>
    </row>
    <row r="93">
      <c r="A93" s="186" t="n">
        <v>614</v>
      </c>
      <c r="B93" s="223" t="inlineStr">
        <is>
          <t>Rollo SoftClean S 70x 875 Porciones de 30x 25</t>
        </is>
      </c>
      <c r="D93" s="166">
        <f>I93*0.93*0.98</f>
        <v/>
      </c>
      <c r="E93" s="166">
        <f>D93*1.3*1.105</f>
        <v/>
      </c>
      <c r="F93" s="166">
        <f>D93*1.3*1.105/0.9</f>
        <v/>
      </c>
      <c r="G93" s="166">
        <f>F93*1.21</f>
        <v/>
      </c>
      <c r="H93" s="166">
        <f>ROUND(G93/100,0)*100</f>
        <v/>
      </c>
      <c r="I93" s="87" t="n">
        <v>59.55</v>
      </c>
      <c r="M93" s="87" t="n">
        <v>54.27387</v>
      </c>
    </row>
    <row r="94">
      <c r="A94" s="186" t="n">
        <v>615</v>
      </c>
      <c r="B94" s="223" t="inlineStr">
        <is>
          <t>Contenedor Center Softclean x 350 22,5 x26,5</t>
        </is>
      </c>
      <c r="D94" s="166">
        <f>I94*0.93*0.98</f>
        <v/>
      </c>
      <c r="E94" s="166">
        <f>D94*1.3*1.105</f>
        <v/>
      </c>
      <c r="F94" s="166">
        <f>D94*1.3*1.105/0.9</f>
        <v/>
      </c>
      <c r="G94" s="166">
        <f>F94*1.21</f>
        <v/>
      </c>
      <c r="H94" s="166">
        <f>ROUND(G94/100,0)*100</f>
        <v/>
      </c>
      <c r="I94" s="87" t="n">
        <v>25.9</v>
      </c>
      <c r="M94" s="87" t="n">
        <v>23.60526</v>
      </c>
    </row>
    <row r="95">
      <c r="A95" s="186" t="n">
        <v>616</v>
      </c>
      <c r="B95" s="223" t="inlineStr">
        <is>
          <t>Rollo Mini Sofclean x 190 porciones de 22,5 x 26,5</t>
        </is>
      </c>
      <c r="D95" s="166">
        <f>I95*0.93*0.98</f>
        <v/>
      </c>
      <c r="E95" s="166">
        <f>D95*1.3*1.105</f>
        <v/>
      </c>
      <c r="F95" s="166">
        <f>D95*1.3*1.105/0.9</f>
        <v/>
      </c>
      <c r="G95" s="166">
        <f>F95*1.21</f>
        <v/>
      </c>
      <c r="H95" s="166">
        <f>ROUND(G95/100,0)*100</f>
        <v/>
      </c>
      <c r="I95" s="87" t="n">
        <v>12.94</v>
      </c>
      <c r="M95" s="87" t="n">
        <v>11.793516</v>
      </c>
    </row>
    <row r="96">
      <c r="A96" s="186" t="n">
        <v>617</v>
      </c>
      <c r="B96" s="223" t="inlineStr">
        <is>
          <t>Caja 1/4 Folded Softclean 500 30 x 30 cm Celeste</t>
        </is>
      </c>
      <c r="D96" s="166">
        <f>I96*0.93*0.98</f>
        <v/>
      </c>
      <c r="E96" s="166">
        <f>D96*1.3*1.105</f>
        <v/>
      </c>
      <c r="F96" s="166">
        <f>D96*1.3*1.105/0.9</f>
        <v/>
      </c>
      <c r="G96" s="166">
        <f>F96*1.21</f>
        <v/>
      </c>
      <c r="H96" s="166">
        <f>ROUND(G96/100,0)*100</f>
        <v/>
      </c>
      <c r="I96" s="87" t="n">
        <v>42.96</v>
      </c>
      <c r="M96" s="87" t="n">
        <v>39.153744</v>
      </c>
    </row>
    <row r="97">
      <c r="A97" s="186" t="n">
        <v>618</v>
      </c>
      <c r="B97" s="223" t="inlineStr">
        <is>
          <t>Rollo Precortado Softclean 600 porciones de 30x 26,5</t>
        </is>
      </c>
      <c r="D97" s="166">
        <f>I97*0.93*0.98</f>
        <v/>
      </c>
      <c r="E97" s="166">
        <f>D97*1.3*1.105</f>
        <v/>
      </c>
      <c r="F97" s="166">
        <f>D97*1.3*1.105/0.9</f>
        <v/>
      </c>
      <c r="G97" s="166">
        <f>F97*1.21</f>
        <v/>
      </c>
      <c r="H97" s="166">
        <f>ROUND(G97/100,0)*100</f>
        <v/>
      </c>
      <c r="I97" s="87" t="n">
        <v>42.96</v>
      </c>
      <c r="M97" s="87" t="n">
        <v>39.153744</v>
      </c>
    </row>
    <row r="98">
      <c r="A98" s="186" t="n"/>
      <c r="B98" s="223" t="n"/>
      <c r="C98" s="223" t="n"/>
      <c r="D98" s="166" t="n"/>
      <c r="E98" s="195" t="n"/>
      <c r="F98" s="195" t="n"/>
      <c r="G98" s="195" t="n"/>
      <c r="H98" s="195" t="n"/>
      <c r="I98" s="87" t="n"/>
      <c r="M98" s="87" t="n"/>
    </row>
    <row r="99">
      <c r="A99" s="168" t="inlineStr">
        <is>
          <t>Linea Sontara</t>
        </is>
      </c>
      <c r="C99" s="158" t="n"/>
      <c r="D99" s="169" t="n"/>
      <c r="E99" s="197" t="n"/>
      <c r="F99" s="197" t="n"/>
      <c r="G99" s="197" t="n"/>
      <c r="H99" s="197" t="n"/>
      <c r="I99" s="87" t="n"/>
      <c r="M99" s="87" t="n"/>
    </row>
    <row r="100">
      <c r="A100" s="186" t="n">
        <v>604</v>
      </c>
      <c r="B100" s="223" t="inlineStr">
        <is>
          <t>Rollo precortado Maxi de 30 x38 blanco</t>
        </is>
      </c>
      <c r="D100" s="166">
        <f>I100*0.93*0.98</f>
        <v/>
      </c>
      <c r="E100" s="166">
        <f>D100*1.3*1.105</f>
        <v/>
      </c>
      <c r="F100" s="166">
        <f>D100*1.3*1.105/0.9</f>
        <v/>
      </c>
      <c r="G100" s="166">
        <f>F100*1.21</f>
        <v/>
      </c>
      <c r="H100" s="166">
        <f>ROUND(G100/100,0)*100</f>
        <v/>
      </c>
      <c r="I100" s="87" t="n">
        <v>113.44</v>
      </c>
      <c r="M100" s="87" t="n">
        <v>103.389216</v>
      </c>
    </row>
    <row r="101">
      <c r="A101" s="186" t="n">
        <v>619</v>
      </c>
      <c r="B101" s="223" t="inlineStr">
        <is>
          <t>Centerfeed Sontara Celeste 350 porc22,5 x 26,5</t>
        </is>
      </c>
      <c r="D101" s="166">
        <f>I101*0.93*0.98</f>
        <v/>
      </c>
      <c r="E101" s="166">
        <f>D101*1.3*1.105</f>
        <v/>
      </c>
      <c r="F101" s="166">
        <f>D101*1.3*1.105/0.9</f>
        <v/>
      </c>
      <c r="G101" s="166">
        <f>F101*1.21</f>
        <v/>
      </c>
      <c r="H101" s="166">
        <f>ROUND(G101/100,0)*100</f>
        <v/>
      </c>
      <c r="I101" s="87" t="n">
        <v>57.54</v>
      </c>
      <c r="M101" s="87" t="n">
        <v>52.441956</v>
      </c>
    </row>
    <row r="102">
      <c r="A102" s="186" t="n">
        <v>620</v>
      </c>
      <c r="B102" s="223" t="inlineStr">
        <is>
          <t>Rollo prec Sontara por 600 porc 30 x26,5 celeste</t>
        </is>
      </c>
      <c r="D102" s="166">
        <f>I102*0.93*0.98</f>
        <v/>
      </c>
      <c r="E102" s="166">
        <f>D102*1.3*1.105</f>
        <v/>
      </c>
      <c r="F102" s="166">
        <f>D102*1.3*1.105/0.9</f>
        <v/>
      </c>
      <c r="G102" s="166">
        <f>F102*1.21</f>
        <v/>
      </c>
      <c r="H102" s="166">
        <f>ROUND(G102/100,0)*100</f>
        <v/>
      </c>
      <c r="I102" s="87" t="n">
        <v>106.81</v>
      </c>
      <c r="M102" s="87" t="n">
        <v>97.34663400000001</v>
      </c>
    </row>
    <row r="103">
      <c r="A103" s="186" t="n">
        <v>621</v>
      </c>
      <c r="B103" s="223" t="inlineStr">
        <is>
          <t>Rollo Sontara Mini x 190 porc 22,5 x26,5 celeste</t>
        </is>
      </c>
      <c r="D103" s="166">
        <f>I103*0.93*0.98</f>
        <v/>
      </c>
      <c r="E103" s="166">
        <f>D103*1.3*1.105</f>
        <v/>
      </c>
      <c r="F103" s="166">
        <f>D103*1.3*1.105/0.9</f>
        <v/>
      </c>
      <c r="G103" s="166">
        <f>F103*1.21</f>
        <v/>
      </c>
      <c r="H103" s="166">
        <f>ROUND(G103/100,0)*100</f>
        <v/>
      </c>
      <c r="I103" s="87" t="n">
        <v>26.14</v>
      </c>
      <c r="M103" s="87" t="n">
        <v>23.823996</v>
      </c>
    </row>
    <row r="104">
      <c r="A104" s="186" t="n">
        <v>627</v>
      </c>
      <c r="B104" s="223" t="inlineStr">
        <is>
          <t>SMP 300 Paños de 22,5 cm x 22,5 cm</t>
        </is>
      </c>
      <c r="D104" s="166">
        <f>I104*0.93*0.98</f>
        <v/>
      </c>
      <c r="E104" s="166">
        <f>D104*1.3*1.105</f>
        <v/>
      </c>
      <c r="F104" s="166">
        <f>D104*1.3*1.105/0.9</f>
        <v/>
      </c>
      <c r="G104" s="166">
        <f>F104*1.21</f>
        <v/>
      </c>
      <c r="H104" s="166">
        <f>ROUND(G104/100,0)*100</f>
        <v/>
      </c>
      <c r="I104" s="87" t="n">
        <v>69.04000000000001</v>
      </c>
      <c r="M104" s="87" t="n">
        <v>62.92305600000001</v>
      </c>
    </row>
    <row r="105">
      <c r="A105" s="171" t="n">
        <v>645</v>
      </c>
      <c r="B105" s="175" t="inlineStr">
        <is>
          <t>Caja por 500Paños Sontara de 30 x 30 cm celeste</t>
        </is>
      </c>
      <c r="D105" s="166">
        <f>I105*0.93*0.98</f>
        <v/>
      </c>
      <c r="E105" s="166">
        <f>D105*1.3*1.105</f>
        <v/>
      </c>
      <c r="F105" s="166">
        <f>D105*1.3*1.105/0.9</f>
        <v/>
      </c>
      <c r="G105" s="166">
        <f>F105*1.21</f>
        <v/>
      </c>
      <c r="H105" s="166">
        <f>ROUND(G105/100,0)*100</f>
        <v/>
      </c>
      <c r="I105" s="87" t="n">
        <v>75.94</v>
      </c>
      <c r="M105" s="87" t="n">
        <v>69.211716</v>
      </c>
    </row>
    <row r="106">
      <c r="A106" s="186" t="n">
        <v>656</v>
      </c>
      <c r="B106" s="175" t="inlineStr">
        <is>
          <t>Caja por 400 Paños Sontara de 30 x 30 cm Blancos</t>
        </is>
      </c>
      <c r="D106" s="166">
        <f>I106*0.93*0.98</f>
        <v/>
      </c>
      <c r="E106" s="166">
        <f>D106*1.3*1.105</f>
        <v/>
      </c>
      <c r="F106" s="166">
        <f>D106*1.3*1.105/0.9</f>
        <v/>
      </c>
      <c r="G106" s="166">
        <f>F106*1.21</f>
        <v/>
      </c>
      <c r="H106" s="166">
        <f>ROUND(G106/100,0)*100</f>
        <v/>
      </c>
      <c r="I106" s="87" t="n">
        <v>73.48999999999999</v>
      </c>
      <c r="M106" s="87" t="n">
        <v>66.978786</v>
      </c>
    </row>
    <row r="107">
      <c r="A107" s="223" t="n"/>
      <c r="B107" s="175" t="n"/>
      <c r="C107" s="175" t="n"/>
      <c r="D107" s="215" t="n"/>
      <c r="E107" s="223" t="n"/>
      <c r="F107" s="223" t="n"/>
      <c r="G107" s="223" t="n"/>
      <c r="H107" s="223" t="n"/>
      <c r="I107" s="215" t="n"/>
      <c r="M107" s="87" t="n"/>
    </row>
    <row r="108">
      <c r="A108" s="223" t="n"/>
      <c r="B108" s="175" t="n"/>
      <c r="C108" s="223" t="n"/>
      <c r="D108" s="215" t="n"/>
      <c r="E108" s="223" t="n"/>
      <c r="F108" s="223" t="n"/>
      <c r="G108" s="223" t="n"/>
      <c r="H108" s="223" t="n"/>
      <c r="I108" s="215" t="n"/>
      <c r="M108" s="87" t="n"/>
    </row>
    <row r="109">
      <c r="A109" s="223" t="n"/>
      <c r="B109" s="175" t="n"/>
      <c r="C109" s="223" t="n"/>
      <c r="D109" s="215" t="n"/>
      <c r="E109" s="223" t="n"/>
      <c r="F109" s="223" t="n"/>
      <c r="G109" s="223" t="n"/>
      <c r="H109" s="223" t="n"/>
      <c r="I109" s="215" t="n"/>
      <c r="M109" s="87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E110" s="223" t="n"/>
      <c r="F110" s="223" t="n"/>
      <c r="G110" s="223" t="n"/>
      <c r="H110" s="223" t="n"/>
      <c r="I110" s="215" t="n"/>
      <c r="M110" s="87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E111" s="223" t="n"/>
      <c r="F111" s="223" t="n"/>
      <c r="G111" s="223" t="n"/>
      <c r="H111" s="223" t="n"/>
      <c r="I111" s="215" t="n"/>
      <c r="M111" s="87" t="n"/>
    </row>
    <row r="112">
      <c r="D112" s="87" t="n"/>
      <c r="I112" s="87" t="n"/>
      <c r="M112" s="87" t="n"/>
    </row>
    <row r="113">
      <c r="D113" s="87" t="n"/>
      <c r="I113" s="87" t="n"/>
      <c r="M113" s="87" t="n"/>
    </row>
    <row r="114">
      <c r="D114" s="87" t="n"/>
      <c r="I114" s="87" t="n"/>
      <c r="M114" s="87" t="n"/>
    </row>
    <row r="115">
      <c r="D115" s="87" t="n"/>
      <c r="I115" s="87" t="n"/>
      <c r="M115" s="87" t="n"/>
    </row>
    <row r="116">
      <c r="D116" s="87" t="n"/>
      <c r="I116" s="87" t="n"/>
      <c r="M116" s="87" t="n"/>
    </row>
    <row r="117">
      <c r="D117" s="87" t="n"/>
      <c r="I117" s="87" t="n"/>
      <c r="M117" s="87" t="n"/>
    </row>
    <row r="118">
      <c r="D118" s="87" t="n"/>
      <c r="I118" s="87" t="n"/>
      <c r="M118" s="87" t="n"/>
    </row>
    <row r="119">
      <c r="D119" s="87" t="n"/>
      <c r="I119" s="87" t="n"/>
      <c r="M119" s="87" t="n"/>
    </row>
    <row r="120">
      <c r="D120" s="87" t="n"/>
      <c r="I120" s="87" t="n"/>
      <c r="M120" s="87" t="n"/>
    </row>
    <row r="121">
      <c r="D121" s="87" t="n"/>
      <c r="I121" s="87" t="n"/>
      <c r="M121" s="87" t="n"/>
    </row>
    <row r="122">
      <c r="D122" s="87" t="n"/>
      <c r="I122" s="87" t="n"/>
      <c r="M122" s="87" t="n"/>
    </row>
    <row r="123">
      <c r="D123" s="87" t="n"/>
      <c r="I123" s="87" t="n"/>
      <c r="M123" s="87" t="n"/>
    </row>
    <row r="124">
      <c r="D124" s="87" t="n"/>
      <c r="I124" s="87" t="n"/>
      <c r="M124" s="87" t="n"/>
    </row>
    <row r="125">
      <c r="D125" s="87" t="n"/>
      <c r="I125" s="87" t="n"/>
      <c r="M125" s="87" t="n"/>
    </row>
    <row r="126">
      <c r="D126" s="87" t="n"/>
      <c r="I126" s="87" t="n"/>
      <c r="M126" s="87" t="n"/>
    </row>
    <row r="127">
      <c r="D127" s="87" t="n"/>
      <c r="I127" s="87" t="n"/>
      <c r="M127" s="87" t="n"/>
    </row>
    <row r="128">
      <c r="D128" s="87" t="n"/>
      <c r="I128" s="87" t="n"/>
      <c r="M128" s="87" t="n"/>
    </row>
    <row r="129">
      <c r="D129" s="87" t="n"/>
      <c r="I129" s="87" t="n"/>
      <c r="M129" s="87" t="n"/>
    </row>
    <row r="130">
      <c r="D130" s="87" t="n"/>
      <c r="I130" s="87" t="n"/>
      <c r="M130" s="87" t="n"/>
    </row>
    <row r="131">
      <c r="D131" s="87" t="n"/>
      <c r="I131" s="87" t="n"/>
      <c r="M131" s="87" t="n"/>
    </row>
    <row r="132">
      <c r="D132" s="87" t="n"/>
      <c r="I132" s="87" t="n"/>
      <c r="M132" s="87" t="n"/>
    </row>
    <row r="133">
      <c r="D133" s="87" t="n"/>
      <c r="I133" s="87" t="n"/>
      <c r="M133" s="87" t="n"/>
    </row>
    <row r="134">
      <c r="D134" s="87" t="n"/>
      <c r="I134" s="87" t="n"/>
      <c r="M134" s="87" t="n"/>
    </row>
    <row r="135">
      <c r="D135" s="87" t="n"/>
      <c r="I135" s="87" t="n"/>
      <c r="M135" s="87" t="n"/>
    </row>
    <row r="136">
      <c r="D136" s="87" t="n"/>
      <c r="I136" s="87" t="n"/>
      <c r="M136" s="87" t="n"/>
    </row>
    <row r="137">
      <c r="D137" s="87" t="n"/>
      <c r="I137" s="87" t="n"/>
      <c r="M137" s="87" t="n"/>
    </row>
    <row r="138">
      <c r="D138" s="87" t="n"/>
      <c r="I138" s="87" t="n"/>
      <c r="M138" s="87" t="n"/>
    </row>
    <row r="139">
      <c r="D139" s="87" t="n"/>
      <c r="I139" s="87" t="n"/>
      <c r="M139" s="87" t="n"/>
    </row>
    <row r="140">
      <c r="D140" s="87" t="n"/>
      <c r="I140" s="87" t="n"/>
      <c r="M140" s="87" t="n"/>
    </row>
    <row r="141">
      <c r="D141" s="87" t="n"/>
      <c r="I141" s="87" t="n"/>
      <c r="M141" s="87" t="n"/>
    </row>
    <row r="142">
      <c r="D142" s="87" t="n"/>
      <c r="I142" s="87" t="n"/>
      <c r="M142" s="87" t="n"/>
    </row>
    <row r="143">
      <c r="D143" s="87" t="n"/>
      <c r="I143" s="87" t="n"/>
      <c r="M143" s="87" t="n"/>
    </row>
    <row r="144">
      <c r="D144" s="87" t="n"/>
      <c r="I144" s="87" t="n"/>
      <c r="M144" s="87" t="n"/>
    </row>
    <row r="145">
      <c r="D145" s="87" t="n"/>
      <c r="I145" s="87" t="n"/>
      <c r="M145" s="87" t="n"/>
    </row>
    <row r="146">
      <c r="D146" s="87" t="n"/>
      <c r="I146" s="87" t="n"/>
      <c r="M146" s="87" t="n"/>
    </row>
    <row r="147">
      <c r="D147" s="87" t="n"/>
      <c r="I147" s="87" t="n"/>
      <c r="M147" s="87" t="n"/>
    </row>
    <row r="148">
      <c r="D148" s="87" t="n"/>
      <c r="I148" s="87" t="n"/>
      <c r="M148" s="87" t="n"/>
    </row>
    <row r="149">
      <c r="D149" s="87" t="n"/>
      <c r="I149" s="87" t="n"/>
      <c r="M149" s="87" t="n"/>
    </row>
    <row r="150">
      <c r="D150" s="87" t="n"/>
      <c r="I150" s="87" t="n"/>
      <c r="M150" s="87" t="n"/>
    </row>
    <row r="151">
      <c r="D151" s="87" t="n"/>
      <c r="I151" s="87" t="n"/>
      <c r="M151" s="87" t="n"/>
    </row>
    <row r="152">
      <c r="D152" s="87" t="n"/>
      <c r="I152" s="87" t="n"/>
      <c r="M152" s="87" t="n"/>
    </row>
    <row r="153">
      <c r="D153" s="87" t="n"/>
      <c r="I153" s="87" t="n"/>
      <c r="M153" s="87" t="n"/>
    </row>
    <row r="154">
      <c r="D154" s="87" t="n"/>
      <c r="I154" s="87" t="n"/>
      <c r="M154" s="87" t="n"/>
    </row>
    <row r="155">
      <c r="D155" s="87" t="n"/>
      <c r="I155" s="87" t="n"/>
      <c r="M155" s="87" t="n"/>
    </row>
    <row r="156">
      <c r="D156" s="87" t="n"/>
      <c r="I156" s="87" t="n"/>
      <c r="M156" s="87" t="n"/>
    </row>
    <row r="157">
      <c r="D157" s="87" t="n"/>
      <c r="I157" s="87" t="n"/>
      <c r="M157" s="87" t="n"/>
    </row>
    <row r="158">
      <c r="D158" s="87" t="n"/>
      <c r="I158" s="87" t="n"/>
      <c r="M158" s="87" t="n"/>
    </row>
    <row r="159">
      <c r="D159" s="87" t="n"/>
      <c r="I159" s="87" t="n"/>
      <c r="M159" s="87" t="n"/>
    </row>
    <row r="160">
      <c r="D160" s="87" t="n"/>
      <c r="I160" s="87" t="n"/>
      <c r="M160" s="87" t="n"/>
    </row>
    <row r="161">
      <c r="D161" s="87" t="n"/>
      <c r="I161" s="87" t="n"/>
      <c r="M161" s="87" t="n"/>
    </row>
    <row r="162">
      <c r="D162" s="87" t="n"/>
      <c r="I162" s="87" t="n"/>
      <c r="M162" s="87" t="n"/>
    </row>
    <row r="163">
      <c r="D163" s="87" t="n"/>
      <c r="I163" s="87" t="n"/>
      <c r="M163" s="87" t="n"/>
    </row>
    <row r="164">
      <c r="D164" s="87" t="n"/>
      <c r="I164" s="87" t="n"/>
      <c r="M164" s="87" t="n"/>
    </row>
    <row r="165">
      <c r="D165" s="87" t="n"/>
      <c r="I165" s="87" t="n"/>
      <c r="M165" s="87" t="n"/>
    </row>
    <row r="166">
      <c r="D166" s="87" t="n"/>
      <c r="I166" s="87" t="n"/>
      <c r="M166" s="87" t="n"/>
    </row>
    <row r="167">
      <c r="D167" s="87" t="n"/>
      <c r="I167" s="87" t="n"/>
      <c r="M167" s="87" t="n"/>
    </row>
    <row r="168">
      <c r="D168" s="87" t="n"/>
      <c r="I168" s="87" t="n"/>
      <c r="M168" s="87" t="n"/>
    </row>
    <row r="169">
      <c r="D169" s="87" t="n"/>
      <c r="I169" s="87" t="n"/>
      <c r="M169" s="87" t="n"/>
    </row>
    <row r="170">
      <c r="D170" s="87" t="n"/>
      <c r="I170" s="87" t="n"/>
      <c r="M170" s="87" t="n"/>
    </row>
    <row r="171">
      <c r="D171" s="87" t="n"/>
      <c r="I171" s="87" t="n"/>
      <c r="M171" s="87" t="n"/>
    </row>
    <row r="172">
      <c r="D172" s="87" t="n"/>
      <c r="I172" s="87" t="n"/>
      <c r="M172" s="87" t="n"/>
    </row>
    <row r="173">
      <c r="D173" s="87" t="n"/>
      <c r="I173" s="87" t="n"/>
      <c r="M173" s="87" t="n"/>
    </row>
    <row r="174">
      <c r="D174" s="87" t="n"/>
      <c r="I174" s="87" t="n"/>
      <c r="M174" s="87" t="n"/>
    </row>
    <row r="175">
      <c r="D175" s="87" t="n"/>
      <c r="I175" s="87" t="n"/>
      <c r="M175" s="87" t="n"/>
    </row>
    <row r="176">
      <c r="D176" s="87" t="n"/>
      <c r="I176" s="87" t="n"/>
      <c r="M176" s="87" t="n"/>
    </row>
    <row r="177">
      <c r="D177" s="87" t="n"/>
      <c r="I177" s="87" t="n"/>
      <c r="M177" s="87" t="n"/>
    </row>
    <row r="178">
      <c r="D178" s="87" t="n"/>
      <c r="I178" s="87" t="n"/>
      <c r="M178" s="87" t="n"/>
    </row>
    <row r="179">
      <c r="D179" s="87" t="n"/>
      <c r="I179" s="87" t="n"/>
      <c r="M179" s="87" t="n"/>
    </row>
    <row r="180">
      <c r="D180" s="87" t="n"/>
      <c r="I180" s="87" t="n"/>
      <c r="M180" s="87" t="n"/>
    </row>
    <row r="181">
      <c r="D181" s="87" t="n"/>
      <c r="I181" s="87" t="n"/>
      <c r="M181" s="87" t="n"/>
    </row>
    <row r="182">
      <c r="D182" s="87" t="n"/>
      <c r="I182" s="87" t="n"/>
      <c r="M182" s="87" t="n"/>
    </row>
    <row r="183">
      <c r="D183" s="87" t="n"/>
      <c r="I183" s="87" t="n"/>
      <c r="M183" s="87" t="n"/>
    </row>
    <row r="184">
      <c r="D184" s="87" t="n"/>
      <c r="I184" s="87" t="n"/>
      <c r="M184" s="87" t="n"/>
    </row>
    <row r="185">
      <c r="D185" s="87" t="n"/>
      <c r="I185" s="87" t="n"/>
      <c r="M185" s="87" t="n"/>
    </row>
    <row r="186">
      <c r="D186" s="87" t="n"/>
      <c r="I186" s="87" t="n"/>
      <c r="M186" s="87" t="n"/>
    </row>
    <row r="187">
      <c r="D187" s="87" t="n"/>
      <c r="I187" s="87" t="n"/>
      <c r="M187" s="87" t="n"/>
    </row>
    <row r="188">
      <c r="D188" s="87" t="n"/>
      <c r="I188" s="87" t="n"/>
      <c r="M188" s="87" t="n"/>
    </row>
    <row r="189">
      <c r="D189" s="87" t="n"/>
      <c r="I189" s="87" t="n"/>
      <c r="M189" s="87" t="n"/>
    </row>
    <row r="190">
      <c r="D190" s="87" t="n"/>
      <c r="I190" s="87" t="n"/>
      <c r="M190" s="87" t="n"/>
    </row>
    <row r="191">
      <c r="D191" s="87" t="n"/>
      <c r="I191" s="87" t="n"/>
      <c r="M191" s="87" t="n"/>
    </row>
    <row r="192">
      <c r="D192" s="87" t="n"/>
      <c r="I192" s="87" t="n"/>
      <c r="M192" s="87" t="n"/>
    </row>
    <row r="193">
      <c r="D193" s="87" t="n"/>
      <c r="I193" s="87" t="n"/>
      <c r="M193" s="87" t="n"/>
    </row>
    <row r="194">
      <c r="D194" s="87" t="n"/>
      <c r="I194" s="87" t="n"/>
      <c r="M194" s="87" t="n"/>
    </row>
    <row r="195">
      <c r="D195" s="87" t="n"/>
      <c r="I195" s="87" t="n"/>
      <c r="M195" s="87" t="n"/>
    </row>
    <row r="196">
      <c r="D196" s="87" t="n"/>
      <c r="I196" s="87" t="n"/>
      <c r="M196" s="87" t="n"/>
    </row>
    <row r="197">
      <c r="D197" s="87" t="n"/>
      <c r="I197" s="87" t="n"/>
      <c r="M197" s="87" t="n"/>
    </row>
    <row r="198">
      <c r="D198" s="87" t="n"/>
      <c r="I198" s="87" t="n"/>
      <c r="M198" s="87" t="n"/>
    </row>
    <row r="199">
      <c r="D199" s="87" t="n"/>
      <c r="I199" s="87" t="n"/>
      <c r="M199" s="87" t="n"/>
    </row>
    <row r="200">
      <c r="D200" s="87" t="n"/>
      <c r="I200" s="87" t="n"/>
      <c r="M200" s="87" t="n"/>
    </row>
    <row r="201">
      <c r="D201" s="87" t="n"/>
      <c r="I201" s="87" t="n"/>
      <c r="M201" s="87" t="n"/>
    </row>
    <row r="202">
      <c r="D202" s="87" t="n"/>
      <c r="I202" s="87" t="n"/>
      <c r="M202" s="87" t="n"/>
    </row>
    <row r="203">
      <c r="D203" s="87" t="n"/>
      <c r="I203" s="87" t="n"/>
      <c r="M203" s="87" t="n"/>
    </row>
    <row r="204">
      <c r="D204" s="87" t="n"/>
      <c r="I204" s="87" t="n"/>
      <c r="M204" s="87" t="n"/>
    </row>
    <row r="205">
      <c r="D205" s="87" t="n"/>
      <c r="I205" s="87" t="n"/>
      <c r="M205" s="87" t="n"/>
    </row>
    <row r="206">
      <c r="D206" s="87" t="n"/>
      <c r="I206" s="87" t="n"/>
      <c r="M206" s="87" t="n"/>
    </row>
    <row r="207">
      <c r="D207" s="87" t="n"/>
      <c r="I207" s="87" t="n"/>
      <c r="M207" s="87" t="n"/>
    </row>
    <row r="208">
      <c r="D208" s="87" t="n"/>
      <c r="I208" s="87" t="n"/>
      <c r="M208" s="87" t="n"/>
    </row>
    <row r="209">
      <c r="D209" s="87" t="n"/>
      <c r="I209" s="87" t="n"/>
      <c r="M209" s="87" t="n"/>
    </row>
    <row r="210">
      <c r="D210" s="87" t="n"/>
      <c r="I210" s="87" t="n"/>
      <c r="M210" s="87" t="n"/>
    </row>
    <row r="211">
      <c r="D211" s="87" t="n"/>
      <c r="I211" s="87" t="n"/>
      <c r="M211" s="87" t="n"/>
    </row>
    <row r="212">
      <c r="D212" s="87" t="n"/>
      <c r="I212" s="87" t="n"/>
      <c r="M212" s="87" t="n"/>
    </row>
    <row r="213">
      <c r="D213" s="87" t="n"/>
      <c r="I213" s="87" t="n"/>
      <c r="M213" s="87" t="n"/>
    </row>
    <row r="214">
      <c r="D214" s="87" t="n"/>
      <c r="I214" s="87" t="n"/>
      <c r="M214" s="87" t="n"/>
    </row>
    <row r="215">
      <c r="D215" s="87" t="n"/>
      <c r="I215" s="87" t="n"/>
      <c r="M215" s="87" t="n"/>
    </row>
    <row r="216">
      <c r="D216" s="87" t="n"/>
      <c r="I216" s="87" t="n"/>
      <c r="M216" s="87" t="n"/>
    </row>
    <row r="217">
      <c r="D217" s="87" t="n"/>
      <c r="I217" s="87" t="n"/>
      <c r="M217" s="87" t="n"/>
    </row>
    <row r="218">
      <c r="D218" s="87" t="n"/>
      <c r="I218" s="87" t="n"/>
      <c r="M218" s="87" t="n"/>
    </row>
    <row r="219">
      <c r="D219" s="87" t="n"/>
      <c r="I219" s="87" t="n"/>
      <c r="M219" s="87" t="n"/>
    </row>
    <row r="220">
      <c r="D220" s="87" t="n"/>
      <c r="I220" s="87" t="n"/>
      <c r="M220" s="87" t="n"/>
    </row>
    <row r="221">
      <c r="D221" s="87" t="n"/>
      <c r="I221" s="87" t="n"/>
      <c r="M221" s="87" t="n"/>
    </row>
    <row r="222">
      <c r="D222" s="87" t="n"/>
      <c r="I222" s="87" t="n"/>
      <c r="M222" s="87" t="n"/>
    </row>
    <row r="223">
      <c r="D223" s="87" t="n"/>
      <c r="I223" s="87" t="n"/>
      <c r="M223" s="87" t="n"/>
    </row>
    <row r="224">
      <c r="D224" s="87" t="n"/>
      <c r="I224" s="87" t="n"/>
      <c r="M224" s="87" t="n"/>
    </row>
    <row r="225">
      <c r="D225" s="87" t="n"/>
      <c r="I225" s="87" t="n"/>
      <c r="M225" s="87" t="n"/>
    </row>
    <row r="226">
      <c r="D226" s="87" t="n"/>
      <c r="I226" s="87" t="n"/>
      <c r="M226" s="87" t="n"/>
    </row>
    <row r="227">
      <c r="D227" s="87" t="n"/>
      <c r="I227" s="87" t="n"/>
      <c r="M227" s="87" t="n"/>
    </row>
    <row r="228">
      <c r="D228" s="87" t="n"/>
      <c r="I228" s="87" t="n"/>
      <c r="M228" s="87" t="n"/>
    </row>
    <row r="229">
      <c r="D229" s="87" t="n"/>
      <c r="I229" s="87" t="n"/>
      <c r="M229" s="87" t="n"/>
    </row>
    <row r="230">
      <c r="D230" s="87" t="n"/>
      <c r="I230" s="87" t="n"/>
      <c r="M230" s="87" t="n"/>
    </row>
    <row r="231">
      <c r="D231" s="87" t="n"/>
      <c r="I231" s="87" t="n"/>
      <c r="M231" s="87" t="n"/>
    </row>
    <row r="232">
      <c r="D232" s="87" t="n"/>
      <c r="I232" s="87" t="n"/>
      <c r="M232" s="87" t="n"/>
    </row>
    <row r="233">
      <c r="D233" s="87" t="n"/>
      <c r="I233" s="87" t="n"/>
      <c r="M233" s="87" t="n"/>
    </row>
    <row r="234">
      <c r="D234" s="87" t="n"/>
      <c r="I234" s="87" t="n"/>
      <c r="M234" s="87" t="n"/>
    </row>
    <row r="235">
      <c r="D235" s="87" t="n"/>
      <c r="I235" s="87" t="n"/>
      <c r="M235" s="87" t="n"/>
    </row>
    <row r="236">
      <c r="D236" s="87" t="n"/>
      <c r="I236" s="87" t="n"/>
      <c r="M236" s="87" t="n"/>
    </row>
    <row r="237">
      <c r="D237" s="87" t="n"/>
      <c r="I237" s="87" t="n"/>
      <c r="M237" s="87" t="n"/>
    </row>
    <row r="238">
      <c r="D238" s="87" t="n"/>
      <c r="I238" s="87" t="n"/>
      <c r="M238" s="87" t="n"/>
    </row>
    <row r="239">
      <c r="D239" s="87" t="n"/>
      <c r="I239" s="87" t="n"/>
      <c r="M239" s="87" t="n"/>
    </row>
    <row r="240">
      <c r="D240" s="87" t="n"/>
      <c r="I240" s="87" t="n"/>
      <c r="M240" s="87" t="n"/>
    </row>
    <row r="241">
      <c r="D241" s="87" t="n"/>
      <c r="I241" s="87" t="n"/>
      <c r="M241" s="87" t="n"/>
    </row>
    <row r="242">
      <c r="D242" s="87" t="n"/>
      <c r="I242" s="87" t="n"/>
      <c r="M242" s="87" t="n"/>
    </row>
    <row r="243">
      <c r="D243" s="87" t="n"/>
      <c r="I243" s="87" t="n"/>
      <c r="M243" s="87" t="n"/>
    </row>
    <row r="244">
      <c r="D244" s="87" t="n"/>
      <c r="I244" s="87" t="n"/>
      <c r="M244" s="87" t="n"/>
    </row>
    <row r="245">
      <c r="D245" s="87" t="n"/>
      <c r="I245" s="87" t="n"/>
      <c r="M245" s="87" t="n"/>
    </row>
    <row r="246">
      <c r="D246" s="87" t="n"/>
      <c r="I246" s="87" t="n"/>
      <c r="M246" s="87" t="n"/>
    </row>
    <row r="247">
      <c r="D247" s="87" t="n"/>
      <c r="I247" s="87" t="n"/>
      <c r="M247" s="87" t="n"/>
    </row>
    <row r="248">
      <c r="D248" s="87" t="n"/>
      <c r="I248" s="87" t="n"/>
      <c r="M248" s="87" t="n"/>
    </row>
    <row r="249">
      <c r="D249" s="87" t="n"/>
      <c r="I249" s="87" t="n"/>
      <c r="M249" s="87" t="n"/>
    </row>
    <row r="250">
      <c r="D250" s="87" t="n"/>
      <c r="I250" s="87" t="n"/>
      <c r="M250" s="87" t="n"/>
    </row>
    <row r="251">
      <c r="D251" s="87" t="n"/>
      <c r="I251" s="87" t="n"/>
      <c r="M251" s="87" t="n"/>
    </row>
    <row r="252">
      <c r="D252" s="87" t="n"/>
      <c r="I252" s="87" t="n"/>
      <c r="M252" s="87" t="n"/>
    </row>
    <row r="253">
      <c r="D253" s="87" t="n"/>
      <c r="I253" s="87" t="n"/>
      <c r="M253" s="87" t="n"/>
    </row>
    <row r="254">
      <c r="D254" s="87" t="n"/>
      <c r="I254" s="87" t="n"/>
      <c r="M254" s="87" t="n"/>
    </row>
    <row r="255">
      <c r="D255" s="87" t="n"/>
      <c r="I255" s="87" t="n"/>
      <c r="M255" s="87" t="n"/>
    </row>
    <row r="256">
      <c r="D256" s="87" t="n"/>
      <c r="I256" s="87" t="n"/>
      <c r="M256" s="87" t="n"/>
    </row>
    <row r="257">
      <c r="D257" s="87" t="n"/>
      <c r="I257" s="87" t="n"/>
      <c r="M257" s="87" t="n"/>
    </row>
    <row r="258">
      <c r="D258" s="87" t="n"/>
      <c r="I258" s="87" t="n"/>
      <c r="M258" s="87" t="n"/>
    </row>
    <row r="259">
      <c r="D259" s="87" t="n"/>
      <c r="I259" s="87" t="n"/>
      <c r="M259" s="87" t="n"/>
    </row>
    <row r="260">
      <c r="D260" s="87" t="n"/>
      <c r="I260" s="87" t="n"/>
      <c r="M260" s="87" t="n"/>
    </row>
    <row r="261">
      <c r="D261" s="87" t="n"/>
      <c r="I261" s="87" t="n"/>
      <c r="M261" s="87" t="n"/>
    </row>
    <row r="262">
      <c r="D262" s="87" t="n"/>
      <c r="I262" s="87" t="n"/>
      <c r="M262" s="87" t="n"/>
    </row>
    <row r="263">
      <c r="D263" s="87" t="n"/>
      <c r="I263" s="87" t="n"/>
      <c r="M263" s="87" t="n"/>
    </row>
    <row r="264">
      <c r="D264" s="87" t="n"/>
      <c r="I264" s="87" t="n"/>
      <c r="M264" s="87" t="n"/>
    </row>
    <row r="265">
      <c r="D265" s="87" t="n"/>
      <c r="I265" s="87" t="n"/>
      <c r="M265" s="87" t="n"/>
    </row>
    <row r="266">
      <c r="D266" s="87" t="n"/>
      <c r="I266" s="87" t="n"/>
      <c r="M266" s="87" t="n"/>
    </row>
    <row r="267">
      <c r="D267" s="87" t="n"/>
      <c r="I267" s="87" t="n"/>
      <c r="M267" s="87" t="n"/>
    </row>
    <row r="268">
      <c r="D268" s="87" t="n"/>
      <c r="I268" s="87" t="n"/>
      <c r="M268" s="87" t="n"/>
    </row>
    <row r="269">
      <c r="D269" s="87" t="n"/>
      <c r="I269" s="87" t="n"/>
      <c r="M269" s="87" t="n"/>
    </row>
    <row r="270">
      <c r="D270" s="87" t="n"/>
      <c r="I270" s="87" t="n"/>
      <c r="M270" s="87" t="n"/>
    </row>
    <row r="271">
      <c r="D271" s="87" t="n"/>
      <c r="I271" s="87" t="n"/>
      <c r="M271" s="87" t="n"/>
    </row>
    <row r="272">
      <c r="D272" s="87" t="n"/>
      <c r="I272" s="87" t="n"/>
      <c r="M272" s="87" t="n"/>
    </row>
    <row r="273">
      <c r="D273" s="87" t="n"/>
      <c r="I273" s="87" t="n"/>
      <c r="M273" s="87" t="n"/>
    </row>
    <row r="274">
      <c r="D274" s="87" t="n"/>
      <c r="I274" s="87" t="n"/>
      <c r="M274" s="87" t="n"/>
    </row>
    <row r="275">
      <c r="D275" s="87" t="n"/>
      <c r="I275" s="87" t="n"/>
      <c r="M275" s="87" t="n"/>
    </row>
    <row r="276">
      <c r="D276" s="87" t="n"/>
      <c r="I276" s="87" t="n"/>
      <c r="M276" s="87" t="n"/>
    </row>
    <row r="277">
      <c r="D277" s="87" t="n"/>
      <c r="I277" s="87" t="n"/>
      <c r="M277" s="87" t="n"/>
    </row>
    <row r="278">
      <c r="D278" s="87" t="n"/>
      <c r="I278" s="87" t="n"/>
      <c r="M278" s="87" t="n"/>
    </row>
    <row r="279">
      <c r="D279" s="87" t="n"/>
      <c r="I279" s="87" t="n"/>
      <c r="M279" s="87" t="n"/>
    </row>
    <row r="280">
      <c r="D280" s="87" t="n"/>
      <c r="I280" s="87" t="n"/>
      <c r="M280" s="87" t="n"/>
    </row>
    <row r="281">
      <c r="D281" s="87" t="n"/>
      <c r="I281" s="87" t="n"/>
      <c r="M281" s="87" t="n"/>
    </row>
    <row r="282">
      <c r="D282" s="87" t="n"/>
      <c r="I282" s="87" t="n"/>
      <c r="M282" s="87" t="n"/>
    </row>
    <row r="283">
      <c r="D283" s="87" t="n"/>
      <c r="I283" s="87" t="n"/>
      <c r="M283" s="87" t="n"/>
    </row>
    <row r="284">
      <c r="D284" s="87" t="n"/>
      <c r="I284" s="87" t="n"/>
      <c r="M284" s="87" t="n"/>
    </row>
    <row r="285">
      <c r="D285" s="87" t="n"/>
      <c r="I285" s="87" t="n"/>
      <c r="M285" s="87" t="n"/>
    </row>
    <row r="286">
      <c r="D286" s="87" t="n"/>
      <c r="I286" s="87" t="n"/>
      <c r="M286" s="87" t="n"/>
    </row>
    <row r="287">
      <c r="D287" s="87" t="n"/>
      <c r="I287" s="87" t="n"/>
      <c r="M287" s="87" t="n"/>
    </row>
    <row r="288">
      <c r="D288" s="87" t="n"/>
      <c r="I288" s="87" t="n"/>
      <c r="M288" s="87" t="n"/>
    </row>
    <row r="289">
      <c r="D289" s="87" t="n"/>
      <c r="I289" s="87" t="n"/>
      <c r="M289" s="87" t="n"/>
    </row>
    <row r="290">
      <c r="D290" s="87" t="n"/>
      <c r="I290" s="87" t="n"/>
      <c r="M290" s="87" t="n"/>
    </row>
    <row r="291">
      <c r="D291" s="87" t="n"/>
      <c r="I291" s="87" t="n"/>
      <c r="M291" s="87" t="n"/>
    </row>
    <row r="292">
      <c r="D292" s="87" t="n"/>
      <c r="I292" s="87" t="n"/>
      <c r="M292" s="87" t="n"/>
    </row>
    <row r="293">
      <c r="D293" s="87" t="n"/>
      <c r="I293" s="87" t="n"/>
      <c r="M293" s="87" t="n"/>
    </row>
    <row r="294">
      <c r="D294" s="87" t="n"/>
      <c r="I294" s="87" t="n"/>
      <c r="M294" s="87" t="n"/>
    </row>
    <row r="295">
      <c r="D295" s="87" t="n"/>
      <c r="I295" s="87" t="n"/>
      <c r="M295" s="87" t="n"/>
    </row>
    <row r="296">
      <c r="D296" s="87" t="n"/>
      <c r="I296" s="87" t="n"/>
      <c r="M296" s="87" t="n"/>
    </row>
    <row r="297">
      <c r="D297" s="87" t="n"/>
      <c r="I297" s="87" t="n"/>
      <c r="M297" s="87" t="n"/>
    </row>
    <row r="298">
      <c r="D298" s="87" t="n"/>
      <c r="I298" s="87" t="n"/>
      <c r="M298" s="87" t="n"/>
    </row>
    <row r="299">
      <c r="D299" s="87" t="n"/>
      <c r="I299" s="87" t="n"/>
      <c r="M299" s="87" t="n"/>
    </row>
    <row r="300">
      <c r="D300" s="87" t="n"/>
      <c r="I300" s="87" t="n"/>
      <c r="M300" s="87" t="n"/>
    </row>
    <row r="301">
      <c r="D301" s="87" t="n"/>
      <c r="I301" s="87" t="n"/>
      <c r="M301" s="87" t="n"/>
    </row>
    <row r="302">
      <c r="D302" s="87" t="n"/>
      <c r="I302" s="87" t="n"/>
      <c r="M302" s="87" t="n"/>
    </row>
    <row r="303">
      <c r="D303" s="87" t="n"/>
      <c r="I303" s="87" t="n"/>
      <c r="M303" s="87" t="n"/>
    </row>
    <row r="304">
      <c r="D304" s="87" t="n"/>
      <c r="I304" s="87" t="n"/>
      <c r="M304" s="87" t="n"/>
    </row>
    <row r="305">
      <c r="D305" s="87" t="n"/>
      <c r="I305" s="87" t="n"/>
      <c r="M305" s="87" t="n"/>
    </row>
    <row r="306">
      <c r="D306" s="87" t="n"/>
      <c r="I306" s="87" t="n"/>
      <c r="M306" s="87" t="n"/>
    </row>
    <row r="307">
      <c r="D307" s="87" t="n"/>
      <c r="I307" s="87" t="n"/>
      <c r="M307" s="87" t="n"/>
    </row>
    <row r="308">
      <c r="D308" s="87" t="n"/>
      <c r="I308" s="87" t="n"/>
      <c r="M308" s="87" t="n"/>
    </row>
    <row r="309">
      <c r="D309" s="87" t="n"/>
      <c r="I309" s="87" t="n"/>
      <c r="M309" s="87" t="n"/>
    </row>
    <row r="310">
      <c r="D310" s="87" t="n"/>
      <c r="I310" s="87" t="n"/>
      <c r="M310" s="87" t="n"/>
    </row>
    <row r="311">
      <c r="D311" s="87" t="n"/>
      <c r="I311" s="87" t="n"/>
      <c r="M311" s="87" t="n"/>
    </row>
    <row r="312">
      <c r="D312" s="87" t="n"/>
      <c r="I312" s="87" t="n"/>
      <c r="M312" s="87" t="n"/>
    </row>
    <row r="313">
      <c r="D313" s="87" t="n"/>
      <c r="I313" s="87" t="n"/>
      <c r="M313" s="87" t="n"/>
    </row>
    <row r="314">
      <c r="D314" s="87" t="n"/>
      <c r="I314" s="87" t="n"/>
      <c r="M314" s="87" t="n"/>
    </row>
    <row r="315">
      <c r="D315" s="87" t="n"/>
      <c r="I315" s="87" t="n"/>
      <c r="M315" s="87" t="n"/>
    </row>
    <row r="316">
      <c r="D316" s="87" t="n"/>
      <c r="I316" s="87" t="n"/>
      <c r="M316" s="87" t="n"/>
    </row>
    <row r="317">
      <c r="D317" s="87" t="n"/>
      <c r="I317" s="87" t="n"/>
      <c r="M317" s="87" t="n"/>
    </row>
    <row r="318">
      <c r="D318" s="87" t="n"/>
      <c r="I318" s="87" t="n"/>
      <c r="M318" s="87" t="n"/>
    </row>
    <row r="319">
      <c r="D319" s="87" t="n"/>
      <c r="I319" s="87" t="n"/>
      <c r="M319" s="87" t="n"/>
    </row>
    <row r="320">
      <c r="D320" s="87" t="n"/>
      <c r="I320" s="87" t="n"/>
      <c r="M320" s="87" t="n"/>
    </row>
    <row r="321">
      <c r="D321" s="87" t="n"/>
      <c r="I321" s="87" t="n"/>
      <c r="M321" s="87" t="n"/>
    </row>
    <row r="322">
      <c r="D322" s="87" t="n"/>
      <c r="I322" s="87" t="n"/>
      <c r="M322" s="87" t="n"/>
    </row>
    <row r="323">
      <c r="D323" s="87" t="n"/>
      <c r="I323" s="87" t="n"/>
      <c r="M323" s="87" t="n"/>
    </row>
    <row r="324">
      <c r="D324" s="87" t="n"/>
      <c r="I324" s="87" t="n"/>
      <c r="M324" s="87" t="n"/>
    </row>
    <row r="325">
      <c r="D325" s="87" t="n"/>
      <c r="I325" s="87" t="n"/>
      <c r="M325" s="87" t="n"/>
    </row>
    <row r="326">
      <c r="D326" s="87" t="n"/>
      <c r="I326" s="87" t="n"/>
      <c r="M326" s="87" t="n"/>
    </row>
    <row r="327">
      <c r="D327" s="87" t="n"/>
      <c r="I327" s="87" t="n"/>
      <c r="M327" s="87" t="n"/>
    </row>
    <row r="328">
      <c r="D328" s="87" t="n"/>
      <c r="I328" s="87" t="n"/>
      <c r="M328" s="87" t="n"/>
    </row>
    <row r="329">
      <c r="D329" s="87" t="n"/>
      <c r="I329" s="87" t="n"/>
      <c r="M329" s="87" t="n"/>
    </row>
    <row r="330">
      <c r="D330" s="87" t="n"/>
      <c r="I330" s="87" t="n"/>
      <c r="M330" s="87" t="n"/>
    </row>
    <row r="331">
      <c r="D331" s="87" t="n"/>
      <c r="I331" s="87" t="n"/>
      <c r="M331" s="87" t="n"/>
    </row>
    <row r="332">
      <c r="D332" s="87" t="n"/>
      <c r="I332" s="87" t="n"/>
      <c r="M332" s="87" t="n"/>
    </row>
    <row r="333">
      <c r="D333" s="87" t="n"/>
      <c r="I333" s="87" t="n"/>
      <c r="M333" s="87" t="n"/>
    </row>
    <row r="334">
      <c r="D334" s="87" t="n"/>
      <c r="I334" s="87" t="n"/>
      <c r="M334" s="87" t="n"/>
    </row>
    <row r="335">
      <c r="D335" s="87" t="n"/>
      <c r="I335" s="87" t="n"/>
      <c r="M335" s="87" t="n"/>
    </row>
    <row r="336">
      <c r="D336" s="87" t="n"/>
      <c r="I336" s="87" t="n"/>
      <c r="M336" s="87" t="n"/>
    </row>
    <row r="337">
      <c r="D337" s="87" t="n"/>
      <c r="I337" s="87" t="n"/>
      <c r="M337" s="87" t="n"/>
    </row>
    <row r="338">
      <c r="D338" s="87" t="n"/>
      <c r="I338" s="87" t="n"/>
      <c r="M338" s="87" t="n"/>
    </row>
    <row r="339">
      <c r="D339" s="87" t="n"/>
      <c r="I339" s="87" t="n"/>
      <c r="M339" s="87" t="n"/>
    </row>
    <row r="340">
      <c r="D340" s="87" t="n"/>
      <c r="I340" s="87" t="n"/>
      <c r="M340" s="87" t="n"/>
    </row>
    <row r="341">
      <c r="D341" s="87" t="n"/>
      <c r="I341" s="87" t="n"/>
      <c r="M341" s="87" t="n"/>
    </row>
    <row r="342">
      <c r="D342" s="87" t="n"/>
      <c r="I342" s="87" t="n"/>
      <c r="M342" s="87" t="n"/>
    </row>
    <row r="343">
      <c r="D343" s="87" t="n"/>
      <c r="I343" s="87" t="n"/>
      <c r="M343" s="87" t="n"/>
    </row>
    <row r="344">
      <c r="D344" s="87" t="n"/>
      <c r="I344" s="87" t="n"/>
      <c r="M344" s="87" t="n"/>
    </row>
    <row r="345">
      <c r="D345" s="87" t="n"/>
      <c r="I345" s="87" t="n"/>
      <c r="M345" s="87" t="n"/>
    </row>
    <row r="346">
      <c r="D346" s="87" t="n"/>
      <c r="I346" s="87" t="n"/>
      <c r="M346" s="87" t="n"/>
    </row>
    <row r="347">
      <c r="D347" s="87" t="n"/>
      <c r="I347" s="87" t="n"/>
      <c r="M347" s="87" t="n"/>
    </row>
    <row r="348">
      <c r="D348" s="87" t="n"/>
      <c r="I348" s="87" t="n"/>
      <c r="M348" s="87" t="n"/>
    </row>
    <row r="349">
      <c r="D349" s="87" t="n"/>
      <c r="I349" s="87" t="n"/>
      <c r="M349" s="87" t="n"/>
    </row>
    <row r="350">
      <c r="D350" s="87" t="n"/>
      <c r="I350" s="87" t="n"/>
      <c r="M350" s="87" t="n"/>
    </row>
    <row r="351">
      <c r="D351" s="87" t="n"/>
      <c r="I351" s="87" t="n"/>
      <c r="M351" s="87" t="n"/>
    </row>
    <row r="352">
      <c r="D352" s="87" t="n"/>
      <c r="I352" s="87" t="n"/>
      <c r="M352" s="87" t="n"/>
    </row>
    <row r="353">
      <c r="D353" s="87" t="n"/>
      <c r="I353" s="87" t="n"/>
      <c r="M353" s="87" t="n"/>
    </row>
    <row r="354">
      <c r="D354" s="87" t="n"/>
      <c r="I354" s="87" t="n"/>
      <c r="M354" s="87" t="n"/>
    </row>
    <row r="355">
      <c r="D355" s="87" t="n"/>
      <c r="I355" s="87" t="n"/>
      <c r="M355" s="87" t="n"/>
    </row>
    <row r="356">
      <c r="D356" s="87" t="n"/>
      <c r="I356" s="87" t="n"/>
      <c r="M356" s="87" t="n"/>
    </row>
    <row r="357">
      <c r="D357" s="87" t="n"/>
      <c r="I357" s="87" t="n"/>
      <c r="M357" s="87" t="n"/>
    </row>
    <row r="358">
      <c r="D358" s="87" t="n"/>
      <c r="I358" s="87" t="n"/>
      <c r="M358" s="87" t="n"/>
    </row>
    <row r="359">
      <c r="D359" s="87" t="n"/>
      <c r="I359" s="87" t="n"/>
      <c r="M359" s="87" t="n"/>
    </row>
    <row r="360">
      <c r="D360" s="87" t="n"/>
      <c r="I360" s="87" t="n"/>
      <c r="M360" s="87" t="n"/>
    </row>
    <row r="361">
      <c r="D361" s="87" t="n"/>
      <c r="I361" s="87" t="n"/>
      <c r="M361" s="87" t="n"/>
    </row>
    <row r="362">
      <c r="D362" s="87" t="n"/>
      <c r="I362" s="87" t="n"/>
      <c r="M362" s="87" t="n"/>
    </row>
    <row r="363">
      <c r="D363" s="87" t="n"/>
      <c r="I363" s="87" t="n"/>
      <c r="M363" s="87" t="n"/>
    </row>
    <row r="364">
      <c r="D364" s="87" t="n"/>
      <c r="I364" s="87" t="n"/>
      <c r="M364" s="87" t="n"/>
    </row>
    <row r="365">
      <c r="D365" s="87" t="n"/>
      <c r="I365" s="87" t="n"/>
      <c r="M365" s="87" t="n"/>
    </row>
    <row r="366">
      <c r="D366" s="87" t="n"/>
      <c r="I366" s="87" t="n"/>
      <c r="M366" s="87" t="n"/>
    </row>
    <row r="367">
      <c r="D367" s="87" t="n"/>
      <c r="I367" s="87" t="n"/>
      <c r="M367" s="87" t="n"/>
    </row>
    <row r="368">
      <c r="D368" s="87" t="n"/>
      <c r="I368" s="87" t="n"/>
      <c r="M368" s="87" t="n"/>
    </row>
    <row r="369">
      <c r="D369" s="87" t="n"/>
      <c r="I369" s="87" t="n"/>
      <c r="M369" s="87" t="n"/>
    </row>
    <row r="370">
      <c r="D370" s="87" t="n"/>
      <c r="I370" s="87" t="n"/>
      <c r="M370" s="87" t="n"/>
    </row>
    <row r="371">
      <c r="D371" s="87" t="n"/>
      <c r="I371" s="87" t="n"/>
      <c r="M371" s="87" t="n"/>
    </row>
    <row r="372">
      <c r="D372" s="87" t="n"/>
      <c r="I372" s="87" t="n"/>
      <c r="M372" s="87" t="n"/>
    </row>
    <row r="373">
      <c r="D373" s="87" t="n"/>
      <c r="I373" s="87" t="n"/>
      <c r="M373" s="87" t="n"/>
    </row>
    <row r="374">
      <c r="D374" s="87" t="n"/>
      <c r="I374" s="87" t="n"/>
      <c r="M374" s="87" t="n"/>
    </row>
    <row r="375">
      <c r="D375" s="87" t="n"/>
      <c r="I375" s="87" t="n"/>
      <c r="M375" s="87" t="n"/>
    </row>
    <row r="376">
      <c r="D376" s="87" t="n"/>
      <c r="I376" s="87" t="n"/>
      <c r="M376" s="87" t="n"/>
    </row>
    <row r="377">
      <c r="D377" s="87" t="n"/>
      <c r="I377" s="87" t="n"/>
      <c r="M377" s="87" t="n"/>
    </row>
    <row r="378">
      <c r="D378" s="87" t="n"/>
      <c r="I378" s="87" t="n"/>
      <c r="M378" s="87" t="n"/>
    </row>
    <row r="379">
      <c r="D379" s="87" t="n"/>
      <c r="I379" s="87" t="n"/>
      <c r="M379" s="87" t="n"/>
    </row>
    <row r="380">
      <c r="D380" s="87" t="n"/>
      <c r="I380" s="87" t="n"/>
      <c r="M380" s="87" t="n"/>
    </row>
    <row r="381">
      <c r="D381" s="87" t="n"/>
      <c r="I381" s="87" t="n"/>
      <c r="M381" s="87" t="n"/>
    </row>
    <row r="382">
      <c r="D382" s="87" t="n"/>
      <c r="I382" s="87" t="n"/>
      <c r="M382" s="87" t="n"/>
    </row>
    <row r="383">
      <c r="D383" s="87" t="n"/>
      <c r="I383" s="87" t="n"/>
      <c r="M383" s="87" t="n"/>
    </row>
    <row r="384">
      <c r="D384" s="87" t="n"/>
      <c r="I384" s="87" t="n"/>
      <c r="M384" s="87" t="n"/>
    </row>
    <row r="385">
      <c r="D385" s="87" t="n"/>
      <c r="I385" s="87" t="n"/>
      <c r="M385" s="87" t="n"/>
    </row>
    <row r="386">
      <c r="D386" s="87" t="n"/>
      <c r="I386" s="87" t="n"/>
      <c r="M386" s="87" t="n"/>
    </row>
    <row r="387">
      <c r="D387" s="87" t="n"/>
      <c r="I387" s="87" t="n"/>
      <c r="M387" s="87" t="n"/>
    </row>
    <row r="388">
      <c r="D388" s="87" t="n"/>
      <c r="I388" s="87" t="n"/>
      <c r="M388" s="87" t="n"/>
    </row>
    <row r="389">
      <c r="D389" s="87" t="n"/>
      <c r="I389" s="87" t="n"/>
      <c r="M389" s="87" t="n"/>
    </row>
    <row r="390">
      <c r="D390" s="87" t="n"/>
      <c r="I390" s="87" t="n"/>
      <c r="M390" s="87" t="n"/>
    </row>
    <row r="391">
      <c r="D391" s="87" t="n"/>
      <c r="I391" s="87" t="n"/>
      <c r="M391" s="87" t="n"/>
    </row>
    <row r="392">
      <c r="D392" s="87" t="n"/>
      <c r="I392" s="87" t="n"/>
      <c r="M392" s="87" t="n"/>
    </row>
    <row r="393">
      <c r="D393" s="87" t="n"/>
      <c r="I393" s="87" t="n"/>
      <c r="M393" s="87" t="n"/>
    </row>
    <row r="394">
      <c r="D394" s="87" t="n"/>
      <c r="I394" s="87" t="n"/>
      <c r="M394" s="87" t="n"/>
    </row>
    <row r="395">
      <c r="D395" s="87" t="n"/>
      <c r="I395" s="87" t="n"/>
      <c r="M395" s="87" t="n"/>
    </row>
    <row r="396">
      <c r="D396" s="87" t="n"/>
      <c r="I396" s="87" t="n"/>
      <c r="M396" s="87" t="n"/>
    </row>
    <row r="397">
      <c r="D397" s="87" t="n"/>
      <c r="I397" s="87" t="n"/>
      <c r="M397" s="87" t="n"/>
    </row>
    <row r="398">
      <c r="D398" s="87" t="n"/>
      <c r="I398" s="87" t="n"/>
      <c r="M398" s="87" t="n"/>
    </row>
    <row r="399">
      <c r="D399" s="87" t="n"/>
      <c r="I399" s="87" t="n"/>
      <c r="M399" s="87" t="n"/>
    </row>
    <row r="400">
      <c r="D400" s="87" t="n"/>
      <c r="I400" s="87" t="n"/>
      <c r="M400" s="87" t="n"/>
    </row>
    <row r="401">
      <c r="D401" s="87" t="n"/>
      <c r="I401" s="87" t="n"/>
      <c r="M401" s="87" t="n"/>
    </row>
    <row r="402">
      <c r="D402" s="87" t="n"/>
      <c r="I402" s="87" t="n"/>
      <c r="M402" s="87" t="n"/>
    </row>
    <row r="403">
      <c r="D403" s="87" t="n"/>
      <c r="I403" s="87" t="n"/>
      <c r="M403" s="87" t="n"/>
    </row>
    <row r="404">
      <c r="D404" s="87" t="n"/>
      <c r="I404" s="87" t="n"/>
      <c r="M404" s="87" t="n"/>
    </row>
    <row r="405">
      <c r="D405" s="87" t="n"/>
      <c r="I405" s="87" t="n"/>
      <c r="M405" s="87" t="n"/>
    </row>
    <row r="406">
      <c r="D406" s="87" t="n"/>
      <c r="I406" s="87" t="n"/>
      <c r="M406" s="87" t="n"/>
    </row>
    <row r="407">
      <c r="D407" s="87" t="n"/>
      <c r="I407" s="87" t="n"/>
      <c r="M407" s="87" t="n"/>
    </row>
    <row r="408">
      <c r="D408" s="87" t="n"/>
      <c r="I408" s="87" t="n"/>
      <c r="M408" s="87" t="n"/>
    </row>
    <row r="409">
      <c r="D409" s="87" t="n"/>
      <c r="I409" s="87" t="n"/>
      <c r="M409" s="87" t="n"/>
    </row>
    <row r="410">
      <c r="D410" s="87" t="n"/>
      <c r="I410" s="87" t="n"/>
      <c r="M410" s="87" t="n"/>
    </row>
    <row r="411">
      <c r="D411" s="87" t="n"/>
      <c r="I411" s="87" t="n"/>
      <c r="M411" s="87" t="n"/>
    </row>
    <row r="412">
      <c r="D412" s="87" t="n"/>
      <c r="I412" s="87" t="n"/>
      <c r="M412" s="87" t="n"/>
    </row>
    <row r="413">
      <c r="D413" s="87" t="n"/>
      <c r="I413" s="87" t="n"/>
      <c r="M413" s="87" t="n"/>
    </row>
    <row r="414">
      <c r="D414" s="87" t="n"/>
      <c r="I414" s="87" t="n"/>
      <c r="M414" s="87" t="n"/>
    </row>
    <row r="415">
      <c r="D415" s="87" t="n"/>
      <c r="I415" s="87" t="n"/>
      <c r="M415" s="87" t="n"/>
    </row>
    <row r="416">
      <c r="D416" s="87" t="n"/>
      <c r="I416" s="87" t="n"/>
      <c r="M416" s="87" t="n"/>
    </row>
    <row r="417">
      <c r="D417" s="87" t="n"/>
      <c r="I417" s="87" t="n"/>
      <c r="M417" s="87" t="n"/>
    </row>
    <row r="418">
      <c r="D418" s="87" t="n"/>
      <c r="I418" s="87" t="n"/>
      <c r="M418" s="87" t="n"/>
    </row>
    <row r="419">
      <c r="D419" s="87" t="n"/>
      <c r="I419" s="87" t="n"/>
      <c r="M419" s="87" t="n"/>
    </row>
    <row r="420">
      <c r="D420" s="87" t="n"/>
      <c r="I420" s="87" t="n"/>
      <c r="M420" s="87" t="n"/>
    </row>
    <row r="421">
      <c r="D421" s="87" t="n"/>
      <c r="I421" s="87" t="n"/>
      <c r="M421" s="87" t="n"/>
    </row>
    <row r="422">
      <c r="D422" s="87" t="n"/>
      <c r="I422" s="87" t="n"/>
      <c r="M422" s="87" t="n"/>
    </row>
    <row r="423">
      <c r="D423" s="87" t="n"/>
      <c r="I423" s="87" t="n"/>
      <c r="M423" s="87" t="n"/>
    </row>
    <row r="424">
      <c r="D424" s="87" t="n"/>
      <c r="I424" s="87" t="n"/>
      <c r="M424" s="87" t="n"/>
    </row>
    <row r="425">
      <c r="D425" s="87" t="n"/>
      <c r="I425" s="87" t="n"/>
      <c r="M425" s="87" t="n"/>
    </row>
    <row r="426">
      <c r="D426" s="87" t="n"/>
      <c r="I426" s="87" t="n"/>
      <c r="M426" s="87" t="n"/>
    </row>
    <row r="427">
      <c r="D427" s="87" t="n"/>
      <c r="I427" s="87" t="n"/>
      <c r="M427" s="87" t="n"/>
    </row>
    <row r="428">
      <c r="D428" s="87" t="n"/>
      <c r="I428" s="87" t="n"/>
      <c r="M428" s="87" t="n"/>
    </row>
    <row r="429">
      <c r="D429" s="87" t="n"/>
      <c r="I429" s="87" t="n"/>
      <c r="M429" s="87" t="n"/>
    </row>
    <row r="430">
      <c r="D430" s="87" t="n"/>
      <c r="I430" s="87" t="n"/>
      <c r="M430" s="87" t="n"/>
    </row>
    <row r="431">
      <c r="D431" s="87" t="n"/>
      <c r="I431" s="87" t="n"/>
      <c r="M431" s="87" t="n"/>
    </row>
    <row r="432">
      <c r="D432" s="87" t="n"/>
      <c r="I432" s="87" t="n"/>
      <c r="M432" s="87" t="n"/>
    </row>
    <row r="433">
      <c r="D433" s="87" t="n"/>
      <c r="I433" s="87" t="n"/>
      <c r="M433" s="87" t="n"/>
    </row>
    <row r="434">
      <c r="D434" s="87" t="n"/>
      <c r="I434" s="87" t="n"/>
      <c r="M434" s="87" t="n"/>
    </row>
    <row r="435">
      <c r="D435" s="87" t="n"/>
      <c r="I435" s="87" t="n"/>
      <c r="M435" s="87" t="n"/>
    </row>
    <row r="436">
      <c r="D436" s="87" t="n"/>
      <c r="I436" s="87" t="n"/>
      <c r="M436" s="87" t="n"/>
    </row>
    <row r="437">
      <c r="D437" s="87" t="n"/>
      <c r="I437" s="87" t="n"/>
      <c r="M437" s="87" t="n"/>
    </row>
    <row r="438">
      <c r="D438" s="87" t="n"/>
      <c r="I438" s="87" t="n"/>
      <c r="M438" s="87" t="n"/>
    </row>
    <row r="439">
      <c r="D439" s="87" t="n"/>
      <c r="I439" s="87" t="n"/>
      <c r="M439" s="87" t="n"/>
    </row>
    <row r="440">
      <c r="D440" s="87" t="n"/>
      <c r="I440" s="87" t="n"/>
      <c r="M440" s="87" t="n"/>
    </row>
    <row r="441">
      <c r="D441" s="87" t="n"/>
      <c r="I441" s="87" t="n"/>
      <c r="M441" s="87" t="n"/>
    </row>
    <row r="442">
      <c r="D442" s="87" t="n"/>
      <c r="I442" s="87" t="n"/>
      <c r="M442" s="87" t="n"/>
    </row>
    <row r="443">
      <c r="D443" s="87" t="n"/>
      <c r="I443" s="87" t="n"/>
      <c r="M443" s="87" t="n"/>
    </row>
    <row r="444">
      <c r="D444" s="87" t="n"/>
      <c r="I444" s="87" t="n"/>
      <c r="M444" s="87" t="n"/>
    </row>
    <row r="445">
      <c r="D445" s="87" t="n"/>
      <c r="I445" s="87" t="n"/>
      <c r="M445" s="87" t="n"/>
    </row>
    <row r="446">
      <c r="D446" s="87" t="n"/>
      <c r="I446" s="87" t="n"/>
      <c r="M446" s="87" t="n"/>
    </row>
    <row r="447">
      <c r="D447" s="87" t="n"/>
      <c r="I447" s="87" t="n"/>
      <c r="M447" s="87" t="n"/>
    </row>
    <row r="448">
      <c r="D448" s="87" t="n"/>
      <c r="I448" s="87" t="n"/>
      <c r="M448" s="87" t="n"/>
    </row>
    <row r="449">
      <c r="D449" s="87" t="n"/>
      <c r="I449" s="87" t="n"/>
      <c r="M449" s="87" t="n"/>
    </row>
    <row r="450">
      <c r="D450" s="87" t="n"/>
      <c r="I450" s="87" t="n"/>
      <c r="M450" s="87" t="n"/>
    </row>
    <row r="451">
      <c r="D451" s="87" t="n"/>
      <c r="I451" s="87" t="n"/>
      <c r="M451" s="87" t="n"/>
    </row>
    <row r="452">
      <c r="D452" s="87" t="n"/>
      <c r="I452" s="87" t="n"/>
      <c r="M452" s="87" t="n"/>
    </row>
    <row r="453">
      <c r="D453" s="87" t="n"/>
      <c r="I453" s="87" t="n"/>
      <c r="M453" s="87" t="n"/>
    </row>
    <row r="454">
      <c r="D454" s="87" t="n"/>
      <c r="I454" s="87" t="n"/>
      <c r="M454" s="87" t="n"/>
    </row>
    <row r="455">
      <c r="D455" s="87" t="n"/>
      <c r="I455" s="87" t="n"/>
      <c r="M455" s="87" t="n"/>
    </row>
    <row r="456">
      <c r="D456" s="87" t="n"/>
      <c r="I456" s="87" t="n"/>
      <c r="M456" s="87" t="n"/>
    </row>
    <row r="457">
      <c r="D457" s="87" t="n"/>
      <c r="I457" s="87" t="n"/>
      <c r="M457" s="87" t="n"/>
    </row>
    <row r="458">
      <c r="D458" s="87" t="n"/>
      <c r="I458" s="87" t="n"/>
      <c r="M458" s="87" t="n"/>
    </row>
    <row r="459">
      <c r="D459" s="87" t="n"/>
      <c r="I459" s="87" t="n"/>
      <c r="M459" s="87" t="n"/>
    </row>
    <row r="460">
      <c r="D460" s="87" t="n"/>
      <c r="I460" s="87" t="n"/>
      <c r="M460" s="87" t="n"/>
    </row>
    <row r="461">
      <c r="D461" s="87" t="n"/>
      <c r="I461" s="87" t="n"/>
      <c r="M461" s="87" t="n"/>
    </row>
    <row r="462">
      <c r="D462" s="87" t="n"/>
      <c r="I462" s="87" t="n"/>
      <c r="M462" s="87" t="n"/>
    </row>
    <row r="463">
      <c r="D463" s="87" t="n"/>
      <c r="I463" s="87" t="n"/>
      <c r="M463" s="87" t="n"/>
    </row>
    <row r="464">
      <c r="D464" s="87" t="n"/>
      <c r="I464" s="87" t="n"/>
      <c r="M464" s="87" t="n"/>
    </row>
    <row r="465">
      <c r="D465" s="87" t="n"/>
      <c r="I465" s="87" t="n"/>
      <c r="M465" s="87" t="n"/>
    </row>
    <row r="466">
      <c r="D466" s="87" t="n"/>
      <c r="I466" s="87" t="n"/>
      <c r="M466" s="87" t="n"/>
    </row>
    <row r="467">
      <c r="D467" s="87" t="n"/>
      <c r="I467" s="87" t="n"/>
      <c r="M467" s="87" t="n"/>
    </row>
    <row r="468">
      <c r="D468" s="87" t="n"/>
      <c r="I468" s="87" t="n"/>
      <c r="M468" s="87" t="n"/>
    </row>
    <row r="469">
      <c r="D469" s="87" t="n"/>
      <c r="I469" s="87" t="n"/>
      <c r="M469" s="87" t="n"/>
    </row>
    <row r="470">
      <c r="D470" s="87" t="n"/>
      <c r="I470" s="87" t="n"/>
      <c r="M470" s="87" t="n"/>
    </row>
    <row r="471">
      <c r="D471" s="87" t="n"/>
      <c r="I471" s="87" t="n"/>
      <c r="M471" s="87" t="n"/>
    </row>
    <row r="472">
      <c r="D472" s="87" t="n"/>
      <c r="I472" s="87" t="n"/>
      <c r="M472" s="87" t="n"/>
    </row>
    <row r="473">
      <c r="D473" s="87" t="n"/>
      <c r="I473" s="87" t="n"/>
      <c r="M473" s="87" t="n"/>
    </row>
    <row r="474">
      <c r="D474" s="87" t="n"/>
      <c r="I474" s="87" t="n"/>
      <c r="M474" s="87" t="n"/>
    </row>
    <row r="475">
      <c r="D475" s="87" t="n"/>
      <c r="I475" s="87" t="n"/>
      <c r="M475" s="87" t="n"/>
    </row>
    <row r="476">
      <c r="D476" s="87" t="n"/>
      <c r="I476" s="87" t="n"/>
      <c r="M476" s="87" t="n"/>
    </row>
    <row r="477">
      <c r="D477" s="87" t="n"/>
      <c r="I477" s="87" t="n"/>
      <c r="M477" s="87" t="n"/>
    </row>
    <row r="478">
      <c r="D478" s="87" t="n"/>
      <c r="I478" s="87" t="n"/>
      <c r="M478" s="87" t="n"/>
    </row>
    <row r="479">
      <c r="D479" s="87" t="n"/>
      <c r="I479" s="87" t="n"/>
      <c r="M479" s="87" t="n"/>
    </row>
    <row r="480">
      <c r="D480" s="87" t="n"/>
      <c r="I480" s="87" t="n"/>
      <c r="M480" s="87" t="n"/>
    </row>
    <row r="481">
      <c r="D481" s="87" t="n"/>
      <c r="I481" s="87" t="n"/>
      <c r="M481" s="87" t="n"/>
    </row>
    <row r="482">
      <c r="D482" s="87" t="n"/>
      <c r="I482" s="87" t="n"/>
      <c r="M482" s="87" t="n"/>
    </row>
    <row r="483">
      <c r="D483" s="87" t="n"/>
      <c r="I483" s="87" t="n"/>
      <c r="M483" s="87" t="n"/>
    </row>
    <row r="484">
      <c r="D484" s="87" t="n"/>
      <c r="I484" s="87" t="n"/>
      <c r="M484" s="87" t="n"/>
    </row>
    <row r="485">
      <c r="D485" s="87" t="n"/>
      <c r="I485" s="87" t="n"/>
      <c r="M485" s="87" t="n"/>
    </row>
    <row r="486">
      <c r="D486" s="87" t="n"/>
      <c r="I486" s="87" t="n"/>
      <c r="M486" s="87" t="n"/>
    </row>
    <row r="487">
      <c r="D487" s="87" t="n"/>
      <c r="I487" s="87" t="n"/>
      <c r="M487" s="87" t="n"/>
    </row>
    <row r="488">
      <c r="D488" s="87" t="n"/>
      <c r="I488" s="87" t="n"/>
      <c r="M488" s="87" t="n"/>
    </row>
    <row r="489">
      <c r="D489" s="87" t="n"/>
      <c r="I489" s="87" t="n"/>
      <c r="M489" s="87" t="n"/>
    </row>
    <row r="490">
      <c r="D490" s="87" t="n"/>
      <c r="I490" s="87" t="n"/>
      <c r="M490" s="87" t="n"/>
    </row>
    <row r="491">
      <c r="D491" s="87" t="n"/>
      <c r="I491" s="87" t="n"/>
      <c r="M491" s="87" t="n"/>
    </row>
    <row r="492">
      <c r="D492" s="87" t="n"/>
      <c r="I492" s="87" t="n"/>
      <c r="M492" s="87" t="n"/>
    </row>
    <row r="493">
      <c r="D493" s="87" t="n"/>
      <c r="I493" s="87" t="n"/>
      <c r="M493" s="87" t="n"/>
    </row>
    <row r="494">
      <c r="D494" s="87" t="n"/>
      <c r="I494" s="87" t="n"/>
      <c r="M494" s="87" t="n"/>
    </row>
    <row r="495">
      <c r="D495" s="87" t="n"/>
      <c r="I495" s="87" t="n"/>
      <c r="M495" s="87" t="n"/>
    </row>
    <row r="496">
      <c r="D496" s="87" t="n"/>
      <c r="I496" s="87" t="n"/>
      <c r="M496" s="87" t="n"/>
    </row>
    <row r="497">
      <c r="D497" s="87" t="n"/>
      <c r="I497" s="87" t="n"/>
      <c r="M497" s="87" t="n"/>
    </row>
    <row r="498">
      <c r="D498" s="87" t="n"/>
      <c r="I498" s="87" t="n"/>
      <c r="M498" s="87" t="n"/>
    </row>
    <row r="499">
      <c r="D499" s="87" t="n"/>
      <c r="I499" s="87" t="n"/>
      <c r="M499" s="87" t="n"/>
    </row>
    <row r="500">
      <c r="D500" s="87" t="n"/>
      <c r="I500" s="87" t="n"/>
      <c r="M500" s="87" t="n"/>
    </row>
    <row r="501">
      <c r="D501" s="87" t="n"/>
      <c r="I501" s="87" t="n"/>
      <c r="M501" s="87" t="n"/>
    </row>
    <row r="502">
      <c r="D502" s="87" t="n"/>
      <c r="I502" s="87" t="n"/>
      <c r="M502" s="87" t="n"/>
    </row>
    <row r="503">
      <c r="D503" s="87" t="n"/>
      <c r="I503" s="87" t="n"/>
      <c r="M503" s="87" t="n"/>
    </row>
    <row r="504">
      <c r="D504" s="87" t="n"/>
      <c r="I504" s="87" t="n"/>
      <c r="M504" s="87" t="n"/>
    </row>
    <row r="505">
      <c r="D505" s="87" t="n"/>
      <c r="I505" s="87" t="n"/>
      <c r="M505" s="87" t="n"/>
    </row>
    <row r="506">
      <c r="D506" s="87" t="n"/>
      <c r="I506" s="87" t="n"/>
      <c r="M506" s="87" t="n"/>
    </row>
    <row r="507">
      <c r="D507" s="87" t="n"/>
      <c r="I507" s="87" t="n"/>
      <c r="M507" s="87" t="n"/>
    </row>
    <row r="508">
      <c r="D508" s="87" t="n"/>
      <c r="I508" s="87" t="n"/>
      <c r="M508" s="87" t="n"/>
    </row>
    <row r="509">
      <c r="D509" s="87" t="n"/>
      <c r="I509" s="87" t="n"/>
      <c r="M509" s="87" t="n"/>
    </row>
    <row r="510">
      <c r="D510" s="87" t="n"/>
      <c r="I510" s="87" t="n"/>
      <c r="M510" s="87" t="n"/>
    </row>
    <row r="511">
      <c r="D511" s="87" t="n"/>
      <c r="I511" s="87" t="n"/>
      <c r="M511" s="87" t="n"/>
    </row>
    <row r="512">
      <c r="D512" s="87" t="n"/>
      <c r="I512" s="87" t="n"/>
      <c r="M512" s="87" t="n"/>
    </row>
    <row r="513">
      <c r="D513" s="87" t="n"/>
      <c r="I513" s="87" t="n"/>
      <c r="M513" s="87" t="n"/>
    </row>
    <row r="514">
      <c r="D514" s="87" t="n"/>
      <c r="I514" s="87" t="n"/>
      <c r="M514" s="87" t="n"/>
    </row>
    <row r="515">
      <c r="D515" s="87" t="n"/>
      <c r="I515" s="87" t="n"/>
      <c r="M515" s="87" t="n"/>
    </row>
    <row r="516">
      <c r="D516" s="87" t="n"/>
      <c r="I516" s="87" t="n"/>
      <c r="M516" s="87" t="n"/>
    </row>
    <row r="517">
      <c r="D517" s="87" t="n"/>
      <c r="I517" s="87" t="n"/>
      <c r="M517" s="87" t="n"/>
    </row>
    <row r="518">
      <c r="D518" s="87" t="n"/>
      <c r="I518" s="87" t="n"/>
      <c r="M518" s="87" t="n"/>
    </row>
    <row r="519">
      <c r="D519" s="87" t="n"/>
      <c r="I519" s="87" t="n"/>
      <c r="M519" s="87" t="n"/>
    </row>
    <row r="520">
      <c r="D520" s="87" t="n"/>
      <c r="I520" s="87" t="n"/>
      <c r="M520" s="87" t="n"/>
    </row>
    <row r="521">
      <c r="D521" s="87" t="n"/>
      <c r="I521" s="87" t="n"/>
      <c r="M521" s="87" t="n"/>
    </row>
    <row r="522">
      <c r="D522" s="87" t="n"/>
      <c r="I522" s="87" t="n"/>
      <c r="M522" s="87" t="n"/>
    </row>
    <row r="523">
      <c r="D523" s="87" t="n"/>
      <c r="I523" s="87" t="n"/>
      <c r="M523" s="87" t="n"/>
    </row>
    <row r="524">
      <c r="D524" s="87" t="n"/>
      <c r="I524" s="87" t="n"/>
      <c r="M524" s="87" t="n"/>
    </row>
    <row r="525">
      <c r="D525" s="87" t="n"/>
      <c r="I525" s="87" t="n"/>
      <c r="M525" s="87" t="n"/>
    </row>
    <row r="526">
      <c r="D526" s="87" t="n"/>
      <c r="I526" s="87" t="n"/>
      <c r="M526" s="87" t="n"/>
    </row>
    <row r="527">
      <c r="D527" s="87" t="n"/>
      <c r="I527" s="87" t="n"/>
      <c r="M527" s="87" t="n"/>
    </row>
    <row r="528">
      <c r="D528" s="87" t="n"/>
      <c r="I528" s="87" t="n"/>
      <c r="M528" s="87" t="n"/>
    </row>
    <row r="529">
      <c r="D529" s="87" t="n"/>
      <c r="I529" s="87" t="n"/>
      <c r="M529" s="87" t="n"/>
    </row>
    <row r="530">
      <c r="D530" s="87" t="n"/>
      <c r="I530" s="87" t="n"/>
      <c r="M530" s="87" t="n"/>
    </row>
    <row r="531">
      <c r="D531" s="87" t="n"/>
      <c r="I531" s="87" t="n"/>
      <c r="M531" s="87" t="n"/>
    </row>
    <row r="532">
      <c r="D532" s="87" t="n"/>
      <c r="I532" s="87" t="n"/>
      <c r="M532" s="87" t="n"/>
    </row>
    <row r="533">
      <c r="D533" s="87" t="n"/>
      <c r="I533" s="87" t="n"/>
      <c r="M533" s="87" t="n"/>
    </row>
    <row r="534">
      <c r="D534" s="87" t="n"/>
      <c r="I534" s="87" t="n"/>
      <c r="M534" s="87" t="n"/>
    </row>
    <row r="535">
      <c r="D535" s="87" t="n"/>
      <c r="I535" s="87" t="n"/>
      <c r="M535" s="87" t="n"/>
    </row>
    <row r="536">
      <c r="D536" s="87" t="n"/>
      <c r="I536" s="87" t="n"/>
      <c r="M536" s="87" t="n"/>
    </row>
    <row r="537">
      <c r="D537" s="87" t="n"/>
      <c r="I537" s="87" t="n"/>
      <c r="M537" s="87" t="n"/>
    </row>
    <row r="538">
      <c r="D538" s="87" t="n"/>
      <c r="I538" s="87" t="n"/>
      <c r="M538" s="87" t="n"/>
    </row>
    <row r="539">
      <c r="D539" s="87" t="n"/>
      <c r="I539" s="87" t="n"/>
      <c r="M539" s="87" t="n"/>
    </row>
    <row r="540">
      <c r="D540" s="87" t="n"/>
      <c r="I540" s="87" t="n"/>
      <c r="M540" s="87" t="n"/>
    </row>
    <row r="541">
      <c r="D541" s="87" t="n"/>
      <c r="I541" s="87" t="n"/>
      <c r="M541" s="87" t="n"/>
    </row>
    <row r="542">
      <c r="D542" s="87" t="n"/>
      <c r="I542" s="87" t="n"/>
      <c r="M542" s="87" t="n"/>
    </row>
    <row r="543">
      <c r="D543" s="87" t="n"/>
      <c r="I543" s="87" t="n"/>
      <c r="M543" s="87" t="n"/>
    </row>
    <row r="544">
      <c r="D544" s="87" t="n"/>
      <c r="I544" s="87" t="n"/>
      <c r="M544" s="87" t="n"/>
    </row>
    <row r="545">
      <c r="D545" s="87" t="n"/>
      <c r="I545" s="87" t="n"/>
      <c r="M545" s="87" t="n"/>
    </row>
    <row r="546">
      <c r="D546" s="87" t="n"/>
      <c r="I546" s="87" t="n"/>
      <c r="M546" s="87" t="n"/>
    </row>
    <row r="547">
      <c r="D547" s="87" t="n"/>
      <c r="I547" s="87" t="n"/>
      <c r="M547" s="87" t="n"/>
    </row>
    <row r="548">
      <c r="D548" s="87" t="n"/>
      <c r="I548" s="87" t="n"/>
      <c r="M548" s="87" t="n"/>
    </row>
    <row r="549">
      <c r="D549" s="87" t="n"/>
      <c r="I549" s="87" t="n"/>
      <c r="M549" s="87" t="n"/>
    </row>
    <row r="550">
      <c r="D550" s="87" t="n"/>
      <c r="I550" s="87" t="n"/>
      <c r="M550" s="87" t="n"/>
    </row>
    <row r="551">
      <c r="D551" s="87" t="n"/>
      <c r="I551" s="87" t="n"/>
      <c r="M551" s="87" t="n"/>
    </row>
    <row r="552">
      <c r="D552" s="87" t="n"/>
      <c r="I552" s="87" t="n"/>
      <c r="M552" s="87" t="n"/>
    </row>
    <row r="553">
      <c r="D553" s="87" t="n"/>
      <c r="I553" s="87" t="n"/>
      <c r="M553" s="87" t="n"/>
    </row>
    <row r="554">
      <c r="D554" s="87" t="n"/>
      <c r="I554" s="87" t="n"/>
      <c r="M554" s="87" t="n"/>
    </row>
    <row r="555">
      <c r="D555" s="87" t="n"/>
      <c r="I555" s="87" t="n"/>
      <c r="M555" s="87" t="n"/>
    </row>
    <row r="556">
      <c r="D556" s="87" t="n"/>
      <c r="I556" s="87" t="n"/>
      <c r="M556" s="87" t="n"/>
    </row>
    <row r="557">
      <c r="D557" s="87" t="n"/>
      <c r="I557" s="87" t="n"/>
      <c r="M557" s="87" t="n"/>
    </row>
    <row r="558">
      <c r="D558" s="87" t="n"/>
      <c r="I558" s="87" t="n"/>
      <c r="M558" s="87" t="n"/>
    </row>
    <row r="559">
      <c r="D559" s="87" t="n"/>
      <c r="I559" s="87" t="n"/>
      <c r="M559" s="87" t="n"/>
    </row>
    <row r="560">
      <c r="D560" s="87" t="n"/>
      <c r="I560" s="87" t="n"/>
      <c r="M560" s="87" t="n"/>
    </row>
    <row r="561">
      <c r="D561" s="87" t="n"/>
      <c r="I561" s="87" t="n"/>
      <c r="M561" s="87" t="n"/>
    </row>
    <row r="562">
      <c r="D562" s="87" t="n"/>
      <c r="I562" s="87" t="n"/>
      <c r="M562" s="87" t="n"/>
    </row>
    <row r="563">
      <c r="D563" s="87" t="n"/>
      <c r="I563" s="87" t="n"/>
      <c r="M563" s="87" t="n"/>
    </row>
    <row r="564">
      <c r="D564" s="87" t="n"/>
      <c r="I564" s="87" t="n"/>
      <c r="M564" s="87" t="n"/>
    </row>
    <row r="565">
      <c r="D565" s="87" t="n"/>
      <c r="I565" s="87" t="n"/>
      <c r="M565" s="87" t="n"/>
    </row>
    <row r="566">
      <c r="D566" s="87" t="n"/>
      <c r="I566" s="87" t="n"/>
      <c r="M566" s="87" t="n"/>
    </row>
    <row r="567">
      <c r="D567" s="87" t="n"/>
      <c r="I567" s="87" t="n"/>
      <c r="M567" s="87" t="n"/>
    </row>
    <row r="568">
      <c r="D568" s="87" t="n"/>
      <c r="I568" s="87" t="n"/>
      <c r="M568" s="87" t="n"/>
    </row>
    <row r="569">
      <c r="D569" s="87" t="n"/>
      <c r="I569" s="87" t="n"/>
      <c r="M569" s="87" t="n"/>
    </row>
    <row r="570">
      <c r="D570" s="87" t="n"/>
      <c r="I570" s="87" t="n"/>
      <c r="M570" s="87" t="n"/>
    </row>
    <row r="571">
      <c r="D571" s="87" t="n"/>
      <c r="I571" s="87" t="n"/>
      <c r="M571" s="87" t="n"/>
    </row>
    <row r="572">
      <c r="D572" s="87" t="n"/>
      <c r="I572" s="87" t="n"/>
      <c r="M572" s="87" t="n"/>
    </row>
    <row r="573">
      <c r="D573" s="87" t="n"/>
      <c r="I573" s="87" t="n"/>
      <c r="M573" s="87" t="n"/>
    </row>
    <row r="574">
      <c r="D574" s="87" t="n"/>
      <c r="I574" s="87" t="n"/>
      <c r="M574" s="87" t="n"/>
    </row>
    <row r="575">
      <c r="D575" s="87" t="n"/>
      <c r="I575" s="87" t="n"/>
      <c r="M575" s="87" t="n"/>
    </row>
    <row r="576">
      <c r="D576" s="87" t="n"/>
      <c r="I576" s="87" t="n"/>
      <c r="M576" s="87" t="n"/>
    </row>
    <row r="577">
      <c r="D577" s="87" t="n"/>
      <c r="I577" s="87" t="n"/>
      <c r="M577" s="87" t="n"/>
    </row>
    <row r="578">
      <c r="D578" s="87" t="n"/>
      <c r="I578" s="87" t="n"/>
      <c r="M578" s="87" t="n"/>
    </row>
    <row r="579">
      <c r="D579" s="87" t="n"/>
      <c r="I579" s="87" t="n"/>
      <c r="M579" s="87" t="n"/>
    </row>
    <row r="580">
      <c r="D580" s="87" t="n"/>
      <c r="I580" s="87" t="n"/>
      <c r="M580" s="87" t="n"/>
    </row>
    <row r="581">
      <c r="D581" s="87" t="n"/>
      <c r="I581" s="87" t="n"/>
      <c r="M581" s="87" t="n"/>
    </row>
    <row r="582">
      <c r="D582" s="87" t="n"/>
      <c r="I582" s="87" t="n"/>
      <c r="M582" s="87" t="n"/>
    </row>
    <row r="583">
      <c r="D583" s="87" t="n"/>
      <c r="I583" s="87" t="n"/>
      <c r="M583" s="87" t="n"/>
    </row>
    <row r="584">
      <c r="D584" s="87" t="n"/>
      <c r="I584" s="87" t="n"/>
      <c r="M584" s="87" t="n"/>
    </row>
    <row r="585">
      <c r="D585" s="87" t="n"/>
      <c r="I585" s="87" t="n"/>
      <c r="M585" s="87" t="n"/>
    </row>
    <row r="586">
      <c r="D586" s="87" t="n"/>
      <c r="I586" s="87" t="n"/>
      <c r="M586" s="87" t="n"/>
    </row>
    <row r="587">
      <c r="D587" s="87" t="n"/>
      <c r="I587" s="87" t="n"/>
      <c r="M587" s="87" t="n"/>
    </row>
    <row r="588">
      <c r="D588" s="87" t="n"/>
      <c r="I588" s="87" t="n"/>
      <c r="M588" s="87" t="n"/>
    </row>
    <row r="589">
      <c r="D589" s="87" t="n"/>
      <c r="I589" s="87" t="n"/>
      <c r="M589" s="87" t="n"/>
    </row>
    <row r="590">
      <c r="D590" s="87" t="n"/>
      <c r="I590" s="87" t="n"/>
      <c r="M590" s="87" t="n"/>
    </row>
    <row r="591">
      <c r="D591" s="87" t="n"/>
      <c r="I591" s="87" t="n"/>
      <c r="M591" s="87" t="n"/>
    </row>
    <row r="592">
      <c r="D592" s="87" t="n"/>
      <c r="I592" s="87" t="n"/>
      <c r="M592" s="87" t="n"/>
    </row>
    <row r="593">
      <c r="D593" s="87" t="n"/>
      <c r="I593" s="87" t="n"/>
      <c r="M593" s="87" t="n"/>
    </row>
    <row r="594">
      <c r="D594" s="87" t="n"/>
      <c r="I594" s="87" t="n"/>
      <c r="M594" s="87" t="n"/>
    </row>
    <row r="595">
      <c r="D595" s="87" t="n"/>
      <c r="I595" s="87" t="n"/>
      <c r="M595" s="87" t="n"/>
    </row>
    <row r="596">
      <c r="D596" s="87" t="n"/>
      <c r="I596" s="87" t="n"/>
      <c r="M596" s="87" t="n"/>
    </row>
    <row r="597">
      <c r="D597" s="87" t="n"/>
      <c r="I597" s="87" t="n"/>
      <c r="M597" s="87" t="n"/>
    </row>
    <row r="598">
      <c r="D598" s="87" t="n"/>
      <c r="I598" s="87" t="n"/>
      <c r="M598" s="87" t="n"/>
    </row>
    <row r="599">
      <c r="D599" s="87" t="n"/>
      <c r="I599" s="87" t="n"/>
      <c r="M599" s="87" t="n"/>
    </row>
    <row r="600">
      <c r="D600" s="87" t="n"/>
      <c r="I600" s="87" t="n"/>
      <c r="M600" s="87" t="n"/>
    </row>
    <row r="601">
      <c r="D601" s="87" t="n"/>
      <c r="I601" s="87" t="n"/>
      <c r="M601" s="87" t="n"/>
    </row>
    <row r="602">
      <c r="D602" s="87" t="n"/>
      <c r="I602" s="87" t="n"/>
      <c r="M602" s="87" t="n"/>
    </row>
    <row r="603">
      <c r="D603" s="87" t="n"/>
      <c r="I603" s="87" t="n"/>
      <c r="M603" s="87" t="n"/>
    </row>
    <row r="604">
      <c r="D604" s="87" t="n"/>
      <c r="I604" s="87" t="n"/>
      <c r="M604" s="87" t="n"/>
    </row>
    <row r="605">
      <c r="D605" s="87" t="n"/>
      <c r="I605" s="87" t="n"/>
      <c r="M605" s="87" t="n"/>
    </row>
    <row r="606">
      <c r="D606" s="87" t="n"/>
      <c r="I606" s="87" t="n"/>
      <c r="M606" s="87" t="n"/>
    </row>
    <row r="607">
      <c r="D607" s="87" t="n"/>
      <c r="I607" s="87" t="n"/>
      <c r="M607" s="87" t="n"/>
    </row>
    <row r="608">
      <c r="D608" s="87" t="n"/>
      <c r="I608" s="87" t="n"/>
      <c r="M608" s="87" t="n"/>
    </row>
    <row r="609">
      <c r="D609" s="87" t="n"/>
      <c r="I609" s="87" t="n"/>
      <c r="M609" s="87" t="n"/>
    </row>
    <row r="610">
      <c r="D610" s="87" t="n"/>
      <c r="I610" s="87" t="n"/>
      <c r="M610" s="87" t="n"/>
    </row>
    <row r="611">
      <c r="D611" s="87" t="n"/>
      <c r="I611" s="87" t="n"/>
      <c r="M611" s="87" t="n"/>
    </row>
    <row r="612">
      <c r="D612" s="87" t="n"/>
      <c r="I612" s="87" t="n"/>
      <c r="M612" s="87" t="n"/>
    </row>
    <row r="613">
      <c r="D613" s="87" t="n"/>
      <c r="I613" s="87" t="n"/>
      <c r="M613" s="87" t="n"/>
    </row>
    <row r="614">
      <c r="D614" s="87" t="n"/>
      <c r="I614" s="87" t="n"/>
      <c r="M614" s="87" t="n"/>
    </row>
    <row r="615">
      <c r="D615" s="87" t="n"/>
      <c r="I615" s="87" t="n"/>
      <c r="M615" s="87" t="n"/>
    </row>
    <row r="616">
      <c r="D616" s="87" t="n"/>
      <c r="I616" s="87" t="n"/>
      <c r="M616" s="87" t="n"/>
    </row>
    <row r="617">
      <c r="D617" s="87" t="n"/>
      <c r="I617" s="87" t="n"/>
      <c r="M617" s="87" t="n"/>
    </row>
    <row r="618">
      <c r="D618" s="87" t="n"/>
      <c r="I618" s="87" t="n"/>
      <c r="M618" s="87" t="n"/>
    </row>
    <row r="619">
      <c r="D619" s="87" t="n"/>
      <c r="I619" s="87" t="n"/>
      <c r="M619" s="87" t="n"/>
    </row>
    <row r="620">
      <c r="D620" s="87" t="n"/>
      <c r="I620" s="87" t="n"/>
      <c r="M620" s="87" t="n"/>
    </row>
    <row r="621">
      <c r="D621" s="87" t="n"/>
      <c r="I621" s="87" t="n"/>
      <c r="M621" s="87" t="n"/>
    </row>
    <row r="622">
      <c r="D622" s="87" t="n"/>
      <c r="I622" s="87" t="n"/>
      <c r="M622" s="87" t="n"/>
    </row>
    <row r="623">
      <c r="D623" s="87" t="n"/>
      <c r="I623" s="87" t="n"/>
      <c r="M623" s="87" t="n"/>
    </row>
    <row r="624">
      <c r="D624" s="87" t="n"/>
      <c r="I624" s="87" t="n"/>
      <c r="M624" s="87" t="n"/>
    </row>
    <row r="625">
      <c r="D625" s="87" t="n"/>
      <c r="I625" s="87" t="n"/>
      <c r="M625" s="87" t="n"/>
    </row>
    <row r="626">
      <c r="D626" s="87" t="n"/>
      <c r="I626" s="87" t="n"/>
      <c r="M626" s="87" t="n"/>
    </row>
    <row r="627">
      <c r="D627" s="87" t="n"/>
      <c r="I627" s="87" t="n"/>
      <c r="M627" s="87" t="n"/>
    </row>
    <row r="628">
      <c r="D628" s="87" t="n"/>
      <c r="I628" s="87" t="n"/>
      <c r="M628" s="87" t="n"/>
    </row>
    <row r="629">
      <c r="D629" s="87" t="n"/>
      <c r="I629" s="87" t="n"/>
      <c r="M629" s="87" t="n"/>
    </row>
    <row r="630">
      <c r="D630" s="87" t="n"/>
      <c r="I630" s="87" t="n"/>
      <c r="M630" s="87" t="n"/>
    </row>
    <row r="631">
      <c r="D631" s="87" t="n"/>
      <c r="I631" s="87" t="n"/>
      <c r="M631" s="87" t="n"/>
    </row>
    <row r="632">
      <c r="D632" s="87" t="n"/>
      <c r="I632" s="87" t="n"/>
      <c r="M632" s="87" t="n"/>
    </row>
    <row r="633">
      <c r="D633" s="87" t="n"/>
      <c r="I633" s="87" t="n"/>
      <c r="M633" s="87" t="n"/>
    </row>
    <row r="634">
      <c r="D634" s="87" t="n"/>
      <c r="I634" s="87" t="n"/>
      <c r="M634" s="87" t="n"/>
    </row>
    <row r="635">
      <c r="D635" s="87" t="n"/>
      <c r="I635" s="87" t="n"/>
      <c r="M635" s="87" t="n"/>
    </row>
    <row r="636">
      <c r="D636" s="87" t="n"/>
      <c r="I636" s="87" t="n"/>
      <c r="M636" s="87" t="n"/>
    </row>
    <row r="637">
      <c r="D637" s="87" t="n"/>
      <c r="I637" s="87" t="n"/>
      <c r="M637" s="87" t="n"/>
    </row>
    <row r="638">
      <c r="D638" s="87" t="n"/>
      <c r="I638" s="87" t="n"/>
      <c r="M638" s="87" t="n"/>
    </row>
    <row r="639">
      <c r="D639" s="87" t="n"/>
      <c r="I639" s="87" t="n"/>
      <c r="M639" s="87" t="n"/>
    </row>
    <row r="640">
      <c r="D640" s="87" t="n"/>
      <c r="I640" s="87" t="n"/>
      <c r="M640" s="87" t="n"/>
    </row>
    <row r="641">
      <c r="D641" s="87" t="n"/>
      <c r="I641" s="87" t="n"/>
      <c r="M641" s="87" t="n"/>
    </row>
    <row r="642">
      <c r="D642" s="87" t="n"/>
      <c r="I642" s="87" t="n"/>
      <c r="M642" s="87" t="n"/>
    </row>
    <row r="643">
      <c r="D643" s="87" t="n"/>
      <c r="I643" s="87" t="n"/>
      <c r="M643" s="87" t="n"/>
    </row>
    <row r="644">
      <c r="D644" s="87" t="n"/>
      <c r="I644" s="87" t="n"/>
      <c r="M644" s="87" t="n"/>
    </row>
    <row r="645">
      <c r="D645" s="87" t="n"/>
      <c r="I645" s="87" t="n"/>
      <c r="M645" s="87" t="n"/>
    </row>
    <row r="646">
      <c r="D646" s="87" t="n"/>
      <c r="I646" s="87" t="n"/>
      <c r="M646" s="87" t="n"/>
    </row>
    <row r="647">
      <c r="D647" s="87" t="n"/>
      <c r="I647" s="87" t="n"/>
      <c r="M647" s="87" t="n"/>
    </row>
    <row r="648">
      <c r="D648" s="87" t="n"/>
      <c r="I648" s="87" t="n"/>
      <c r="M648" s="87" t="n"/>
    </row>
    <row r="649">
      <c r="D649" s="87" t="n"/>
      <c r="I649" s="87" t="n"/>
      <c r="M649" s="87" t="n"/>
    </row>
    <row r="650">
      <c r="D650" s="87" t="n"/>
      <c r="I650" s="87" t="n"/>
      <c r="M650" s="87" t="n"/>
    </row>
    <row r="651">
      <c r="D651" s="87" t="n"/>
      <c r="I651" s="87" t="n"/>
      <c r="M651" s="87" t="n"/>
    </row>
    <row r="652">
      <c r="D652" s="87" t="n"/>
      <c r="I652" s="87" t="n"/>
      <c r="M652" s="87" t="n"/>
    </row>
    <row r="653">
      <c r="D653" s="87" t="n"/>
      <c r="I653" s="87" t="n"/>
      <c r="M653" s="87" t="n"/>
    </row>
    <row r="654">
      <c r="D654" s="87" t="n"/>
      <c r="I654" s="87" t="n"/>
      <c r="M654" s="87" t="n"/>
    </row>
    <row r="655">
      <c r="D655" s="87" t="n"/>
      <c r="I655" s="87" t="n"/>
      <c r="M655" s="87" t="n"/>
    </row>
    <row r="656">
      <c r="D656" s="87" t="n"/>
      <c r="I656" s="87" t="n"/>
      <c r="M656" s="87" t="n"/>
    </row>
    <row r="657">
      <c r="D657" s="87" t="n"/>
      <c r="I657" s="87" t="n"/>
      <c r="M657" s="87" t="n"/>
    </row>
    <row r="658">
      <c r="D658" s="87" t="n"/>
      <c r="I658" s="87" t="n"/>
      <c r="M658" s="87" t="n"/>
    </row>
    <row r="659">
      <c r="D659" s="87" t="n"/>
      <c r="I659" s="87" t="n"/>
      <c r="M659" s="87" t="n"/>
    </row>
    <row r="660">
      <c r="D660" s="87" t="n"/>
      <c r="I660" s="87" t="n"/>
      <c r="M660" s="87" t="n"/>
    </row>
    <row r="661">
      <c r="D661" s="87" t="n"/>
      <c r="I661" s="87" t="n"/>
      <c r="M661" s="87" t="n"/>
    </row>
    <row r="662">
      <c r="D662" s="87" t="n"/>
      <c r="I662" s="87" t="n"/>
      <c r="M662" s="87" t="n"/>
    </row>
    <row r="663">
      <c r="D663" s="87" t="n"/>
      <c r="I663" s="87" t="n"/>
      <c r="M663" s="87" t="n"/>
    </row>
    <row r="664">
      <c r="D664" s="87" t="n"/>
      <c r="I664" s="87" t="n"/>
      <c r="M664" s="87" t="n"/>
    </row>
    <row r="665">
      <c r="D665" s="87" t="n"/>
      <c r="I665" s="87" t="n"/>
      <c r="M665" s="87" t="n"/>
    </row>
    <row r="666">
      <c r="D666" s="87" t="n"/>
      <c r="I666" s="87" t="n"/>
      <c r="M666" s="87" t="n"/>
    </row>
    <row r="667">
      <c r="D667" s="87" t="n"/>
      <c r="I667" s="87" t="n"/>
      <c r="M667" s="87" t="n"/>
    </row>
    <row r="668">
      <c r="D668" s="87" t="n"/>
      <c r="I668" s="87" t="n"/>
      <c r="M668" s="87" t="n"/>
    </row>
    <row r="669">
      <c r="D669" s="87" t="n"/>
      <c r="I669" s="87" t="n"/>
      <c r="M669" s="87" t="n"/>
    </row>
    <row r="670">
      <c r="D670" s="87" t="n"/>
      <c r="I670" s="87" t="n"/>
      <c r="M670" s="87" t="n"/>
    </row>
    <row r="671">
      <c r="D671" s="87" t="n"/>
      <c r="I671" s="87" t="n"/>
      <c r="M671" s="87" t="n"/>
    </row>
    <row r="672">
      <c r="D672" s="87" t="n"/>
      <c r="I672" s="87" t="n"/>
      <c r="M672" s="87" t="n"/>
    </row>
    <row r="673">
      <c r="D673" s="87" t="n"/>
      <c r="I673" s="87" t="n"/>
      <c r="M673" s="87" t="n"/>
    </row>
    <row r="674">
      <c r="D674" s="87" t="n"/>
      <c r="I674" s="87" t="n"/>
      <c r="M674" s="87" t="n"/>
    </row>
    <row r="675">
      <c r="D675" s="87" t="n"/>
      <c r="I675" s="87" t="n"/>
      <c r="M675" s="87" t="n"/>
    </row>
    <row r="676">
      <c r="D676" s="87" t="n"/>
      <c r="I676" s="87" t="n"/>
      <c r="M676" s="87" t="n"/>
    </row>
    <row r="677">
      <c r="D677" s="87" t="n"/>
      <c r="I677" s="87" t="n"/>
      <c r="M677" s="87" t="n"/>
    </row>
    <row r="678">
      <c r="D678" s="87" t="n"/>
      <c r="I678" s="87" t="n"/>
      <c r="M678" s="87" t="n"/>
    </row>
    <row r="679">
      <c r="D679" s="87" t="n"/>
      <c r="I679" s="87" t="n"/>
      <c r="M679" s="87" t="n"/>
    </row>
    <row r="680">
      <c r="D680" s="87" t="n"/>
      <c r="I680" s="87" t="n"/>
      <c r="M680" s="87" t="n"/>
    </row>
    <row r="681">
      <c r="D681" s="87" t="n"/>
      <c r="I681" s="87" t="n"/>
      <c r="M681" s="87" t="n"/>
    </row>
    <row r="682">
      <c r="D682" s="87" t="n"/>
      <c r="I682" s="87" t="n"/>
      <c r="M682" s="87" t="n"/>
    </row>
    <row r="683">
      <c r="D683" s="87" t="n"/>
      <c r="I683" s="87" t="n"/>
      <c r="M683" s="87" t="n"/>
    </row>
    <row r="684">
      <c r="D684" s="87" t="n"/>
      <c r="I684" s="87" t="n"/>
      <c r="M684" s="87" t="n"/>
    </row>
    <row r="685">
      <c r="D685" s="87" t="n"/>
      <c r="I685" s="87" t="n"/>
      <c r="M685" s="87" t="n"/>
    </row>
    <row r="686">
      <c r="D686" s="87" t="n"/>
      <c r="I686" s="87" t="n"/>
      <c r="M686" s="87" t="n"/>
    </row>
    <row r="687">
      <c r="D687" s="87" t="n"/>
      <c r="I687" s="87" t="n"/>
      <c r="M687" s="87" t="n"/>
    </row>
    <row r="688">
      <c r="D688" s="87" t="n"/>
      <c r="I688" s="87" t="n"/>
      <c r="M688" s="87" t="n"/>
    </row>
    <row r="689">
      <c r="D689" s="87" t="n"/>
      <c r="I689" s="87" t="n"/>
      <c r="M689" s="87" t="n"/>
    </row>
    <row r="690">
      <c r="D690" s="87" t="n"/>
      <c r="I690" s="87" t="n"/>
      <c r="M690" s="87" t="n"/>
    </row>
    <row r="691">
      <c r="D691" s="87" t="n"/>
      <c r="I691" s="87" t="n"/>
      <c r="M691" s="87" t="n"/>
    </row>
    <row r="692">
      <c r="D692" s="87" t="n"/>
      <c r="I692" s="87" t="n"/>
      <c r="M692" s="87" t="n"/>
    </row>
    <row r="693">
      <c r="D693" s="87" t="n"/>
      <c r="I693" s="87" t="n"/>
      <c r="M693" s="87" t="n"/>
    </row>
    <row r="694">
      <c r="D694" s="87" t="n"/>
      <c r="I694" s="87" t="n"/>
      <c r="M694" s="87" t="n"/>
    </row>
    <row r="695">
      <c r="D695" s="87" t="n"/>
      <c r="I695" s="87" t="n"/>
      <c r="M695" s="87" t="n"/>
    </row>
    <row r="696">
      <c r="D696" s="87" t="n"/>
      <c r="I696" s="87" t="n"/>
      <c r="M696" s="87" t="n"/>
    </row>
    <row r="697">
      <c r="D697" s="87" t="n"/>
      <c r="I697" s="87" t="n"/>
      <c r="M697" s="87" t="n"/>
    </row>
    <row r="698">
      <c r="D698" s="87" t="n"/>
      <c r="I698" s="87" t="n"/>
      <c r="M698" s="87" t="n"/>
    </row>
    <row r="699">
      <c r="D699" s="87" t="n"/>
      <c r="I699" s="87" t="n"/>
      <c r="M699" s="87" t="n"/>
    </row>
    <row r="700">
      <c r="D700" s="87" t="n"/>
      <c r="I700" s="87" t="n"/>
      <c r="M700" s="87" t="n"/>
    </row>
    <row r="701">
      <c r="D701" s="87" t="n"/>
      <c r="I701" s="87" t="n"/>
      <c r="M701" s="87" t="n"/>
    </row>
    <row r="702">
      <c r="D702" s="87" t="n"/>
      <c r="I702" s="87" t="n"/>
      <c r="M702" s="87" t="n"/>
    </row>
    <row r="703">
      <c r="D703" s="87" t="n"/>
      <c r="I703" s="87" t="n"/>
      <c r="M703" s="87" t="n"/>
    </row>
    <row r="704">
      <c r="D704" s="87" t="n"/>
      <c r="I704" s="87" t="n"/>
      <c r="M704" s="87" t="n"/>
    </row>
    <row r="705">
      <c r="D705" s="87" t="n"/>
      <c r="I705" s="87" t="n"/>
      <c r="M705" s="87" t="n"/>
    </row>
    <row r="706">
      <c r="D706" s="87" t="n"/>
      <c r="I706" s="87" t="n"/>
      <c r="M706" s="87" t="n"/>
    </row>
    <row r="707">
      <c r="D707" s="87" t="n"/>
      <c r="I707" s="87" t="n"/>
      <c r="M707" s="87" t="n"/>
    </row>
    <row r="708">
      <c r="D708" s="87" t="n"/>
      <c r="I708" s="87" t="n"/>
      <c r="M708" s="87" t="n"/>
    </row>
    <row r="709">
      <c r="D709" s="87" t="n"/>
      <c r="I709" s="87" t="n"/>
      <c r="M709" s="87" t="n"/>
    </row>
    <row r="710">
      <c r="D710" s="87" t="n"/>
      <c r="I710" s="87" t="n"/>
      <c r="M710" s="87" t="n"/>
    </row>
    <row r="711">
      <c r="D711" s="87" t="n"/>
      <c r="I711" s="87" t="n"/>
      <c r="M711" s="87" t="n"/>
    </row>
    <row r="712">
      <c r="D712" s="87" t="n"/>
      <c r="I712" s="87" t="n"/>
      <c r="M712" s="87" t="n"/>
    </row>
    <row r="713">
      <c r="D713" s="87" t="n"/>
      <c r="I713" s="87" t="n"/>
      <c r="M713" s="87" t="n"/>
    </row>
    <row r="714">
      <c r="D714" s="87" t="n"/>
      <c r="I714" s="87" t="n"/>
      <c r="M714" s="87" t="n"/>
    </row>
    <row r="715">
      <c r="D715" s="87" t="n"/>
      <c r="I715" s="87" t="n"/>
      <c r="M715" s="87" t="n"/>
    </row>
    <row r="716">
      <c r="D716" s="87" t="n"/>
      <c r="I716" s="87" t="n"/>
      <c r="M716" s="87" t="n"/>
    </row>
    <row r="717">
      <c r="D717" s="87" t="n"/>
      <c r="I717" s="87" t="n"/>
      <c r="M717" s="87" t="n"/>
    </row>
    <row r="718">
      <c r="D718" s="87" t="n"/>
      <c r="I718" s="87" t="n"/>
      <c r="M718" s="87" t="n"/>
    </row>
    <row r="719">
      <c r="D719" s="87" t="n"/>
      <c r="I719" s="87" t="n"/>
      <c r="M719" s="87" t="n"/>
    </row>
    <row r="720">
      <c r="D720" s="87" t="n"/>
      <c r="I720" s="87" t="n"/>
      <c r="M720" s="87" t="n"/>
    </row>
    <row r="721">
      <c r="D721" s="87" t="n"/>
      <c r="I721" s="87" t="n"/>
      <c r="M721" s="87" t="n"/>
    </row>
    <row r="722">
      <c r="D722" s="87" t="n"/>
      <c r="I722" s="87" t="n"/>
      <c r="M722" s="87" t="n"/>
    </row>
    <row r="723">
      <c r="D723" s="87" t="n"/>
      <c r="I723" s="87" t="n"/>
      <c r="M723" s="87" t="n"/>
    </row>
    <row r="724">
      <c r="D724" s="87" t="n"/>
      <c r="I724" s="87" t="n"/>
      <c r="M724" s="87" t="n"/>
    </row>
    <row r="725">
      <c r="D725" s="87" t="n"/>
      <c r="I725" s="87" t="n"/>
      <c r="M725" s="87" t="n"/>
    </row>
    <row r="726">
      <c r="D726" s="87" t="n"/>
      <c r="I726" s="87" t="n"/>
      <c r="M726" s="87" t="n"/>
    </row>
    <row r="727">
      <c r="D727" s="87" t="n"/>
      <c r="I727" s="87" t="n"/>
      <c r="M727" s="87" t="n"/>
    </row>
    <row r="728">
      <c r="D728" s="87" t="n"/>
      <c r="I728" s="87" t="n"/>
      <c r="M728" s="87" t="n"/>
    </row>
    <row r="729">
      <c r="D729" s="87" t="n"/>
      <c r="I729" s="87" t="n"/>
      <c r="M729" s="87" t="n"/>
    </row>
    <row r="730">
      <c r="D730" s="87" t="n"/>
      <c r="I730" s="87" t="n"/>
      <c r="M730" s="87" t="n"/>
    </row>
    <row r="731">
      <c r="D731" s="87" t="n"/>
      <c r="I731" s="87" t="n"/>
      <c r="M731" s="87" t="n"/>
    </row>
    <row r="732">
      <c r="D732" s="87" t="n"/>
      <c r="I732" s="87" t="n"/>
      <c r="M732" s="87" t="n"/>
    </row>
    <row r="733">
      <c r="D733" s="87" t="n"/>
      <c r="I733" s="87" t="n"/>
      <c r="M733" s="87" t="n"/>
    </row>
    <row r="734">
      <c r="D734" s="87" t="n"/>
      <c r="I734" s="87" t="n"/>
      <c r="M734" s="87" t="n"/>
    </row>
    <row r="735">
      <c r="D735" s="87" t="n"/>
      <c r="I735" s="87" t="n"/>
      <c r="M735" s="87" t="n"/>
    </row>
    <row r="736">
      <c r="D736" s="87" t="n"/>
      <c r="I736" s="87" t="n"/>
      <c r="M736" s="87" t="n"/>
    </row>
    <row r="737">
      <c r="D737" s="87" t="n"/>
      <c r="I737" s="87" t="n"/>
      <c r="M737" s="87" t="n"/>
    </row>
    <row r="738">
      <c r="D738" s="87" t="n"/>
      <c r="I738" s="87" t="n"/>
      <c r="M738" s="87" t="n"/>
    </row>
    <row r="739">
      <c r="D739" s="87" t="n"/>
      <c r="I739" s="87" t="n"/>
      <c r="M739" s="87" t="n"/>
    </row>
    <row r="740">
      <c r="D740" s="87" t="n"/>
      <c r="I740" s="87" t="n"/>
      <c r="M740" s="87" t="n"/>
    </row>
    <row r="741">
      <c r="D741" s="87" t="n"/>
      <c r="I741" s="87" t="n"/>
      <c r="M741" s="87" t="n"/>
    </row>
    <row r="742">
      <c r="D742" s="87" t="n"/>
      <c r="I742" s="87" t="n"/>
      <c r="M742" s="87" t="n"/>
    </row>
    <row r="743">
      <c r="D743" s="87" t="n"/>
      <c r="I743" s="87" t="n"/>
      <c r="M743" s="87" t="n"/>
    </row>
    <row r="744">
      <c r="D744" s="87" t="n"/>
      <c r="I744" s="87" t="n"/>
      <c r="M744" s="87" t="n"/>
    </row>
    <row r="745">
      <c r="D745" s="87" t="n"/>
      <c r="I745" s="87" t="n"/>
      <c r="M745" s="87" t="n"/>
    </row>
    <row r="746">
      <c r="D746" s="87" t="n"/>
      <c r="I746" s="87" t="n"/>
      <c r="M746" s="87" t="n"/>
    </row>
    <row r="747">
      <c r="D747" s="87" t="n"/>
      <c r="I747" s="87" t="n"/>
      <c r="M747" s="87" t="n"/>
    </row>
    <row r="748">
      <c r="D748" s="87" t="n"/>
      <c r="I748" s="87" t="n"/>
      <c r="M748" s="87" t="n"/>
    </row>
    <row r="749">
      <c r="D749" s="87" t="n"/>
      <c r="I749" s="87" t="n"/>
      <c r="M749" s="87" t="n"/>
    </row>
    <row r="750">
      <c r="D750" s="87" t="n"/>
      <c r="I750" s="87" t="n"/>
      <c r="M750" s="87" t="n"/>
    </row>
    <row r="751">
      <c r="D751" s="87" t="n"/>
      <c r="I751" s="87" t="n"/>
      <c r="M751" s="87" t="n"/>
    </row>
    <row r="752">
      <c r="D752" s="87" t="n"/>
      <c r="I752" s="87" t="n"/>
      <c r="M752" s="87" t="n"/>
    </row>
    <row r="753">
      <c r="D753" s="87" t="n"/>
      <c r="I753" s="87" t="n"/>
      <c r="M753" s="87" t="n"/>
    </row>
    <row r="754">
      <c r="D754" s="87" t="n"/>
      <c r="I754" s="87" t="n"/>
      <c r="M754" s="87" t="n"/>
    </row>
    <row r="755">
      <c r="D755" s="87" t="n"/>
      <c r="I755" s="87" t="n"/>
      <c r="M755" s="87" t="n"/>
    </row>
    <row r="756">
      <c r="D756" s="87" t="n"/>
      <c r="I756" s="87" t="n"/>
      <c r="M756" s="87" t="n"/>
    </row>
    <row r="757">
      <c r="D757" s="87" t="n"/>
      <c r="I757" s="87" t="n"/>
      <c r="M757" s="87" t="n"/>
    </row>
    <row r="758">
      <c r="D758" s="87" t="n"/>
      <c r="I758" s="87" t="n"/>
      <c r="M758" s="87" t="n"/>
    </row>
    <row r="759">
      <c r="D759" s="87" t="n"/>
      <c r="I759" s="87" t="n"/>
      <c r="M759" s="87" t="n"/>
    </row>
    <row r="760">
      <c r="D760" s="87" t="n"/>
      <c r="I760" s="87" t="n"/>
      <c r="M760" s="87" t="n"/>
    </row>
    <row r="761">
      <c r="D761" s="87" t="n"/>
      <c r="I761" s="87" t="n"/>
      <c r="M761" s="87" t="n"/>
    </row>
    <row r="762">
      <c r="D762" s="87" t="n"/>
      <c r="I762" s="87" t="n"/>
      <c r="M762" s="87" t="n"/>
    </row>
    <row r="763">
      <c r="D763" s="87" t="n"/>
      <c r="I763" s="87" t="n"/>
      <c r="M763" s="87" t="n"/>
    </row>
    <row r="764">
      <c r="D764" s="87" t="n"/>
      <c r="I764" s="87" t="n"/>
      <c r="M764" s="87" t="n"/>
    </row>
    <row r="765">
      <c r="D765" s="87" t="n"/>
      <c r="I765" s="87" t="n"/>
      <c r="M765" s="87" t="n"/>
    </row>
    <row r="766">
      <c r="D766" s="87" t="n"/>
      <c r="I766" s="87" t="n"/>
      <c r="M766" s="87" t="n"/>
    </row>
    <row r="767">
      <c r="D767" s="87" t="n"/>
      <c r="I767" s="87" t="n"/>
      <c r="M767" s="87" t="n"/>
    </row>
    <row r="768">
      <c r="D768" s="87" t="n"/>
      <c r="I768" s="87" t="n"/>
      <c r="M768" s="87" t="n"/>
    </row>
    <row r="769">
      <c r="D769" s="87" t="n"/>
      <c r="I769" s="87" t="n"/>
      <c r="M769" s="87" t="n"/>
    </row>
    <row r="770">
      <c r="D770" s="87" t="n"/>
      <c r="I770" s="87" t="n"/>
      <c r="M770" s="87" t="n"/>
    </row>
    <row r="771">
      <c r="D771" s="87" t="n"/>
      <c r="I771" s="87" t="n"/>
      <c r="M771" s="87" t="n"/>
    </row>
    <row r="772">
      <c r="D772" s="87" t="n"/>
      <c r="I772" s="87" t="n"/>
      <c r="M772" s="87" t="n"/>
    </row>
    <row r="773">
      <c r="D773" s="87" t="n"/>
      <c r="I773" s="87" t="n"/>
      <c r="M773" s="87" t="n"/>
    </row>
    <row r="774">
      <c r="D774" s="87" t="n"/>
      <c r="I774" s="87" t="n"/>
      <c r="M774" s="87" t="n"/>
    </row>
    <row r="775">
      <c r="D775" s="87" t="n"/>
      <c r="I775" s="87" t="n"/>
      <c r="M775" s="87" t="n"/>
    </row>
    <row r="776">
      <c r="D776" s="87" t="n"/>
      <c r="I776" s="87" t="n"/>
      <c r="M776" s="87" t="n"/>
    </row>
    <row r="777">
      <c r="D777" s="87" t="n"/>
      <c r="I777" s="87" t="n"/>
      <c r="M777" s="87" t="n"/>
    </row>
    <row r="778">
      <c r="D778" s="87" t="n"/>
      <c r="I778" s="87" t="n"/>
      <c r="M778" s="87" t="n"/>
    </row>
    <row r="779">
      <c r="D779" s="87" t="n"/>
      <c r="I779" s="87" t="n"/>
      <c r="M779" s="87" t="n"/>
    </row>
    <row r="780">
      <c r="D780" s="87" t="n"/>
      <c r="I780" s="87" t="n"/>
      <c r="M780" s="87" t="n"/>
    </row>
    <row r="781">
      <c r="D781" s="87" t="n"/>
      <c r="I781" s="87" t="n"/>
      <c r="M781" s="87" t="n"/>
    </row>
    <row r="782">
      <c r="D782" s="87" t="n"/>
      <c r="I782" s="87" t="n"/>
      <c r="M782" s="87" t="n"/>
    </row>
    <row r="783">
      <c r="D783" s="87" t="n"/>
      <c r="I783" s="87" t="n"/>
      <c r="M783" s="87" t="n"/>
    </row>
    <row r="784">
      <c r="D784" s="87" t="n"/>
      <c r="I784" s="87" t="n"/>
      <c r="M784" s="87" t="n"/>
    </row>
    <row r="785">
      <c r="D785" s="87" t="n"/>
      <c r="I785" s="87" t="n"/>
      <c r="M785" s="87" t="n"/>
    </row>
    <row r="786">
      <c r="D786" s="87" t="n"/>
      <c r="I786" s="87" t="n"/>
      <c r="M786" s="87" t="n"/>
    </row>
    <row r="787">
      <c r="D787" s="87" t="n"/>
      <c r="I787" s="87" t="n"/>
      <c r="M787" s="87" t="n"/>
    </row>
    <row r="788">
      <c r="D788" s="87" t="n"/>
      <c r="I788" s="87" t="n"/>
      <c r="M788" s="87" t="n"/>
    </row>
    <row r="789">
      <c r="D789" s="87" t="n"/>
      <c r="I789" s="87" t="n"/>
      <c r="M789" s="87" t="n"/>
    </row>
    <row r="790">
      <c r="D790" s="87" t="n"/>
      <c r="I790" s="87" t="n"/>
      <c r="M790" s="87" t="n"/>
    </row>
    <row r="791">
      <c r="D791" s="87" t="n"/>
      <c r="I791" s="87" t="n"/>
      <c r="M791" s="87" t="n"/>
    </row>
    <row r="792">
      <c r="D792" s="87" t="n"/>
      <c r="I792" s="87" t="n"/>
      <c r="M792" s="87" t="n"/>
    </row>
    <row r="793">
      <c r="D793" s="87" t="n"/>
      <c r="I793" s="87" t="n"/>
      <c r="M793" s="87" t="n"/>
    </row>
    <row r="794">
      <c r="D794" s="87" t="n"/>
      <c r="I794" s="87" t="n"/>
      <c r="M794" s="87" t="n"/>
    </row>
    <row r="795">
      <c r="D795" s="87" t="n"/>
      <c r="I795" s="87" t="n"/>
      <c r="M795" s="87" t="n"/>
    </row>
    <row r="796">
      <c r="D796" s="87" t="n"/>
      <c r="I796" s="87" t="n"/>
      <c r="M796" s="87" t="n"/>
    </row>
    <row r="797">
      <c r="D797" s="87" t="n"/>
      <c r="I797" s="87" t="n"/>
      <c r="M797" s="87" t="n"/>
    </row>
    <row r="798">
      <c r="D798" s="87" t="n"/>
      <c r="I798" s="87" t="n"/>
      <c r="M798" s="87" t="n"/>
    </row>
    <row r="799">
      <c r="D799" s="87" t="n"/>
      <c r="I799" s="87" t="n"/>
      <c r="M799" s="87" t="n"/>
    </row>
    <row r="800">
      <c r="D800" s="87" t="n"/>
      <c r="I800" s="87" t="n"/>
      <c r="M800" s="87" t="n"/>
    </row>
    <row r="801">
      <c r="D801" s="87" t="n"/>
      <c r="I801" s="87" t="n"/>
      <c r="M801" s="87" t="n"/>
    </row>
    <row r="802">
      <c r="D802" s="87" t="n"/>
      <c r="I802" s="87" t="n"/>
      <c r="M802" s="87" t="n"/>
    </row>
    <row r="803">
      <c r="D803" s="87" t="n"/>
      <c r="I803" s="87" t="n"/>
      <c r="M803" s="87" t="n"/>
    </row>
    <row r="804">
      <c r="D804" s="87" t="n"/>
      <c r="I804" s="87" t="n"/>
      <c r="M804" s="87" t="n"/>
    </row>
    <row r="805">
      <c r="D805" s="87" t="n"/>
      <c r="I805" s="87" t="n"/>
      <c r="M805" s="87" t="n"/>
    </row>
    <row r="806">
      <c r="D806" s="87" t="n"/>
      <c r="I806" s="87" t="n"/>
      <c r="M806" s="87" t="n"/>
    </row>
    <row r="807">
      <c r="D807" s="87" t="n"/>
      <c r="I807" s="87" t="n"/>
      <c r="M807" s="87" t="n"/>
    </row>
    <row r="808">
      <c r="D808" s="87" t="n"/>
      <c r="I808" s="87" t="n"/>
      <c r="M808" s="87" t="n"/>
    </row>
    <row r="809">
      <c r="D809" s="87" t="n"/>
      <c r="I809" s="87" t="n"/>
      <c r="M809" s="87" t="n"/>
    </row>
    <row r="810">
      <c r="D810" s="87" t="n"/>
      <c r="I810" s="87" t="n"/>
      <c r="M810" s="87" t="n"/>
    </row>
    <row r="811">
      <c r="D811" s="87" t="n"/>
      <c r="I811" s="87" t="n"/>
      <c r="M811" s="87" t="n"/>
    </row>
    <row r="812">
      <c r="D812" s="87" t="n"/>
      <c r="I812" s="87" t="n"/>
      <c r="M812" s="87" t="n"/>
    </row>
    <row r="813">
      <c r="D813" s="87" t="n"/>
      <c r="I813" s="87" t="n"/>
      <c r="M813" s="87" t="n"/>
    </row>
    <row r="814">
      <c r="D814" s="87" t="n"/>
      <c r="I814" s="87" t="n"/>
      <c r="M814" s="87" t="n"/>
    </row>
    <row r="815">
      <c r="D815" s="87" t="n"/>
      <c r="I815" s="87" t="n"/>
      <c r="M815" s="87" t="n"/>
    </row>
    <row r="816">
      <c r="D816" s="87" t="n"/>
      <c r="I816" s="87" t="n"/>
      <c r="M816" s="87" t="n"/>
    </row>
    <row r="817">
      <c r="D817" s="87" t="n"/>
      <c r="I817" s="87" t="n"/>
      <c r="M817" s="87" t="n"/>
    </row>
    <row r="818">
      <c r="D818" s="87" t="n"/>
      <c r="I818" s="87" t="n"/>
      <c r="M818" s="87" t="n"/>
    </row>
    <row r="819">
      <c r="D819" s="87" t="n"/>
      <c r="I819" s="87" t="n"/>
      <c r="M819" s="87" t="n"/>
    </row>
    <row r="820">
      <c r="D820" s="87" t="n"/>
      <c r="I820" s="87" t="n"/>
      <c r="M820" s="87" t="n"/>
    </row>
    <row r="821">
      <c r="D821" s="87" t="n"/>
      <c r="I821" s="87" t="n"/>
      <c r="M821" s="87" t="n"/>
    </row>
    <row r="822">
      <c r="D822" s="87" t="n"/>
      <c r="I822" s="87" t="n"/>
      <c r="M822" s="87" t="n"/>
    </row>
    <row r="823">
      <c r="D823" s="87" t="n"/>
      <c r="I823" s="87" t="n"/>
      <c r="M823" s="87" t="n"/>
    </row>
    <row r="824">
      <c r="D824" s="87" t="n"/>
      <c r="I824" s="87" t="n"/>
      <c r="M824" s="87" t="n"/>
    </row>
    <row r="825">
      <c r="D825" s="87" t="n"/>
      <c r="I825" s="87" t="n"/>
      <c r="M825" s="87" t="n"/>
    </row>
    <row r="826">
      <c r="D826" s="87" t="n"/>
      <c r="I826" s="87" t="n"/>
      <c r="M826" s="87" t="n"/>
    </row>
    <row r="827">
      <c r="D827" s="87" t="n"/>
      <c r="I827" s="87" t="n"/>
      <c r="M827" s="87" t="n"/>
    </row>
    <row r="828">
      <c r="D828" s="87" t="n"/>
      <c r="I828" s="87" t="n"/>
      <c r="M828" s="87" t="n"/>
    </row>
    <row r="829">
      <c r="D829" s="87" t="n"/>
      <c r="I829" s="87" t="n"/>
      <c r="M829" s="87" t="n"/>
    </row>
    <row r="830">
      <c r="D830" s="87" t="n"/>
      <c r="I830" s="87" t="n"/>
      <c r="M830" s="87" t="n"/>
    </row>
    <row r="831">
      <c r="D831" s="87" t="n"/>
      <c r="I831" s="87" t="n"/>
      <c r="M831" s="87" t="n"/>
    </row>
    <row r="832">
      <c r="D832" s="87" t="n"/>
      <c r="I832" s="87" t="n"/>
      <c r="M832" s="87" t="n"/>
    </row>
    <row r="833">
      <c r="D833" s="87" t="n"/>
      <c r="I833" s="87" t="n"/>
      <c r="M833" s="87" t="n"/>
    </row>
    <row r="834">
      <c r="D834" s="87" t="n"/>
      <c r="I834" s="87" t="n"/>
      <c r="M834" s="87" t="n"/>
    </row>
    <row r="835">
      <c r="D835" s="87" t="n"/>
      <c r="I835" s="87" t="n"/>
      <c r="M835" s="87" t="n"/>
    </row>
    <row r="836">
      <c r="D836" s="87" t="n"/>
      <c r="I836" s="87" t="n"/>
      <c r="M836" s="87" t="n"/>
    </row>
    <row r="837">
      <c r="D837" s="87" t="n"/>
      <c r="I837" s="87" t="n"/>
      <c r="M837" s="87" t="n"/>
    </row>
    <row r="838">
      <c r="D838" s="87" t="n"/>
      <c r="I838" s="87" t="n"/>
      <c r="M838" s="87" t="n"/>
    </row>
    <row r="839">
      <c r="D839" s="87" t="n"/>
      <c r="I839" s="87" t="n"/>
      <c r="M839" s="87" t="n"/>
    </row>
    <row r="840">
      <c r="D840" s="87" t="n"/>
      <c r="I840" s="87" t="n"/>
      <c r="M840" s="87" t="n"/>
    </row>
    <row r="841">
      <c r="D841" s="87" t="n"/>
      <c r="I841" s="87" t="n"/>
      <c r="M841" s="87" t="n"/>
    </row>
    <row r="842">
      <c r="D842" s="87" t="n"/>
      <c r="I842" s="87" t="n"/>
      <c r="M842" s="87" t="n"/>
    </row>
    <row r="843">
      <c r="D843" s="87" t="n"/>
      <c r="I843" s="87" t="n"/>
      <c r="M843" s="87" t="n"/>
    </row>
    <row r="844">
      <c r="D844" s="87" t="n"/>
      <c r="I844" s="87" t="n"/>
      <c r="M844" s="87" t="n"/>
    </row>
    <row r="845">
      <c r="D845" s="87" t="n"/>
      <c r="I845" s="87" t="n"/>
      <c r="M845" s="87" t="n"/>
    </row>
    <row r="846">
      <c r="D846" s="87" t="n"/>
      <c r="I846" s="87" t="n"/>
      <c r="M846" s="87" t="n"/>
    </row>
    <row r="847">
      <c r="D847" s="87" t="n"/>
      <c r="I847" s="87" t="n"/>
      <c r="M847" s="87" t="n"/>
    </row>
    <row r="848">
      <c r="D848" s="87" t="n"/>
      <c r="I848" s="87" t="n"/>
      <c r="M848" s="87" t="n"/>
    </row>
    <row r="849">
      <c r="D849" s="87" t="n"/>
      <c r="I849" s="87" t="n"/>
      <c r="M849" s="87" t="n"/>
    </row>
    <row r="850">
      <c r="D850" s="87" t="n"/>
      <c r="I850" s="87" t="n"/>
      <c r="M850" s="87" t="n"/>
    </row>
    <row r="851">
      <c r="D851" s="87" t="n"/>
      <c r="I851" s="87" t="n"/>
      <c r="M851" s="87" t="n"/>
    </row>
    <row r="852">
      <c r="D852" s="87" t="n"/>
      <c r="I852" s="87" t="n"/>
      <c r="M852" s="87" t="n"/>
    </row>
    <row r="853">
      <c r="D853" s="87" t="n"/>
      <c r="I853" s="87" t="n"/>
      <c r="M853" s="87" t="n"/>
    </row>
    <row r="854">
      <c r="D854" s="87" t="n"/>
      <c r="I854" s="87" t="n"/>
      <c r="M854" s="87" t="n"/>
    </row>
    <row r="855">
      <c r="D855" s="87" t="n"/>
      <c r="I855" s="87" t="n"/>
      <c r="M855" s="87" t="n"/>
    </row>
    <row r="856">
      <c r="D856" s="87" t="n"/>
      <c r="I856" s="87" t="n"/>
      <c r="M856" s="87" t="n"/>
    </row>
    <row r="857">
      <c r="D857" s="87" t="n"/>
      <c r="I857" s="87" t="n"/>
      <c r="M857" s="87" t="n"/>
    </row>
    <row r="858">
      <c r="D858" s="87" t="n"/>
      <c r="I858" s="87" t="n"/>
      <c r="M858" s="87" t="n"/>
    </row>
    <row r="859">
      <c r="D859" s="87" t="n"/>
      <c r="I859" s="87" t="n"/>
      <c r="M859" s="87" t="n"/>
    </row>
    <row r="860">
      <c r="D860" s="87" t="n"/>
      <c r="I860" s="87" t="n"/>
      <c r="M860" s="87" t="n"/>
    </row>
    <row r="861">
      <c r="D861" s="87" t="n"/>
      <c r="I861" s="87" t="n"/>
      <c r="M861" s="87" t="n"/>
    </row>
    <row r="862">
      <c r="D862" s="87" t="n"/>
      <c r="I862" s="87" t="n"/>
      <c r="M862" s="87" t="n"/>
    </row>
    <row r="863">
      <c r="D863" s="87" t="n"/>
      <c r="I863" s="87" t="n"/>
      <c r="M863" s="87" t="n"/>
    </row>
    <row r="864">
      <c r="D864" s="87" t="n"/>
      <c r="I864" s="87" t="n"/>
      <c r="M864" s="87" t="n"/>
    </row>
    <row r="865">
      <c r="D865" s="87" t="n"/>
      <c r="I865" s="87" t="n"/>
      <c r="M865" s="87" t="n"/>
    </row>
    <row r="866">
      <c r="D866" s="87" t="n"/>
      <c r="I866" s="87" t="n"/>
      <c r="M866" s="87" t="n"/>
    </row>
    <row r="867">
      <c r="D867" s="87" t="n"/>
      <c r="I867" s="87" t="n"/>
      <c r="M867" s="87" t="n"/>
    </row>
    <row r="868">
      <c r="D868" s="87" t="n"/>
      <c r="I868" s="87" t="n"/>
      <c r="M868" s="87" t="n"/>
    </row>
    <row r="869">
      <c r="D869" s="87" t="n"/>
      <c r="I869" s="87" t="n"/>
      <c r="M869" s="87" t="n"/>
    </row>
    <row r="870">
      <c r="D870" s="87" t="n"/>
      <c r="I870" s="87" t="n"/>
      <c r="M870" s="87" t="n"/>
    </row>
    <row r="871">
      <c r="D871" s="87" t="n"/>
      <c r="I871" s="87" t="n"/>
      <c r="M871" s="87" t="n"/>
    </row>
    <row r="872">
      <c r="D872" s="87" t="n"/>
      <c r="I872" s="87" t="n"/>
      <c r="M872" s="87" t="n"/>
    </row>
    <row r="873">
      <c r="D873" s="87" t="n"/>
      <c r="I873" s="87" t="n"/>
      <c r="M873" s="87" t="n"/>
    </row>
    <row r="874">
      <c r="D874" s="87" t="n"/>
      <c r="I874" s="87" t="n"/>
      <c r="M874" s="87" t="n"/>
    </row>
    <row r="875">
      <c r="D875" s="87" t="n"/>
      <c r="I875" s="87" t="n"/>
      <c r="M875" s="87" t="n"/>
    </row>
    <row r="876">
      <c r="D876" s="87" t="n"/>
      <c r="I876" s="87" t="n"/>
      <c r="M876" s="87" t="n"/>
    </row>
    <row r="877">
      <c r="D877" s="87" t="n"/>
      <c r="I877" s="87" t="n"/>
      <c r="M877" s="87" t="n"/>
    </row>
    <row r="878">
      <c r="D878" s="87" t="n"/>
      <c r="I878" s="87" t="n"/>
      <c r="M878" s="87" t="n"/>
    </row>
    <row r="879">
      <c r="D879" s="87" t="n"/>
      <c r="I879" s="87" t="n"/>
      <c r="M879" s="87" t="n"/>
    </row>
    <row r="880">
      <c r="D880" s="87" t="n"/>
      <c r="I880" s="87" t="n"/>
      <c r="M880" s="87" t="n"/>
    </row>
    <row r="881">
      <c r="D881" s="87" t="n"/>
      <c r="I881" s="87" t="n"/>
      <c r="M881" s="87" t="n"/>
    </row>
    <row r="882">
      <c r="D882" s="87" t="n"/>
      <c r="I882" s="87" t="n"/>
      <c r="M882" s="87" t="n"/>
    </row>
    <row r="883">
      <c r="D883" s="87" t="n"/>
      <c r="I883" s="87" t="n"/>
      <c r="M883" s="87" t="n"/>
    </row>
    <row r="884">
      <c r="D884" s="87" t="n"/>
      <c r="I884" s="87" t="n"/>
      <c r="M884" s="87" t="n"/>
    </row>
    <row r="885">
      <c r="D885" s="87" t="n"/>
      <c r="I885" s="87" t="n"/>
      <c r="M885" s="87" t="n"/>
    </row>
    <row r="886">
      <c r="D886" s="87" t="n"/>
      <c r="I886" s="87" t="n"/>
      <c r="M886" s="87" t="n"/>
    </row>
    <row r="887">
      <c r="D887" s="87" t="n"/>
      <c r="I887" s="87" t="n"/>
      <c r="M887" s="87" t="n"/>
    </row>
    <row r="888">
      <c r="D888" s="87" t="n"/>
      <c r="I888" s="87" t="n"/>
      <c r="M888" s="87" t="n"/>
    </row>
    <row r="889">
      <c r="D889" s="87" t="n"/>
      <c r="I889" s="87" t="n"/>
      <c r="M889" s="87" t="n"/>
    </row>
    <row r="890">
      <c r="D890" s="87" t="n"/>
      <c r="I890" s="87" t="n"/>
      <c r="M890" s="87" t="n"/>
    </row>
    <row r="891">
      <c r="D891" s="87" t="n"/>
      <c r="I891" s="87" t="n"/>
      <c r="M891" s="87" t="n"/>
    </row>
    <row r="892">
      <c r="D892" s="87" t="n"/>
      <c r="I892" s="87" t="n"/>
      <c r="M892" s="87" t="n"/>
    </row>
    <row r="893">
      <c r="D893" s="87" t="n"/>
      <c r="I893" s="87" t="n"/>
      <c r="M893" s="87" t="n"/>
    </row>
    <row r="894">
      <c r="D894" s="87" t="n"/>
      <c r="I894" s="87" t="n"/>
      <c r="M894" s="87" t="n"/>
    </row>
    <row r="895">
      <c r="D895" s="87" t="n"/>
      <c r="I895" s="87" t="n"/>
      <c r="M895" s="87" t="n"/>
    </row>
    <row r="896">
      <c r="D896" s="87" t="n"/>
      <c r="I896" s="87" t="n"/>
      <c r="M896" s="87" t="n"/>
    </row>
    <row r="897">
      <c r="D897" s="87" t="n"/>
      <c r="I897" s="87" t="n"/>
      <c r="M897" s="87" t="n"/>
    </row>
    <row r="898">
      <c r="D898" s="87" t="n"/>
      <c r="I898" s="87" t="n"/>
      <c r="M898" s="87" t="n"/>
    </row>
    <row r="899">
      <c r="D899" s="87" t="n"/>
      <c r="I899" s="87" t="n"/>
      <c r="M899" s="87" t="n"/>
    </row>
    <row r="900">
      <c r="D900" s="87" t="n"/>
      <c r="I900" s="87" t="n"/>
      <c r="M900" s="87" t="n"/>
    </row>
    <row r="901">
      <c r="D901" s="87" t="n"/>
      <c r="I901" s="87" t="n"/>
      <c r="M901" s="87" t="n"/>
    </row>
    <row r="902">
      <c r="D902" s="87" t="n"/>
      <c r="I902" s="87" t="n"/>
      <c r="M902" s="87" t="n"/>
    </row>
    <row r="903">
      <c r="D903" s="87" t="n"/>
      <c r="I903" s="87" t="n"/>
      <c r="M903" s="87" t="n"/>
    </row>
    <row r="904">
      <c r="D904" s="87" t="n"/>
      <c r="I904" s="87" t="n"/>
      <c r="M904" s="87" t="n"/>
    </row>
    <row r="905">
      <c r="D905" s="87" t="n"/>
      <c r="I905" s="87" t="n"/>
      <c r="M905" s="87" t="n"/>
    </row>
    <row r="906">
      <c r="D906" s="87" t="n"/>
      <c r="I906" s="87" t="n"/>
      <c r="M906" s="87" t="n"/>
    </row>
    <row r="907">
      <c r="D907" s="87" t="n"/>
      <c r="I907" s="87" t="n"/>
      <c r="M907" s="87" t="n"/>
    </row>
    <row r="908">
      <c r="D908" s="87" t="n"/>
      <c r="I908" s="87" t="n"/>
      <c r="M908" s="87" t="n"/>
    </row>
    <row r="909">
      <c r="D909" s="87" t="n"/>
      <c r="I909" s="87" t="n"/>
      <c r="M909" s="87" t="n"/>
    </row>
    <row r="910">
      <c r="D910" s="87" t="n"/>
      <c r="I910" s="87" t="n"/>
      <c r="M910" s="87" t="n"/>
    </row>
    <row r="911">
      <c r="D911" s="87" t="n"/>
      <c r="I911" s="87" t="n"/>
      <c r="M911" s="87" t="n"/>
    </row>
    <row r="912">
      <c r="D912" s="87" t="n"/>
      <c r="I912" s="87" t="n"/>
      <c r="M912" s="87" t="n"/>
    </row>
    <row r="913">
      <c r="D913" s="87" t="n"/>
      <c r="I913" s="87" t="n"/>
      <c r="M913" s="87" t="n"/>
    </row>
    <row r="914">
      <c r="D914" s="87" t="n"/>
      <c r="I914" s="87" t="n"/>
      <c r="M914" s="87" t="n"/>
    </row>
    <row r="915">
      <c r="D915" s="87" t="n"/>
      <c r="I915" s="87" t="n"/>
      <c r="M915" s="87" t="n"/>
    </row>
    <row r="916">
      <c r="D916" s="87" t="n"/>
      <c r="I916" s="87" t="n"/>
      <c r="M916" s="87" t="n"/>
    </row>
    <row r="917">
      <c r="D917" s="87" t="n"/>
      <c r="I917" s="87" t="n"/>
      <c r="M917" s="87" t="n"/>
    </row>
    <row r="918">
      <c r="D918" s="87" t="n"/>
      <c r="I918" s="87" t="n"/>
      <c r="M918" s="87" t="n"/>
    </row>
    <row r="919">
      <c r="D919" s="87" t="n"/>
      <c r="I919" s="87" t="n"/>
      <c r="M919" s="87" t="n"/>
    </row>
    <row r="920">
      <c r="D920" s="87" t="n"/>
      <c r="I920" s="87" t="n"/>
      <c r="M920" s="87" t="n"/>
    </row>
    <row r="921">
      <c r="D921" s="87" t="n"/>
      <c r="I921" s="87" t="n"/>
      <c r="M921" s="87" t="n"/>
    </row>
    <row r="922">
      <c r="D922" s="87" t="n"/>
      <c r="I922" s="87" t="n"/>
      <c r="M922" s="87" t="n"/>
    </row>
    <row r="923">
      <c r="D923" s="87" t="n"/>
      <c r="I923" s="87" t="n"/>
      <c r="M923" s="87" t="n"/>
    </row>
    <row r="924">
      <c r="D924" s="87" t="n"/>
      <c r="I924" s="87" t="n"/>
      <c r="M924" s="87" t="n"/>
    </row>
    <row r="925">
      <c r="D925" s="87" t="n"/>
      <c r="I925" s="87" t="n"/>
      <c r="M925" s="87" t="n"/>
    </row>
    <row r="926">
      <c r="D926" s="87" t="n"/>
      <c r="I926" s="87" t="n"/>
      <c r="M926" s="87" t="n"/>
    </row>
    <row r="927">
      <c r="D927" s="87" t="n"/>
      <c r="I927" s="87" t="n"/>
      <c r="M927" s="87" t="n"/>
    </row>
    <row r="928">
      <c r="D928" s="87" t="n"/>
      <c r="I928" s="87" t="n"/>
      <c r="M928" s="87" t="n"/>
    </row>
    <row r="929">
      <c r="D929" s="87" t="n"/>
      <c r="I929" s="87" t="n"/>
      <c r="M929" s="87" t="n"/>
    </row>
    <row r="930">
      <c r="D930" s="87" t="n"/>
      <c r="I930" s="87" t="n"/>
      <c r="M930" s="87" t="n"/>
    </row>
    <row r="931">
      <c r="D931" s="87" t="n"/>
      <c r="I931" s="87" t="n"/>
      <c r="M931" s="87" t="n"/>
    </row>
    <row r="932">
      <c r="D932" s="87" t="n"/>
      <c r="I932" s="87" t="n"/>
      <c r="M932" s="87" t="n"/>
    </row>
    <row r="933">
      <c r="D933" s="87" t="n"/>
      <c r="I933" s="87" t="n"/>
      <c r="M933" s="87" t="n"/>
    </row>
    <row r="934">
      <c r="D934" s="87" t="n"/>
      <c r="I934" s="87" t="n"/>
      <c r="M934" s="87" t="n"/>
    </row>
    <row r="935">
      <c r="D935" s="87" t="n"/>
      <c r="I935" s="87" t="n"/>
      <c r="M935" s="87" t="n"/>
    </row>
    <row r="936">
      <c r="D936" s="87" t="n"/>
      <c r="I936" s="87" t="n"/>
      <c r="M936" s="87" t="n"/>
    </row>
    <row r="937">
      <c r="D937" s="87" t="n"/>
      <c r="I937" s="87" t="n"/>
      <c r="M937" s="87" t="n"/>
    </row>
    <row r="938">
      <c r="D938" s="87" t="n"/>
      <c r="I938" s="87" t="n"/>
      <c r="M938" s="87" t="n"/>
    </row>
    <row r="939">
      <c r="D939" s="87" t="n"/>
      <c r="I939" s="87" t="n"/>
      <c r="M939" s="87" t="n"/>
    </row>
    <row r="940">
      <c r="D940" s="87" t="n"/>
      <c r="I940" s="87" t="n"/>
      <c r="M940" s="87" t="n"/>
    </row>
    <row r="941">
      <c r="D941" s="87" t="n"/>
      <c r="I941" s="87" t="n"/>
      <c r="M941" s="87" t="n"/>
    </row>
    <row r="942">
      <c r="D942" s="87" t="n"/>
      <c r="I942" s="87" t="n"/>
      <c r="M942" s="87" t="n"/>
    </row>
    <row r="943">
      <c r="D943" s="87" t="n"/>
      <c r="I943" s="87" t="n"/>
      <c r="M943" s="87" t="n"/>
    </row>
    <row r="944">
      <c r="D944" s="87" t="n"/>
      <c r="I944" s="87" t="n"/>
      <c r="M944" s="87" t="n"/>
    </row>
    <row r="945">
      <c r="D945" s="87" t="n"/>
      <c r="I945" s="87" t="n"/>
      <c r="M945" s="87" t="n"/>
    </row>
    <row r="946">
      <c r="D946" s="87" t="n"/>
      <c r="I946" s="87" t="n"/>
      <c r="M946" s="87" t="n"/>
    </row>
    <row r="947">
      <c r="D947" s="87" t="n"/>
      <c r="I947" s="87" t="n"/>
      <c r="M947" s="87" t="n"/>
    </row>
    <row r="948">
      <c r="D948" s="87" t="n"/>
      <c r="I948" s="87" t="n"/>
      <c r="M948" s="87" t="n"/>
    </row>
    <row r="949">
      <c r="D949" s="87" t="n"/>
      <c r="I949" s="87" t="n"/>
      <c r="M949" s="87" t="n"/>
    </row>
    <row r="950">
      <c r="D950" s="87" t="n"/>
      <c r="I950" s="87" t="n"/>
      <c r="M950" s="87" t="n"/>
    </row>
    <row r="951">
      <c r="D951" s="87" t="n"/>
      <c r="I951" s="87" t="n"/>
      <c r="M951" s="87" t="n"/>
    </row>
    <row r="952">
      <c r="D952" s="87" t="n"/>
      <c r="I952" s="87" t="n"/>
      <c r="M952" s="87" t="n"/>
    </row>
    <row r="953">
      <c r="D953" s="87" t="n"/>
      <c r="I953" s="87" t="n"/>
      <c r="M953" s="87" t="n"/>
    </row>
    <row r="954">
      <c r="D954" s="87" t="n"/>
      <c r="I954" s="87" t="n"/>
      <c r="M954" s="87" t="n"/>
    </row>
    <row r="955">
      <c r="D955" s="87" t="n"/>
      <c r="I955" s="87" t="n"/>
      <c r="M955" s="87" t="n"/>
    </row>
    <row r="956">
      <c r="D956" s="87" t="n"/>
      <c r="I956" s="87" t="n"/>
      <c r="M956" s="87" t="n"/>
    </row>
    <row r="957">
      <c r="D957" s="87" t="n"/>
      <c r="I957" s="87" t="n"/>
      <c r="M957" s="87" t="n"/>
    </row>
    <row r="958">
      <c r="D958" s="87" t="n"/>
      <c r="I958" s="87" t="n"/>
      <c r="M958" s="87" t="n"/>
    </row>
    <row r="959">
      <c r="D959" s="87" t="n"/>
      <c r="I959" s="87" t="n"/>
      <c r="M959" s="87" t="n"/>
    </row>
    <row r="960">
      <c r="D960" s="87" t="n"/>
      <c r="I960" s="87" t="n"/>
      <c r="M960" s="87" t="n"/>
    </row>
    <row r="961">
      <c r="D961" s="87" t="n"/>
      <c r="I961" s="87" t="n"/>
      <c r="M961" s="87" t="n"/>
    </row>
    <row r="962">
      <c r="D962" s="87" t="n"/>
      <c r="I962" s="87" t="n"/>
      <c r="M962" s="87" t="n"/>
    </row>
    <row r="963">
      <c r="D963" s="87" t="n"/>
      <c r="I963" s="87" t="n"/>
      <c r="M963" s="87" t="n"/>
    </row>
    <row r="964">
      <c r="D964" s="87" t="n"/>
      <c r="I964" s="87" t="n"/>
      <c r="M964" s="87" t="n"/>
    </row>
    <row r="965">
      <c r="D965" s="87" t="n"/>
      <c r="I965" s="87" t="n"/>
      <c r="M965" s="87" t="n"/>
    </row>
    <row r="966">
      <c r="D966" s="87" t="n"/>
      <c r="I966" s="87" t="n"/>
      <c r="M966" s="87" t="n"/>
    </row>
    <row r="967">
      <c r="D967" s="87" t="n"/>
      <c r="I967" s="87" t="n"/>
      <c r="M967" s="87" t="n"/>
    </row>
    <row r="968">
      <c r="D968" s="87" t="n"/>
      <c r="I968" s="87" t="n"/>
      <c r="M968" s="87" t="n"/>
    </row>
    <row r="969">
      <c r="D969" s="87" t="n"/>
      <c r="I969" s="87" t="n"/>
      <c r="M969" s="87" t="n"/>
    </row>
    <row r="970">
      <c r="D970" s="87" t="n"/>
      <c r="I970" s="87" t="n"/>
      <c r="M970" s="87" t="n"/>
    </row>
    <row r="971">
      <c r="D971" s="87" t="n"/>
      <c r="I971" s="87" t="n"/>
      <c r="M971" s="87" t="n"/>
    </row>
    <row r="972">
      <c r="D972" s="87" t="n"/>
      <c r="I972" s="87" t="n"/>
      <c r="M972" s="87" t="n"/>
    </row>
    <row r="973">
      <c r="D973" s="87" t="n"/>
      <c r="I973" s="87" t="n"/>
      <c r="M973" s="87" t="n"/>
    </row>
    <row r="974">
      <c r="D974" s="87" t="n"/>
      <c r="I974" s="87" t="n"/>
      <c r="M974" s="87" t="n"/>
    </row>
    <row r="975">
      <c r="D975" s="87" t="n"/>
      <c r="I975" s="87" t="n"/>
      <c r="M975" s="87" t="n"/>
    </row>
    <row r="976">
      <c r="D976" s="87" t="n"/>
      <c r="I976" s="87" t="n"/>
      <c r="M976" s="87" t="n"/>
    </row>
    <row r="977">
      <c r="D977" s="87" t="n"/>
      <c r="I977" s="87" t="n"/>
      <c r="M977" s="87" t="n"/>
    </row>
    <row r="978">
      <c r="D978" s="87" t="n"/>
      <c r="I978" s="87" t="n"/>
      <c r="M978" s="87" t="n"/>
    </row>
    <row r="979">
      <c r="D979" s="87" t="n"/>
      <c r="I979" s="87" t="n"/>
      <c r="M979" s="87" t="n"/>
    </row>
    <row r="980">
      <c r="D980" s="87" t="n"/>
      <c r="I980" s="87" t="n"/>
      <c r="M980" s="87" t="n"/>
    </row>
    <row r="981">
      <c r="D981" s="87" t="n"/>
      <c r="I981" s="87" t="n"/>
      <c r="M981" s="87" t="n"/>
    </row>
    <row r="982">
      <c r="D982" s="87" t="n"/>
      <c r="I982" s="87" t="n"/>
      <c r="M982" s="87" t="n"/>
    </row>
    <row r="983">
      <c r="D983" s="87" t="n"/>
      <c r="I983" s="87" t="n"/>
      <c r="M983" s="87" t="n"/>
    </row>
    <row r="984">
      <c r="D984" s="87" t="n"/>
      <c r="I984" s="87" t="n"/>
      <c r="M984" s="87" t="n"/>
    </row>
    <row r="985">
      <c r="D985" s="87" t="n"/>
      <c r="I985" s="87" t="n"/>
      <c r="M985" s="87" t="n"/>
    </row>
    <row r="986">
      <c r="D986" s="87" t="n"/>
      <c r="I986" s="87" t="n"/>
      <c r="M986" s="87" t="n"/>
    </row>
    <row r="987">
      <c r="D987" s="87" t="n"/>
      <c r="I987" s="87" t="n"/>
      <c r="M987" s="87" t="n"/>
    </row>
    <row r="988">
      <c r="D988" s="87" t="n"/>
      <c r="I988" s="87" t="n"/>
      <c r="M988" s="87" t="n"/>
    </row>
    <row r="989">
      <c r="D989" s="87" t="n"/>
      <c r="I989" s="87" t="n"/>
      <c r="M989" s="87" t="n"/>
    </row>
    <row r="990">
      <c r="D990" s="87" t="n"/>
      <c r="I990" s="87" t="n"/>
      <c r="M990" s="87" t="n"/>
    </row>
    <row r="991">
      <c r="D991" s="87" t="n"/>
      <c r="I991" s="87" t="n"/>
      <c r="M991" s="87" t="n"/>
    </row>
    <row r="992">
      <c r="D992" s="87" t="n"/>
      <c r="I992" s="87" t="n"/>
      <c r="M992" s="87" t="n"/>
    </row>
    <row r="993">
      <c r="D993" s="87" t="n"/>
      <c r="I993" s="87" t="n"/>
      <c r="M993" s="87" t="n"/>
    </row>
    <row r="994">
      <c r="D994" s="87" t="n"/>
      <c r="I994" s="87" t="n"/>
      <c r="M994" s="87" t="n"/>
    </row>
    <row r="995">
      <c r="D995" s="87" t="n"/>
      <c r="I995" s="87" t="n"/>
      <c r="M995" s="87" t="n"/>
    </row>
    <row r="996">
      <c r="D996" s="87" t="n"/>
      <c r="I996" s="87" t="n"/>
      <c r="M996" s="87" t="n"/>
    </row>
    <row r="997">
      <c r="D997" s="87" t="n"/>
      <c r="I997" s="87" t="n"/>
      <c r="M997" s="87" t="n"/>
    </row>
    <row r="998">
      <c r="D998" s="87" t="n"/>
      <c r="I998" s="87" t="n"/>
      <c r="M998" s="87" t="n"/>
    </row>
    <row r="999">
      <c r="D999" s="87" t="n"/>
      <c r="I999" s="87" t="n"/>
      <c r="M999" s="87" t="n"/>
    </row>
    <row r="1000">
      <c r="D1000" s="87" t="n"/>
      <c r="I1000" s="87" t="n"/>
      <c r="M1000" s="87" t="n"/>
    </row>
  </sheetData>
  <mergeCells count="66">
    <mergeCell ref="B91:C91"/>
    <mergeCell ref="B97:C97"/>
    <mergeCell ref="A24:B24"/>
    <mergeCell ref="B16:C16"/>
    <mergeCell ref="B54:C54"/>
    <mergeCell ref="B100:C100"/>
    <mergeCell ref="B7:C7"/>
    <mergeCell ref="B90:C90"/>
    <mergeCell ref="B81:C8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B52:C52"/>
    <mergeCell ref="B21:C21"/>
    <mergeCell ref="B48:C48"/>
    <mergeCell ref="B70:C70"/>
    <mergeCell ref="A99:B99"/>
    <mergeCell ref="B42:C42"/>
    <mergeCell ref="A46:B46"/>
    <mergeCell ref="B61:C61"/>
    <mergeCell ref="B101:C101"/>
    <mergeCell ref="B17:C17"/>
    <mergeCell ref="B88:C88"/>
    <mergeCell ref="B8:C8"/>
    <mergeCell ref="B82:C82"/>
    <mergeCell ref="B53:C53"/>
    <mergeCell ref="B73:C73"/>
    <mergeCell ref="B69:C69"/>
    <mergeCell ref="B38:C38"/>
    <mergeCell ref="B44:C44"/>
    <mergeCell ref="B29:C29"/>
    <mergeCell ref="A77:B77"/>
    <mergeCell ref="B19:C19"/>
    <mergeCell ref="B34:C34"/>
    <mergeCell ref="B37:C37"/>
    <mergeCell ref="A111:C111"/>
    <mergeCell ref="B28:C28"/>
    <mergeCell ref="B103:C103"/>
    <mergeCell ref="B41:C41"/>
    <mergeCell ref="B40:C40"/>
    <mergeCell ref="B49:C49"/>
    <mergeCell ref="B92:C92"/>
    <mergeCell ref="B55:C55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79:C79"/>
    <mergeCell ref="B35:C35"/>
    <mergeCell ref="B106:C10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31" customWidth="1" style="270" min="3" max="3"/>
    <col width="16.13" customWidth="1" style="270" min="4" max="4"/>
  </cols>
  <sheetData>
    <row r="1">
      <c r="A1" s="111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215" t="n"/>
    </row>
    <row r="2">
      <c r="A2" s="186" t="inlineStr">
        <is>
          <t>VIGENCIA:</t>
        </is>
      </c>
      <c r="B2" s="108" t="n">
        <v>44896</v>
      </c>
      <c r="C2" s="223" t="n"/>
      <c r="D2" s="110" t="n"/>
      <c r="E2" s="111" t="n"/>
      <c r="F2" s="111" t="n"/>
      <c r="G2" s="111" t="n"/>
      <c r="H2" s="111" t="n"/>
      <c r="I2" s="215" t="n"/>
    </row>
    <row r="3">
      <c r="A3" s="223" t="n"/>
      <c r="B3" s="223" t="n"/>
      <c r="C3" s="223" t="n"/>
      <c r="D3" s="215" t="n"/>
      <c r="E3" s="223" t="n"/>
      <c r="F3" s="223" t="n"/>
      <c r="G3" s="223" t="n"/>
      <c r="H3" s="223" t="n"/>
      <c r="I3" s="215" t="n"/>
    </row>
    <row r="4">
      <c r="A4" s="117" t="inlineStr">
        <is>
          <t>JABONES</t>
        </is>
      </c>
      <c r="B4" s="223" t="n"/>
      <c r="C4" s="223" t="n"/>
      <c r="D4" s="118" t="inlineStr">
        <is>
          <t>Lista 20 con -7 y -2</t>
        </is>
      </c>
      <c r="E4" s="188" t="inlineStr">
        <is>
          <t xml:space="preserve">Mayorista </t>
        </is>
      </c>
      <c r="F4" s="188" t="inlineStr">
        <is>
          <t xml:space="preserve">Minorista </t>
        </is>
      </c>
      <c r="G4" s="188" t="inlineStr">
        <is>
          <t>Minorista con IVA</t>
        </is>
      </c>
      <c r="H4" s="188" t="inlineStr">
        <is>
          <t>Redondeado</t>
        </is>
      </c>
      <c r="I4" s="201" t="n">
        <v>0.2</v>
      </c>
    </row>
    <row r="5">
      <c r="A5" s="131" t="n"/>
      <c r="B5" s="223" t="n"/>
      <c r="C5" s="223" t="n"/>
      <c r="D5" s="118" t="n"/>
      <c r="E5" s="188" t="n"/>
      <c r="F5" s="188" t="n"/>
      <c r="G5" s="188" t="n"/>
      <c r="H5" s="188" t="n"/>
      <c r="I5" s="118" t="n"/>
    </row>
    <row r="6">
      <c r="A6" s="124" t="n"/>
      <c r="B6" s="223" t="n"/>
      <c r="C6" s="223" t="n"/>
      <c r="D6" s="237" t="n"/>
      <c r="E6" s="200" t="n"/>
      <c r="F6" s="200" t="n"/>
      <c r="G6" s="200" t="n"/>
      <c r="H6" s="200" t="n"/>
      <c r="I6" s="237" t="n"/>
    </row>
    <row r="7">
      <c r="A7" s="124" t="n">
        <v>701</v>
      </c>
      <c r="B7" s="223" t="inlineStr">
        <is>
          <t>Botella 1 lt. Servicio Dilución DMQ</t>
        </is>
      </c>
      <c r="D7" s="237">
        <f>I7*0.93*0.98</f>
        <v/>
      </c>
      <c r="E7" s="237">
        <f>D7*1.3*1.105</f>
        <v/>
      </c>
      <c r="F7" s="237">
        <f>D7*1.3*1.105/0.9</f>
        <v/>
      </c>
      <c r="G7" s="237">
        <f>F7*1.21</f>
        <v/>
      </c>
      <c r="H7" s="237">
        <f>ROUND(G7/100,0)*100</f>
        <v/>
      </c>
      <c r="I7" s="206" t="n">
        <v>911.47</v>
      </c>
      <c r="K7" s="100" t="n">
        <v>966.16</v>
      </c>
    </row>
    <row r="8">
      <c r="A8" s="124" t="n">
        <v>720</v>
      </c>
      <c r="B8" s="223" t="inlineStr">
        <is>
          <t>Bidon x 5 lts. Jabón Líquido Tocador</t>
        </is>
      </c>
      <c r="D8" s="237">
        <f>I8*0.93*0.98</f>
        <v/>
      </c>
      <c r="E8" s="237">
        <f>D8*1.3*1.105</f>
        <v/>
      </c>
      <c r="F8" s="237">
        <f>D8*1.3*1.105/0.9</f>
        <v/>
      </c>
      <c r="G8" s="237">
        <f>F8*1.21</f>
        <v/>
      </c>
      <c r="H8" s="237">
        <f>ROUND(G8/100,0)*100</f>
        <v/>
      </c>
      <c r="I8" s="205" t="n">
        <v>2858.72</v>
      </c>
      <c r="K8" s="100" t="n">
        <v>3030.24</v>
      </c>
    </row>
    <row r="9">
      <c r="A9" s="124" t="n"/>
      <c r="B9" s="223" t="n"/>
      <c r="C9" s="223" t="n"/>
      <c r="D9" s="237" t="n"/>
      <c r="E9" s="200" t="n"/>
      <c r="F9" s="200" t="n"/>
      <c r="G9" s="200" t="n"/>
      <c r="H9" s="200" t="n"/>
      <c r="I9" s="215" t="n"/>
    </row>
    <row r="10">
      <c r="A10" s="117" t="inlineStr">
        <is>
          <t>TOALLAS</t>
        </is>
      </c>
      <c r="B10" s="223" t="n"/>
      <c r="C10" s="223" t="n"/>
      <c r="D10" s="237" t="n"/>
      <c r="E10" s="200" t="n"/>
      <c r="F10" s="200" t="n"/>
      <c r="G10" s="200" t="n"/>
      <c r="H10" s="200" t="n"/>
      <c r="I10" s="215" t="n"/>
    </row>
    <row r="11">
      <c r="A11" s="131" t="n"/>
      <c r="B11" s="223" t="n"/>
      <c r="C11" s="223" t="n"/>
      <c r="D11" s="237" t="n"/>
      <c r="E11" s="200" t="n"/>
      <c r="F11" s="200" t="n"/>
      <c r="G11" s="200" t="n"/>
      <c r="H11" s="200" t="n"/>
      <c r="I11" s="215" t="n"/>
    </row>
    <row r="12">
      <c r="A12" s="124" t="n">
        <v>901</v>
      </c>
      <c r="B12" s="223" t="inlineStr">
        <is>
          <t>Toallas Blancas Super 21x25</t>
        </is>
      </c>
      <c r="C12" s="223" t="n"/>
      <c r="D12" s="237">
        <f>I12*0.93*0.98</f>
        <v/>
      </c>
      <c r="E12" s="237">
        <f>D12*1.3*1.105</f>
        <v/>
      </c>
      <c r="F12" s="237">
        <f>D12*1.3*1.105/0.9</f>
        <v/>
      </c>
      <c r="G12" s="237">
        <f>F12*1.21</f>
        <v/>
      </c>
      <c r="H12" s="237">
        <f>ROUND(G12/100,0)*100</f>
        <v/>
      </c>
      <c r="I12" s="206" t="n">
        <v>3392.23</v>
      </c>
      <c r="K12" s="100" t="n">
        <v>3595.77</v>
      </c>
    </row>
    <row r="13">
      <c r="A13" s="124" t="n">
        <v>902</v>
      </c>
      <c r="B13" s="223" t="inlineStr">
        <is>
          <t>Toallas Blancas Pura Simple</t>
        </is>
      </c>
      <c r="C13" s="223" t="n"/>
      <c r="D13" s="237">
        <f>I13*0.93*0.98</f>
        <v/>
      </c>
      <c r="E13" s="237">
        <f>D13*1.3*1.105</f>
        <v/>
      </c>
      <c r="F13" s="237">
        <f>D13*1.3*1.105/0.9</f>
        <v/>
      </c>
      <c r="G13" s="237">
        <f>F13*1.21</f>
        <v/>
      </c>
      <c r="H13" s="237">
        <f>ROUND(G13/100,0)*100</f>
        <v/>
      </c>
      <c r="I13" s="205" t="n">
        <v>3761.26</v>
      </c>
      <c r="K13" s="100" t="n">
        <v>3986.94</v>
      </c>
    </row>
    <row r="14">
      <c r="A14" s="124" t="n">
        <v>903</v>
      </c>
      <c r="B14" s="223" t="inlineStr">
        <is>
          <t>Toallas Blancas Pura Doble</t>
        </is>
      </c>
      <c r="C14" s="223" t="n"/>
      <c r="D14" s="237">
        <f>I14*0.93*0.98</f>
        <v/>
      </c>
      <c r="E14" s="237">
        <f>D14*1.3*1.105</f>
        <v/>
      </c>
      <c r="F14" s="237">
        <f>D14*1.3*1.105/0.9</f>
        <v/>
      </c>
      <c r="G14" s="237">
        <f>F14*1.21</f>
        <v/>
      </c>
      <c r="H14" s="237">
        <f>ROUND(G14/100,0)*100</f>
        <v/>
      </c>
      <c r="I14" s="205" t="n">
        <v>4687.41</v>
      </c>
      <c r="K14" s="100" t="n">
        <v>4968.66</v>
      </c>
    </row>
    <row r="15">
      <c r="A15" s="124" t="n">
        <v>914</v>
      </c>
      <c r="B15" s="223" t="inlineStr">
        <is>
          <t>Toalla Blanca Unitas (17,5x25 cm)</t>
        </is>
      </c>
      <c r="D15" s="237">
        <f>I15*0.93*0.98</f>
        <v/>
      </c>
      <c r="E15" s="237">
        <f>D15*1.3*1.105</f>
        <v/>
      </c>
      <c r="F15" s="237">
        <f>D15*1.3*1.105/0.9</f>
        <v/>
      </c>
      <c r="G15" s="237">
        <f>F15*1.21</f>
        <v/>
      </c>
      <c r="H15" s="237">
        <f>ROUND(G15/100,0)*100</f>
        <v/>
      </c>
      <c r="I15" s="205" t="n">
        <v>2584.78</v>
      </c>
      <c r="K15" s="100" t="n">
        <v>2739.86</v>
      </c>
    </row>
    <row r="16">
      <c r="A16" s="124" t="n">
        <v>916</v>
      </c>
      <c r="B16" s="223" t="inlineStr">
        <is>
          <t>Toalla Blanca Especial 21 x 25 ( tiza )</t>
        </is>
      </c>
      <c r="D16" s="237">
        <f>I16*0.93*0.98</f>
        <v/>
      </c>
      <c r="E16" s="237">
        <f>D16*1.3*1.105</f>
        <v/>
      </c>
      <c r="F16" s="237">
        <f>D16*1.3*1.105/0.9</f>
        <v/>
      </c>
      <c r="G16" s="237">
        <f>F16*1.21</f>
        <v/>
      </c>
      <c r="H16" s="237">
        <f>ROUND(G16/100,0)*100</f>
        <v/>
      </c>
      <c r="I16" s="205" t="n">
        <v>3163.62</v>
      </c>
      <c r="K16" s="100" t="n">
        <v>3353.44</v>
      </c>
    </row>
    <row r="17">
      <c r="A17" s="124" t="n">
        <v>920</v>
      </c>
      <c r="B17" s="223" t="inlineStr">
        <is>
          <t>Toalla Blanca Especial 21 x 37 ( tiza )</t>
        </is>
      </c>
      <c r="D17" s="237">
        <f>I17*0.93*0.98</f>
        <v/>
      </c>
      <c r="E17" s="237">
        <f>D17*1.3*1.105</f>
        <v/>
      </c>
      <c r="F17" s="237">
        <f>D17*1.3*1.105/0.9</f>
        <v/>
      </c>
      <c r="G17" s="237">
        <f>F17*1.21</f>
        <v/>
      </c>
      <c r="H17" s="237">
        <f>ROUND(G17/100,0)*100</f>
        <v/>
      </c>
      <c r="I17" s="205" t="n">
        <v>4315.65</v>
      </c>
      <c r="K17" s="100" t="n">
        <v>4574.6</v>
      </c>
    </row>
    <row r="18">
      <c r="A18" s="124" t="n">
        <v>927</v>
      </c>
      <c r="B18" s="223" t="inlineStr">
        <is>
          <t>Toalla Blanca Especial 17,5 x 25 ( tiza ) Unita</t>
        </is>
      </c>
      <c r="D18" s="237">
        <f>I18*0.93*0.98</f>
        <v/>
      </c>
      <c r="E18" s="237">
        <f>D18*1.3*1.105</f>
        <v/>
      </c>
      <c r="F18" s="237">
        <f>D18*1.3*1.105/0.9</f>
        <v/>
      </c>
      <c r="G18" s="237">
        <f>F18*1.21</f>
        <v/>
      </c>
      <c r="H18" s="237">
        <f>ROUND(G18/100,0)*100</f>
        <v/>
      </c>
      <c r="I18" s="205" t="n">
        <v>2479.9</v>
      </c>
      <c r="K18" s="100" t="n">
        <v>2628.68</v>
      </c>
    </row>
    <row r="19">
      <c r="A19" s="124" t="n">
        <v>928</v>
      </c>
      <c r="B19" s="223" t="inlineStr">
        <is>
          <t>Cajas x 2500 Toallas Beige 21x37</t>
        </is>
      </c>
      <c r="D19" s="237">
        <f>I19*0.93*0.98</f>
        <v/>
      </c>
      <c r="E19" s="237">
        <f>D19*1.3*1.105</f>
        <v/>
      </c>
      <c r="F19" s="237">
        <f>D19*1.3*1.105/0.9</f>
        <v/>
      </c>
      <c r="G19" s="237">
        <f>F19*1.21</f>
        <v/>
      </c>
      <c r="H19" s="237">
        <f>ROUND(G19/100,0)*100</f>
        <v/>
      </c>
      <c r="I19" s="205" t="n">
        <v>3655</v>
      </c>
      <c r="K19" s="100" t="n">
        <v>3874.32</v>
      </c>
    </row>
    <row r="20">
      <c r="A20" s="124" t="n">
        <v>930</v>
      </c>
      <c r="B20" s="223" t="inlineStr">
        <is>
          <t>Toalla Blanca Super 21x37 cm</t>
        </is>
      </c>
      <c r="C20" s="223" t="n"/>
      <c r="D20" s="237">
        <f>I20*0.93*0.98</f>
        <v/>
      </c>
      <c r="E20" s="237">
        <f>D20*1.3*1.105</f>
        <v/>
      </c>
      <c r="F20" s="237">
        <f>D20*1.3*1.105/0.9</f>
        <v/>
      </c>
      <c r="G20" s="237">
        <f>F20*1.21</f>
        <v/>
      </c>
      <c r="H20" s="237">
        <f>ROUND(G20/100,0)*100</f>
        <v/>
      </c>
      <c r="I20" s="205" t="n">
        <v>4664.89</v>
      </c>
      <c r="K20" s="100" t="n">
        <v>4944.8</v>
      </c>
    </row>
    <row r="21">
      <c r="A21" s="124" t="n">
        <v>931</v>
      </c>
      <c r="B21" s="223" t="inlineStr">
        <is>
          <t>Caja x 2500 Toallas Beige Unitas 17,5 cm x 25 cm</t>
        </is>
      </c>
      <c r="D21" s="237">
        <f>I21*0.93*0.98</f>
        <v/>
      </c>
      <c r="E21" s="237">
        <f>D21*1.3*1.105</f>
        <v/>
      </c>
      <c r="F21" s="237">
        <f>D21*1.3*1.105/0.9</f>
        <v/>
      </c>
      <c r="G21" s="237">
        <f>F21*1.21</f>
        <v/>
      </c>
      <c r="H21" s="237">
        <f>ROUND(G21/100,0)*100</f>
        <v/>
      </c>
      <c r="I21" s="205" t="n">
        <v>2281.5</v>
      </c>
      <c r="K21" s="100" t="n">
        <v>2418.4</v>
      </c>
    </row>
    <row r="22">
      <c r="A22" s="124" t="n">
        <v>932</v>
      </c>
      <c r="B22" s="223" t="inlineStr">
        <is>
          <t>Caja x 2500 Toallas Beige 21 cm x 25 cm simple hoja</t>
        </is>
      </c>
      <c r="D22" s="237">
        <f>I22*0.93*0.98</f>
        <v/>
      </c>
      <c r="E22" s="237">
        <f>D22*1.3*1.105</f>
        <v/>
      </c>
      <c r="F22" s="237">
        <f>D22*1.3*1.105/0.9</f>
        <v/>
      </c>
      <c r="G22" s="237">
        <f>F22*1.21</f>
        <v/>
      </c>
      <c r="H22" s="237">
        <f>ROUND(G22/100,0)*100</f>
        <v/>
      </c>
      <c r="I22" s="205" t="n">
        <v>2601.29</v>
      </c>
      <c r="K22" s="100" t="n">
        <v>2757.37</v>
      </c>
    </row>
    <row r="23">
      <c r="A23" s="124" t="n"/>
      <c r="B23" s="223" t="n"/>
      <c r="C23" s="223" t="n"/>
      <c r="D23" s="237" t="n"/>
      <c r="E23" s="200" t="n"/>
      <c r="F23" s="200" t="n"/>
      <c r="G23" s="200" t="n"/>
      <c r="H23" s="200" t="n"/>
      <c r="I23" s="215" t="n"/>
    </row>
    <row r="24">
      <c r="A24" s="117" t="inlineStr">
        <is>
          <t>TOALLAS EN ROLLO</t>
        </is>
      </c>
      <c r="B24" s="271" t="n"/>
      <c r="C24" s="223" t="n"/>
      <c r="D24" s="237" t="n"/>
      <c r="E24" s="200" t="n"/>
      <c r="F24" s="200" t="n"/>
      <c r="G24" s="200" t="n"/>
      <c r="H24" s="200" t="n"/>
      <c r="I24" s="215" t="n"/>
    </row>
    <row r="25">
      <c r="A25" s="131" t="n"/>
      <c r="B25" s="111" t="n"/>
      <c r="C25" s="223" t="n"/>
      <c r="D25" s="237" t="n"/>
      <c r="E25" s="200" t="n"/>
      <c r="F25" s="200" t="n"/>
      <c r="G25" s="200" t="n"/>
      <c r="H25" s="200" t="n"/>
      <c r="I25" s="215" t="n"/>
    </row>
    <row r="26">
      <c r="A26" s="124" t="n">
        <v>204</v>
      </c>
      <c r="B26" s="223" t="inlineStr">
        <is>
          <t>Pack X 2 Rollos de toalla x 300 mts Blanca</t>
        </is>
      </c>
      <c r="D26" s="237">
        <f>I26*0.93*0.98</f>
        <v/>
      </c>
      <c r="E26" s="237">
        <f>D26*1.3*1.105</f>
        <v/>
      </c>
      <c r="F26" s="237">
        <f>D26*1.3*1.105/0.9</f>
        <v/>
      </c>
      <c r="G26" s="237">
        <f>F26*1.21</f>
        <v/>
      </c>
      <c r="H26" s="237">
        <f>ROUND(G26/100,0)*100</f>
        <v/>
      </c>
      <c r="I26" s="127" t="n">
        <v>2501.5</v>
      </c>
      <c r="K26" s="100" t="n">
        <v>2651.6</v>
      </c>
    </row>
    <row r="27">
      <c r="A27" s="124" t="n">
        <v>205</v>
      </c>
      <c r="B27" s="223" t="inlineStr">
        <is>
          <t>Pack X 2 Rollos de toalla x 240 mts Blanca</t>
        </is>
      </c>
      <c r="D27" s="237">
        <f>I27*0.93*0.98</f>
        <v/>
      </c>
      <c r="E27" s="237">
        <f>D27*1.3*1.105</f>
        <v/>
      </c>
      <c r="F27" s="237">
        <f>D27*1.3*1.105/0.9</f>
        <v/>
      </c>
      <c r="G27" s="237">
        <f>F27*1.21</f>
        <v/>
      </c>
      <c r="H27" s="237">
        <f>ROUND(G27/100,0)*100</f>
        <v/>
      </c>
      <c r="I27" s="230" t="n">
        <v>1993.6</v>
      </c>
      <c r="K27" s="100" t="n">
        <v>2113.22</v>
      </c>
    </row>
    <row r="28">
      <c r="A28" s="124" t="n">
        <v>116</v>
      </c>
      <c r="B28" s="223" t="inlineStr">
        <is>
          <t>Pack x 6 Rollos de Toallas x 200 mts. Blanca</t>
        </is>
      </c>
      <c r="D28" s="237">
        <f>I28*0.93*0.98</f>
        <v/>
      </c>
      <c r="E28" s="237">
        <f>D28*1.3*1.105</f>
        <v/>
      </c>
      <c r="F28" s="237">
        <f>D28*1.3*1.105/0.9</f>
        <v/>
      </c>
      <c r="G28" s="237">
        <f>F28*1.21</f>
        <v/>
      </c>
      <c r="H28" s="237">
        <f>ROUND(G28/100,0)*100</f>
        <v/>
      </c>
      <c r="I28" s="230" t="n">
        <v>5119.66</v>
      </c>
      <c r="K28" s="100" t="n">
        <v>5426.84</v>
      </c>
    </row>
    <row r="29">
      <c r="A29" s="124" t="n">
        <v>135</v>
      </c>
      <c r="B29" s="223" t="inlineStr">
        <is>
          <t>Recarga Original P/Dispenser Celmatic 2500 U. Dobles</t>
        </is>
      </c>
      <c r="D29" s="237">
        <f>I29*0.93*0.98</f>
        <v/>
      </c>
      <c r="E29" s="237">
        <f>D29*1.3*1.105</f>
        <v/>
      </c>
      <c r="F29" s="237">
        <f>D29*1.3*1.105/0.9</f>
        <v/>
      </c>
      <c r="G29" s="237">
        <f>F29*1.21</f>
        <v/>
      </c>
      <c r="H29" s="237">
        <f>ROUND(G29/100,0)*100</f>
        <v/>
      </c>
      <c r="I29" s="230" t="n">
        <v>6580.3</v>
      </c>
      <c r="K29" s="100" t="n">
        <v>6975.2</v>
      </c>
    </row>
    <row r="30">
      <c r="A30" s="124" t="n">
        <v>136</v>
      </c>
      <c r="B30" s="223" t="inlineStr">
        <is>
          <t>Pack x 4 Recarga Celmatic Due 2400 U. Dobles</t>
        </is>
      </c>
      <c r="D30" s="237">
        <f>I30*0.93*0.98</f>
        <v/>
      </c>
      <c r="E30" s="237">
        <f>D30*1.3*1.105</f>
        <v/>
      </c>
      <c r="F30" s="237">
        <f>D30*1.3*1.105/0.9</f>
        <v/>
      </c>
      <c r="G30" s="237">
        <f>F30*1.21</f>
        <v/>
      </c>
      <c r="H30" s="237">
        <f>ROUND(G30/100,0)*100</f>
        <v/>
      </c>
      <c r="I30" s="230" t="n">
        <v>4921.76</v>
      </c>
      <c r="K30" s="100" t="n">
        <v>5471.48</v>
      </c>
    </row>
    <row r="31">
      <c r="A31" s="124" t="n"/>
      <c r="B31" s="223" t="n"/>
      <c r="C31" s="223" t="n"/>
      <c r="D31" s="237" t="n"/>
      <c r="E31" s="200" t="n"/>
      <c r="F31" s="200" t="n"/>
      <c r="G31" s="200" t="n"/>
      <c r="H31" s="200" t="n"/>
      <c r="I31" s="230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 t="n"/>
      <c r="E32" s="190" t="n"/>
      <c r="F32" s="190" t="n"/>
      <c r="G32" s="190" t="n"/>
      <c r="H32" s="190" t="n"/>
      <c r="I32" s="137" t="n"/>
    </row>
    <row r="33">
      <c r="A33" s="131" t="n"/>
      <c r="B33" s="158" t="n"/>
      <c r="C33" s="223" t="n"/>
      <c r="D33" s="169" t="n"/>
      <c r="E33" s="197" t="n"/>
      <c r="F33" s="197" t="n"/>
      <c r="G33" s="197" t="n"/>
      <c r="H33" s="197" t="n"/>
      <c r="I33" s="192" t="n"/>
    </row>
    <row r="34">
      <c r="A34" s="124" t="n">
        <v>501</v>
      </c>
      <c r="B34" s="140" t="inlineStr">
        <is>
          <t>Pack x 2 rollos Cel-Soft de 22,5 x 150 mts</t>
        </is>
      </c>
      <c r="D34" s="237">
        <f>I34*0.93*0.98</f>
        <v/>
      </c>
      <c r="E34" s="237">
        <f>D34*1.3*1.105</f>
        <v/>
      </c>
      <c r="F34" s="237">
        <f>D34*1.3*1.105/0.9</f>
        <v/>
      </c>
      <c r="G34" s="237">
        <f>F34*1.21</f>
        <v/>
      </c>
      <c r="H34" s="237">
        <f>ROUND(G34/100,0)*100</f>
        <v/>
      </c>
      <c r="I34" s="205" t="n">
        <v>57</v>
      </c>
      <c r="K34" s="100" t="n">
        <v>57</v>
      </c>
    </row>
    <row r="35">
      <c r="A35" s="124" t="n">
        <v>505</v>
      </c>
      <c r="B35" s="223" t="inlineStr">
        <is>
          <t>Caja x 2000 U. Servilletas Cel-Soft 30 x 40 cm</t>
        </is>
      </c>
      <c r="D35" s="237">
        <f>I35*0.93*0.98</f>
        <v/>
      </c>
      <c r="E35" s="237">
        <f>D35*1.3*1.105</f>
        <v/>
      </c>
      <c r="F35" s="237">
        <f>D35*1.3*1.105/0.9</f>
        <v/>
      </c>
      <c r="G35" s="237">
        <f>F35*1.21</f>
        <v/>
      </c>
      <c r="H35" s="237">
        <f>ROUND(G35/100,0)*100</f>
        <v/>
      </c>
      <c r="I35" s="205" t="n">
        <v>273.74</v>
      </c>
      <c r="K35" s="100" t="n">
        <v>273.74</v>
      </c>
    </row>
    <row r="36">
      <c r="A36" s="124" t="n">
        <v>506</v>
      </c>
      <c r="B36" s="223" t="inlineStr">
        <is>
          <t>Caja x 3500 Toallas Cel-Soft 21 x 25 cm Blancas</t>
        </is>
      </c>
      <c r="D36" s="237">
        <f>I36*0.93*0.98</f>
        <v/>
      </c>
      <c r="E36" s="237">
        <f>D36*1.3*1.105</f>
        <v/>
      </c>
      <c r="F36" s="237">
        <f>D36*1.3*1.105/0.9</f>
        <v/>
      </c>
      <c r="G36" s="237">
        <f>F36*1.21</f>
        <v/>
      </c>
      <c r="H36" s="237">
        <f>ROUND(G36/100,0)*100</f>
        <v/>
      </c>
      <c r="I36" s="205" t="n">
        <v>153.22</v>
      </c>
      <c r="K36" s="100" t="n">
        <v>153.22</v>
      </c>
    </row>
    <row r="37">
      <c r="A37" s="124" t="n">
        <v>512</v>
      </c>
      <c r="B37" s="223" t="inlineStr">
        <is>
          <t>Caja x 2000 U. Servilletas Cel-Soft 30 x 25 cm</t>
        </is>
      </c>
      <c r="D37" s="237">
        <f>I37*0.93*0.98</f>
        <v/>
      </c>
      <c r="E37" s="237">
        <f>D37*1.3*1.105</f>
        <v/>
      </c>
      <c r="F37" s="237">
        <f>D37*1.3*1.105/0.9</f>
        <v/>
      </c>
      <c r="G37" s="237">
        <f>F37*1.21</f>
        <v/>
      </c>
      <c r="H37" s="237">
        <f>ROUND(G37/100,0)*100</f>
        <v/>
      </c>
      <c r="I37" s="205" t="n">
        <v>173.66</v>
      </c>
      <c r="K37" s="100" t="n">
        <v>173.66</v>
      </c>
    </row>
    <row r="38">
      <c r="A38" s="124" t="n">
        <v>514</v>
      </c>
      <c r="B38" s="223" t="inlineStr">
        <is>
          <t>Caja por 600 servilletas Celsoft 40x40 Victoria Ambra</t>
        </is>
      </c>
      <c r="D38" s="237">
        <f>I38*0.93*0.98</f>
        <v/>
      </c>
      <c r="E38" s="237">
        <f>D38*1.3*1.105</f>
        <v/>
      </c>
      <c r="F38" s="237">
        <f>D38*1.3*1.105/0.9</f>
        <v/>
      </c>
      <c r="G38" s="237">
        <f>F38*1.21</f>
        <v/>
      </c>
      <c r="H38" s="237">
        <f>ROUND(G38/100,0)*100</f>
        <v/>
      </c>
      <c r="I38" s="205" t="n">
        <v>187.2</v>
      </c>
      <c r="K38" s="100" t="n">
        <v>187.2</v>
      </c>
    </row>
    <row r="39">
      <c r="A39" s="124" t="n">
        <v>515</v>
      </c>
      <c r="B39" s="223" t="inlineStr">
        <is>
          <t>Caja por 600 servilletas Celsoft 40x40 Victoria Nero</t>
        </is>
      </c>
      <c r="D39" s="237">
        <f>I39*0.93*0.98</f>
        <v/>
      </c>
      <c r="E39" s="237">
        <f>D39*1.3*1.105</f>
        <v/>
      </c>
      <c r="F39" s="237">
        <f>D39*1.3*1.105/0.9</f>
        <v/>
      </c>
      <c r="G39" s="237">
        <f>F39*1.21</f>
        <v/>
      </c>
      <c r="H39" s="237">
        <f>ROUND(G39/100,0)*100</f>
        <v/>
      </c>
      <c r="I39" s="205" t="n">
        <v>187.2</v>
      </c>
      <c r="K39" s="100" t="n">
        <v>187.2</v>
      </c>
    </row>
    <row r="40">
      <c r="A40" s="124" t="n">
        <v>516</v>
      </c>
      <c r="B40" s="223" t="inlineStr">
        <is>
          <t>Caja por 600 servilletas Celsoft 40x40 Tasca Bordeaux</t>
        </is>
      </c>
      <c r="D40" s="237">
        <f>I40*0.93*0.98</f>
        <v/>
      </c>
      <c r="E40" s="237">
        <f>D40*1.3*1.105</f>
        <v/>
      </c>
      <c r="F40" s="237">
        <f>D40*1.3*1.105/0.9</f>
        <v/>
      </c>
      <c r="G40" s="237">
        <f>F40*1.21</f>
        <v/>
      </c>
      <c r="H40" s="237">
        <f>ROUND(G40/100,0)*100</f>
        <v/>
      </c>
      <c r="I40" s="205" t="n">
        <v>220.74</v>
      </c>
      <c r="K40" s="100" t="n">
        <v>220.74</v>
      </c>
    </row>
    <row r="41">
      <c r="A41" s="124" t="n">
        <v>517</v>
      </c>
      <c r="B41" s="223" t="inlineStr">
        <is>
          <t>Caja por 600 servilletas Celsoft 40x40 Tasca Nero</t>
        </is>
      </c>
      <c r="D41" s="237">
        <f>I41*0.93*0.98</f>
        <v/>
      </c>
      <c r="E41" s="237">
        <f>D41*1.3*1.105</f>
        <v/>
      </c>
      <c r="F41" s="237">
        <f>D41*1.3*1.105/0.9</f>
        <v/>
      </c>
      <c r="G41" s="237">
        <f>F41*1.21</f>
        <v/>
      </c>
      <c r="H41" s="237">
        <f>ROUND(G41/100,0)*100</f>
        <v/>
      </c>
      <c r="I41" s="205" t="n">
        <v>220.74</v>
      </c>
      <c r="K41" s="100" t="n">
        <v>220.74</v>
      </c>
    </row>
    <row r="42">
      <c r="A42" s="124" t="n">
        <v>518</v>
      </c>
      <c r="B42" s="223" t="inlineStr">
        <is>
          <t>Caja por 600 servilletas Celsoft 40x40 Tasca Lino Avorio</t>
        </is>
      </c>
      <c r="D42" s="237">
        <f>I42*0.93*0.98</f>
        <v/>
      </c>
      <c r="E42" s="237">
        <f>D42*1.3*1.105</f>
        <v/>
      </c>
      <c r="F42" s="237">
        <f>D42*1.3*1.105/0.9</f>
        <v/>
      </c>
      <c r="G42" s="237">
        <f>F42*1.21</f>
        <v/>
      </c>
      <c r="H42" s="237">
        <f>ROUND(G42/100,0)*100</f>
        <v/>
      </c>
      <c r="I42" s="205" t="n">
        <v>187.2</v>
      </c>
      <c r="K42" s="100" t="n">
        <v>187.2</v>
      </c>
    </row>
    <row r="43">
      <c r="A43" s="124" t="n">
        <v>519</v>
      </c>
      <c r="B43" s="223" t="inlineStr">
        <is>
          <t>Caja por 600 servilletas Celsoft 40x40 Taca Iuta Grigio</t>
        </is>
      </c>
      <c r="D43" s="237">
        <f>I43*0.93*0.98</f>
        <v/>
      </c>
      <c r="E43" s="237">
        <f>D43*1.3*1.105</f>
        <v/>
      </c>
      <c r="F43" s="237">
        <f>D43*1.3*1.105/0.9</f>
        <v/>
      </c>
      <c r="G43" s="237">
        <f>F43*1.21</f>
        <v/>
      </c>
      <c r="H43" s="237">
        <f>ROUND(G43/100,0)*100</f>
        <v/>
      </c>
      <c r="I43" s="205" t="n">
        <v>187.2</v>
      </c>
      <c r="K43" s="100" t="n">
        <v>187.2</v>
      </c>
    </row>
    <row r="44">
      <c r="A44" s="124" t="n">
        <v>520</v>
      </c>
      <c r="B44" s="223" t="inlineStr">
        <is>
          <t>Caja de servilletas Celsoft 40 x 40 SAMPLER 300 Unid</t>
        </is>
      </c>
      <c r="D44" s="237">
        <f>I44*0.93*0.98</f>
        <v/>
      </c>
      <c r="E44" s="237">
        <f>D44*1.3*1.105</f>
        <v/>
      </c>
      <c r="F44" s="237">
        <f>D44*1.3*1.105/0.9</f>
        <v/>
      </c>
      <c r="G44" s="237">
        <f>F44*1.21</f>
        <v/>
      </c>
      <c r="H44" s="237">
        <f>ROUND(G44/100,0)*100</f>
        <v/>
      </c>
      <c r="I44" s="205" t="n">
        <v>99.09</v>
      </c>
      <c r="K44" s="100" t="n">
        <v>99.09</v>
      </c>
    </row>
    <row r="45">
      <c r="A45" s="124" t="n"/>
      <c r="B45" s="223" t="n"/>
      <c r="C45" s="223" t="n"/>
      <c r="D45" s="237" t="n"/>
      <c r="E45" s="200" t="n"/>
      <c r="F45" s="200" t="n"/>
      <c r="G45" s="200" t="n"/>
      <c r="H45" s="200" t="n"/>
      <c r="I45" s="237" t="n"/>
    </row>
    <row r="46">
      <c r="A46" s="142" t="inlineStr">
        <is>
          <t>PAPEL HIGIENICO</t>
        </is>
      </c>
      <c r="B46" s="271" t="n"/>
      <c r="C46" s="223" t="n"/>
      <c r="D46" s="237" t="n"/>
      <c r="E46" s="200" t="n"/>
      <c r="F46" s="200" t="n"/>
      <c r="G46" s="200" t="n"/>
      <c r="H46" s="200" t="n"/>
      <c r="I46" s="237" t="n"/>
    </row>
    <row r="47">
      <c r="A47" s="111" t="n"/>
      <c r="B47" s="223" t="n"/>
      <c r="C47" s="223" t="n"/>
      <c r="D47" s="237" t="n"/>
      <c r="E47" s="200" t="n"/>
      <c r="F47" s="200" t="n"/>
      <c r="G47" s="200" t="n"/>
      <c r="H47" s="200" t="n"/>
      <c r="I47" s="237" t="n"/>
    </row>
    <row r="48">
      <c r="A48" s="124" t="n">
        <v>211</v>
      </c>
      <c r="B48" s="223" t="inlineStr">
        <is>
          <t>Pack x18 Rollos Higienico Racional D/H x 60 mts</t>
        </is>
      </c>
      <c r="D48" s="237">
        <f>I48*0.93*0.98</f>
        <v/>
      </c>
      <c r="E48" s="237">
        <f>D48*1.3*1.105</f>
        <v/>
      </c>
      <c r="F48" s="237">
        <f>D48*1.3*1.105/0.9</f>
        <v/>
      </c>
      <c r="G48" s="237">
        <f>F48*1.21</f>
        <v/>
      </c>
      <c r="H48" s="237">
        <f>ROUND(G48/100,0)*100</f>
        <v/>
      </c>
      <c r="I48" s="206" t="n">
        <v>3666.67</v>
      </c>
      <c r="K48" s="100" t="n">
        <v>3886.68</v>
      </c>
    </row>
    <row r="49">
      <c r="A49" s="124" t="n">
        <v>213</v>
      </c>
      <c r="B49" s="223" t="inlineStr">
        <is>
          <t>Pack x 4 Rollos Higienico Racional x 500 mts Buje 7,5</t>
        </is>
      </c>
      <c r="D49" s="237">
        <f>I49*0.93*0.98</f>
        <v/>
      </c>
      <c r="E49" s="237">
        <f>D49*1.3*1.105</f>
        <v/>
      </c>
      <c r="F49" s="237">
        <f>D49*1.3*1.105/0.9</f>
        <v/>
      </c>
      <c r="G49" s="237">
        <f>F49*1.21</f>
        <v/>
      </c>
      <c r="H49" s="237">
        <f>ROUND(G49/100,0)*100</f>
        <v/>
      </c>
      <c r="I49" s="205" t="n">
        <v>2841.71</v>
      </c>
      <c r="K49" s="100" t="n">
        <v>3012.24</v>
      </c>
    </row>
    <row r="50">
      <c r="A50" s="182" t="n">
        <v>214</v>
      </c>
      <c r="B50" s="224" t="inlineStr">
        <is>
          <t>Pack x 18 rollos Papel Higienico Racional x 122 mts</t>
        </is>
      </c>
      <c r="D50" s="184">
        <f>I50*0.93*0.98</f>
        <v/>
      </c>
      <c r="E50" s="184">
        <f>D50*1.3*1.105</f>
        <v/>
      </c>
      <c r="F50" s="184">
        <f>D50*1.3*1.105/0.9</f>
        <v/>
      </c>
      <c r="G50" s="184">
        <f>F50*1.21</f>
        <v/>
      </c>
      <c r="H50" s="184">
        <f>ROUND(G50/100,0)*100</f>
        <v/>
      </c>
      <c r="I50" s="207" t="n">
        <v>3491.26</v>
      </c>
      <c r="J50" s="193" t="n"/>
      <c r="K50" s="193" t="n">
        <v>3700.73</v>
      </c>
      <c r="L50" s="193" t="n"/>
      <c r="M50" s="193" t="n"/>
      <c r="N50" s="193" t="n"/>
      <c r="O50" s="193" t="n"/>
      <c r="P50" s="193" t="n"/>
      <c r="Q50" s="193" t="n"/>
      <c r="R50" s="193" t="n"/>
      <c r="S50" s="193" t="n"/>
      <c r="T50" s="193" t="n"/>
      <c r="U50" s="193" t="n"/>
      <c r="V50" s="193" t="n"/>
      <c r="W50" s="193" t="n"/>
      <c r="X50" s="193" t="n"/>
      <c r="Y50" s="193" t="n"/>
      <c r="Z50" s="193" t="n"/>
      <c r="AA50" s="193" t="n"/>
      <c r="AB50" s="193" t="n"/>
    </row>
    <row r="51">
      <c r="A51" s="124" t="n">
        <v>218</v>
      </c>
      <c r="B51" s="223" t="inlineStr">
        <is>
          <t>Pack x 8 rollos Higienico Racional x 265 mts buje 7,5</t>
        </is>
      </c>
      <c r="D51" s="237">
        <f>I51*0.93*0.98</f>
        <v/>
      </c>
      <c r="E51" s="237">
        <f>D51*1.3*1.105</f>
        <v/>
      </c>
      <c r="F51" s="237">
        <f>D51*1.3*1.105/0.9</f>
        <v/>
      </c>
      <c r="G51" s="237">
        <f>F51*1.21</f>
        <v/>
      </c>
      <c r="H51" s="237">
        <f>ROUND(G51/100,0)*100</f>
        <v/>
      </c>
      <c r="I51" s="205" t="n">
        <v>3213.26</v>
      </c>
      <c r="K51" s="100" t="n">
        <v>3406.08</v>
      </c>
    </row>
    <row r="52">
      <c r="A52" s="124" t="n">
        <v>220</v>
      </c>
      <c r="B52" s="223" t="inlineStr">
        <is>
          <t>Pack x 8 Rollos Papel Higienico Racional x 300 mts</t>
        </is>
      </c>
      <c r="D52" s="237">
        <f>I52*0.93*0.98</f>
        <v/>
      </c>
      <c r="E52" s="237">
        <f>D52*1.3*1.105</f>
        <v/>
      </c>
      <c r="F52" s="237">
        <f>D52*1.3*1.105/0.9</f>
        <v/>
      </c>
      <c r="G52" s="237">
        <f>F52*1.21</f>
        <v/>
      </c>
      <c r="H52" s="237">
        <f>ROUND(G52/100,0)*100</f>
        <v/>
      </c>
      <c r="I52" s="205" t="n">
        <v>3661.63</v>
      </c>
      <c r="K52" s="100" t="n">
        <v>3881.33</v>
      </c>
    </row>
    <row r="53">
      <c r="A53" s="124" t="n">
        <v>222</v>
      </c>
      <c r="B53" s="223" t="inlineStr">
        <is>
          <t>Pack x 8 Rollos Papel Higienico x 260 mts Buje4,5</t>
        </is>
      </c>
      <c r="D53" s="237">
        <f>I53*0.93*0.98</f>
        <v/>
      </c>
      <c r="E53" s="237">
        <f>D53*1.3*1.105</f>
        <v/>
      </c>
      <c r="F53" s="237">
        <f>D53*1.3*1.105/0.9</f>
        <v/>
      </c>
      <c r="G53" s="237">
        <f>F53*1.21</f>
        <v/>
      </c>
      <c r="H53" s="237">
        <f>ROUND(G53/100,0)*100</f>
        <v/>
      </c>
      <c r="I53" s="205" t="n">
        <v>3108.46</v>
      </c>
      <c r="K53" s="100" t="n">
        <v>3294.96</v>
      </c>
    </row>
    <row r="54">
      <c r="A54" s="124" t="n">
        <v>909</v>
      </c>
      <c r="B54" s="223" t="inlineStr">
        <is>
          <t>Papel Higiénico 20 x 14,5 8000 h. 4000 usos</t>
        </is>
      </c>
      <c r="D54" s="237">
        <f>I54*0.93*0.98</f>
        <v/>
      </c>
      <c r="E54" s="237">
        <f>D54*1.3*1.105</f>
        <v/>
      </c>
      <c r="F54" s="237">
        <f>D54*1.3*1.105/0.9</f>
        <v/>
      </c>
      <c r="G54" s="237">
        <f>F54*1.21</f>
        <v/>
      </c>
      <c r="H54" s="237">
        <f>ROUND(G54/100,0)*100</f>
        <v/>
      </c>
      <c r="I54" s="205" t="n">
        <v>4800.7</v>
      </c>
      <c r="K54" s="100" t="n">
        <v>5088.8</v>
      </c>
    </row>
    <row r="55">
      <c r="A55" s="124" t="n">
        <v>912</v>
      </c>
      <c r="B55" s="223" t="inlineStr">
        <is>
          <t>Papel Higienico UNITAS(18x14,5cm) 8000 h/4000 usos</t>
        </is>
      </c>
      <c r="D55" s="237">
        <f>I55*0.93*0.98</f>
        <v/>
      </c>
      <c r="E55" s="237">
        <f>D55*1.3*1.105</f>
        <v/>
      </c>
      <c r="F55" s="237">
        <f>D55*1.3*1.105/0.9</f>
        <v/>
      </c>
      <c r="G55" s="237">
        <f>F55*1.21</f>
        <v/>
      </c>
      <c r="H55" s="237">
        <f>ROUND(G55/100,0)*100</f>
        <v/>
      </c>
      <c r="I55" s="205" t="n">
        <v>3857.52</v>
      </c>
      <c r="K55" s="100" t="n">
        <v>4088.97</v>
      </c>
    </row>
    <row r="56">
      <c r="A56" s="124" t="n"/>
      <c r="B56" s="223" t="n"/>
      <c r="C56" s="223" t="n"/>
      <c r="D56" s="237" t="n"/>
      <c r="E56" s="200" t="n"/>
      <c r="F56" s="200" t="n"/>
      <c r="G56" s="200" t="n"/>
      <c r="H56" s="200" t="n"/>
      <c r="I56" s="237" t="n"/>
    </row>
    <row r="57">
      <c r="A57" s="124" t="n"/>
      <c r="B57" s="108" t="n">
        <v>44896</v>
      </c>
      <c r="C57" s="223" t="n"/>
      <c r="D57" s="237" t="n"/>
      <c r="E57" s="200" t="n"/>
      <c r="F57" s="200" t="n"/>
      <c r="G57" s="200" t="n"/>
      <c r="H57" s="200" t="n"/>
      <c r="I57" s="237" t="n"/>
    </row>
    <row r="58">
      <c r="A58" s="124" t="n"/>
      <c r="B58" s="223" t="n"/>
      <c r="C58" s="223" t="n"/>
      <c r="D58" s="237" t="n"/>
      <c r="E58" s="200" t="n"/>
      <c r="F58" s="200" t="n"/>
      <c r="G58" s="200" t="n"/>
      <c r="H58" s="200" t="n"/>
      <c r="I58" s="237" t="n"/>
    </row>
    <row r="59">
      <c r="A59" s="117" t="inlineStr">
        <is>
          <t>CAMILLEROS</t>
        </is>
      </c>
      <c r="B59" s="223" t="n"/>
      <c r="C59" s="223" t="n"/>
      <c r="D59" s="237" t="n"/>
      <c r="E59" s="200" t="n"/>
      <c r="F59" s="200" t="n"/>
      <c r="G59" s="200" t="n"/>
      <c r="H59" s="200" t="n"/>
      <c r="I59" s="237" t="n"/>
    </row>
    <row r="60">
      <c r="A60" s="131" t="n"/>
      <c r="B60" s="223" t="n"/>
      <c r="C60" s="223" t="n"/>
      <c r="D60" s="237" t="n"/>
      <c r="E60" s="200" t="n"/>
      <c r="F60" s="200" t="n"/>
      <c r="G60" s="200" t="n"/>
      <c r="H60" s="200" t="n"/>
      <c r="I60" s="237" t="n"/>
    </row>
    <row r="61">
      <c r="A61" s="124" t="n">
        <v>301</v>
      </c>
      <c r="B61" s="223" t="inlineStr">
        <is>
          <t>Pack x 2 Rollos Camilleros bco s/h 54x100mts Prec</t>
        </is>
      </c>
      <c r="D61" s="154">
        <f>I61*0.93*0.98</f>
        <v/>
      </c>
      <c r="E61" s="237">
        <f>D61*1.3*1.105</f>
        <v/>
      </c>
      <c r="F61" s="237">
        <f>D61*1.3*1.105/0.9</f>
        <v/>
      </c>
      <c r="G61" s="237">
        <f>F61*1.21</f>
        <v/>
      </c>
      <c r="H61" s="237">
        <f>ROUND(G61/100,0)*100</f>
        <v/>
      </c>
      <c r="I61" s="206" t="n">
        <v>3867.54</v>
      </c>
      <c r="K61" s="100" t="n">
        <v>4100</v>
      </c>
    </row>
    <row r="62">
      <c r="A62" s="124" t="n"/>
      <c r="B62" s="155" t="n"/>
      <c r="C62" s="223" t="n"/>
      <c r="D62" s="237" t="n"/>
      <c r="E62" s="200" t="n"/>
      <c r="F62" s="200" t="n"/>
      <c r="G62" s="200" t="n"/>
      <c r="H62" s="200" t="n"/>
      <c r="I62" s="237" t="n"/>
    </row>
    <row r="63">
      <c r="A63" s="142" t="inlineStr">
        <is>
          <t>DISPENSERS</t>
        </is>
      </c>
      <c r="B63" s="223" t="n"/>
      <c r="C63" s="223" t="n"/>
      <c r="D63" s="237" t="n"/>
      <c r="E63" s="200" t="n"/>
      <c r="F63" s="200" t="n"/>
      <c r="G63" s="200" t="n"/>
      <c r="H63" s="200" t="n"/>
      <c r="I63" s="237" t="n"/>
    </row>
    <row r="64">
      <c r="A64" s="111" t="n"/>
      <c r="B64" s="223" t="n"/>
      <c r="C64" s="223" t="n"/>
      <c r="D64" s="237" t="n"/>
      <c r="E64" s="200" t="n"/>
      <c r="F64" s="200" t="n"/>
      <c r="G64" s="200" t="n"/>
      <c r="H64" s="200" t="n"/>
      <c r="I64" s="237" t="n"/>
    </row>
    <row r="65">
      <c r="A65" s="124" t="n">
        <v>403</v>
      </c>
      <c r="B65" s="223" t="inlineStr">
        <is>
          <t>Portabobina de Pared</t>
        </is>
      </c>
      <c r="C65" s="223" t="n"/>
      <c r="D65" s="237">
        <f>I65*0.93*0.98</f>
        <v/>
      </c>
      <c r="E65" s="237">
        <f>D65*1.3*1.105</f>
        <v/>
      </c>
      <c r="F65" s="237">
        <f>D65*1.3*1.105/0.9</f>
        <v/>
      </c>
      <c r="G65" s="237">
        <f>F65*1.21</f>
        <v/>
      </c>
      <c r="H65" s="237">
        <f>ROUND(G65/100,0)*100</f>
        <v/>
      </c>
      <c r="I65" s="206" t="n">
        <v>6289.36</v>
      </c>
      <c r="K65" s="100" t="n">
        <v>6666.72</v>
      </c>
    </row>
    <row r="66">
      <c r="A66" s="124" t="n">
        <v>404</v>
      </c>
      <c r="B66" s="223" t="inlineStr">
        <is>
          <t>Portarollo para Camilla</t>
        </is>
      </c>
      <c r="C66" s="223" t="n"/>
      <c r="D66" s="237">
        <f>I66*0.93*0.98</f>
        <v/>
      </c>
      <c r="E66" s="237">
        <f>D66*1.3*1.105</f>
        <v/>
      </c>
      <c r="F66" s="237">
        <f>D66*1.3*1.105/0.9</f>
        <v/>
      </c>
      <c r="G66" s="237">
        <f>F66*1.21</f>
        <v/>
      </c>
      <c r="H66" s="237">
        <f>ROUND(G66/100,0)*100</f>
        <v/>
      </c>
      <c r="I66" s="205" t="n">
        <v>0</v>
      </c>
      <c r="K66" s="100" t="n">
        <v>0</v>
      </c>
    </row>
    <row r="67">
      <c r="A67" s="124" t="n">
        <v>418</v>
      </c>
      <c r="B67" s="223" t="inlineStr">
        <is>
          <t>Portabobina de Piso</t>
        </is>
      </c>
      <c r="C67" s="223" t="n"/>
      <c r="D67" s="237">
        <f>I67*0.93*0.98</f>
        <v/>
      </c>
      <c r="E67" s="237">
        <f>D67*1.3*1.105</f>
        <v/>
      </c>
      <c r="F67" s="237">
        <f>D67*1.3*1.105/0.9</f>
        <v/>
      </c>
      <c r="G67" s="237">
        <f>F67*1.21</f>
        <v/>
      </c>
      <c r="H67" s="237">
        <f>ROUND(G67/100,0)*100</f>
        <v/>
      </c>
      <c r="I67" s="205" t="n">
        <v>6918.11</v>
      </c>
      <c r="K67" s="100" t="n">
        <v>7333.2</v>
      </c>
    </row>
    <row r="68">
      <c r="A68" s="124" t="n">
        <v>422</v>
      </c>
      <c r="B68" s="223" t="inlineStr">
        <is>
          <t>Dispenser Celmatic Due</t>
        </is>
      </c>
      <c r="C68" s="223" t="n"/>
      <c r="D68" s="237">
        <f>I68*0.93*0.98</f>
        <v/>
      </c>
      <c r="E68" s="237">
        <f>D68*1.3*1.105</f>
        <v/>
      </c>
      <c r="F68" s="237">
        <f>D68*1.3*1.105/0.9</f>
        <v/>
      </c>
      <c r="G68" s="237">
        <f>F68*1.21</f>
        <v/>
      </c>
      <c r="H68" s="237">
        <f>ROUND(G68/100,0)*100</f>
        <v/>
      </c>
      <c r="I68" s="205" t="n">
        <v>8859.57</v>
      </c>
      <c r="K68" s="100" t="n">
        <v>9391.200000000001</v>
      </c>
    </row>
    <row r="69">
      <c r="A69" s="124" t="n">
        <v>425</v>
      </c>
      <c r="B69" s="223" t="inlineStr">
        <is>
          <t>Dosificador para Jabón Líquido Recargable</t>
        </is>
      </c>
      <c r="D69" s="237">
        <f>I69*0.93*0.98</f>
        <v/>
      </c>
      <c r="E69" s="237">
        <f>D69*1.3*1.105</f>
        <v/>
      </c>
      <c r="F69" s="237">
        <f>D69*1.3*1.105/0.9</f>
        <v/>
      </c>
      <c r="G69" s="237">
        <f>F69*1.21</f>
        <v/>
      </c>
      <c r="H69" s="237">
        <f>ROUND(G69/100,0)*100</f>
        <v/>
      </c>
      <c r="I69" s="205" t="n">
        <v>3325.09</v>
      </c>
      <c r="K69" s="100" t="n">
        <v>3524.8</v>
      </c>
    </row>
    <row r="70">
      <c r="A70" s="124" t="n">
        <v>427</v>
      </c>
      <c r="B70" s="223" t="inlineStr">
        <is>
          <t>Dispenser Para Papel Higienico Racional 350</t>
        </is>
      </c>
      <c r="D70" s="237">
        <f>I70*0.93*0.98</f>
        <v/>
      </c>
      <c r="E70" s="237">
        <f>D70*1.3*1.105</f>
        <v/>
      </c>
      <c r="F70" s="237">
        <f>D70*1.3*1.105/0.9</f>
        <v/>
      </c>
      <c r="G70" s="237">
        <f>F70*1.21</f>
        <v/>
      </c>
      <c r="H70" s="237">
        <f>ROUND(G70/100,0)*100</f>
        <v/>
      </c>
      <c r="I70" s="205" t="n">
        <v>4061.5</v>
      </c>
      <c r="K70" s="100" t="n">
        <v>4305.6</v>
      </c>
    </row>
    <row r="71">
      <c r="A71" s="124" t="n">
        <v>428</v>
      </c>
      <c r="B71" s="223" t="inlineStr">
        <is>
          <t>Dispenser para Papel Higiénico</t>
        </is>
      </c>
      <c r="C71" s="223" t="n"/>
      <c r="D71" s="237">
        <f>I71*0.93*0.98</f>
        <v/>
      </c>
      <c r="E71" s="237">
        <f>D71*1.3*1.105</f>
        <v/>
      </c>
      <c r="F71" s="237">
        <f>D71*1.3*1.105/0.9</f>
        <v/>
      </c>
      <c r="G71" s="237">
        <f>F71*1.21</f>
        <v/>
      </c>
      <c r="H71" s="237">
        <f>ROUND(G71/100,0)*100</f>
        <v/>
      </c>
      <c r="I71" s="205" t="n">
        <v>4644.86</v>
      </c>
      <c r="K71" s="100" t="n">
        <v>4923.6</v>
      </c>
    </row>
    <row r="72">
      <c r="A72" s="124" t="n">
        <v>429</v>
      </c>
      <c r="B72" s="223" t="inlineStr">
        <is>
          <t>Dispenser para Toallas de Papel</t>
        </is>
      </c>
      <c r="C72" s="223" t="n"/>
      <c r="D72" s="237">
        <f>I72*0.93*0.98</f>
        <v/>
      </c>
      <c r="E72" s="237">
        <f>D72*1.3*1.105</f>
        <v/>
      </c>
      <c r="F72" s="237">
        <f>D72*1.3*1.105/0.9</f>
        <v/>
      </c>
      <c r="G72" s="237">
        <f>F72*1.21</f>
        <v/>
      </c>
      <c r="H72" s="237">
        <f>ROUND(G72/100,0)*100</f>
        <v/>
      </c>
      <c r="I72" s="205" t="n">
        <v>3332.36</v>
      </c>
      <c r="K72" s="100" t="n">
        <v>3532.32</v>
      </c>
    </row>
    <row r="73">
      <c r="A73" s="124" t="n">
        <v>430</v>
      </c>
      <c r="B73" s="223" t="inlineStr">
        <is>
          <t>Dispenser Para Papel Higienico Racional 600</t>
        </is>
      </c>
      <c r="D73" s="237">
        <f>I73*0.93*0.98</f>
        <v/>
      </c>
      <c r="E73" s="237">
        <f>D73*1.3*1.105</f>
        <v/>
      </c>
      <c r="F73" s="237">
        <f>D73*1.3*1.105/0.9</f>
        <v/>
      </c>
      <c r="G73" s="237">
        <f>F73*1.21</f>
        <v/>
      </c>
      <c r="H73" s="237">
        <f>ROUND(G73/100,0)*100</f>
        <v/>
      </c>
      <c r="I73" s="205" t="n">
        <v>6538.4</v>
      </c>
      <c r="K73" s="100" t="n">
        <v>6930.72</v>
      </c>
    </row>
    <row r="74">
      <c r="A74" s="124" t="n"/>
      <c r="B74" s="223" t="n"/>
      <c r="C74" s="223" t="n"/>
      <c r="D74" s="237" t="n"/>
      <c r="E74" s="200" t="n"/>
      <c r="F74" s="200" t="n"/>
      <c r="G74" s="200" t="n"/>
      <c r="H74" s="200" t="n"/>
      <c r="I74" s="237" t="n"/>
    </row>
    <row r="75">
      <c r="A75" s="124" t="n"/>
      <c r="B75" s="223" t="n"/>
      <c r="C75" s="223" t="n"/>
      <c r="D75" s="237" t="n"/>
      <c r="E75" s="200" t="n"/>
      <c r="F75" s="200" t="n"/>
      <c r="G75" s="200" t="n"/>
      <c r="H75" s="200" t="n"/>
      <c r="I75" s="237" t="n"/>
    </row>
    <row r="76">
      <c r="A76" s="124" t="n"/>
      <c r="B76" s="223" t="n"/>
      <c r="C76" s="223" t="n"/>
      <c r="D76" s="237" t="n"/>
      <c r="E76" s="200" t="n"/>
      <c r="F76" s="200" t="n"/>
      <c r="G76" s="200" t="n"/>
      <c r="H76" s="200" t="n"/>
      <c r="I76" s="237" t="n"/>
    </row>
    <row r="77">
      <c r="A77" s="117" t="inlineStr">
        <is>
          <t>LIMPIEZA INDUSTRIAL</t>
        </is>
      </c>
      <c r="B77" s="271" t="n"/>
      <c r="C77" s="223" t="n"/>
      <c r="D77" s="237" t="n"/>
      <c r="E77" s="200" t="n"/>
      <c r="F77" s="200" t="n"/>
      <c r="G77" s="200" t="n"/>
      <c r="H77" s="200" t="n"/>
      <c r="I77" s="237" t="n"/>
    </row>
    <row r="78">
      <c r="A78" s="131" t="n"/>
      <c r="B78" s="223" t="n"/>
      <c r="C78" s="223" t="n"/>
      <c r="D78" s="237" t="n"/>
      <c r="E78" s="200" t="n"/>
      <c r="F78" s="200" t="n"/>
      <c r="G78" s="200" t="n"/>
      <c r="H78" s="200" t="n"/>
      <c r="I78" s="237" t="n"/>
    </row>
    <row r="79">
      <c r="A79" s="182" t="n">
        <v>101</v>
      </c>
      <c r="B79" s="224" t="inlineStr">
        <is>
          <t>Pack x 6 bobinas 22,5 cm x 300 porciones</t>
        </is>
      </c>
      <c r="D79" s="184">
        <f>I79*0.93*0.98</f>
        <v/>
      </c>
      <c r="E79" s="184">
        <f>D79*1.3*1.105</f>
        <v/>
      </c>
      <c r="F79" s="184">
        <f>D79*1.3*1.105/0.9</f>
        <v/>
      </c>
      <c r="G79" s="184">
        <f>F79*1.21</f>
        <v/>
      </c>
      <c r="H79" s="184">
        <f>ROUND(G79/100,0)*100</f>
        <v/>
      </c>
      <c r="I79" s="208" t="n">
        <v>4999.05</v>
      </c>
      <c r="J79" s="193" t="n"/>
      <c r="K79" s="193" t="n">
        <v>5299</v>
      </c>
      <c r="L79" s="193" t="n"/>
      <c r="M79" s="193" t="n"/>
      <c r="N79" s="193" t="n"/>
      <c r="O79" s="193" t="n"/>
      <c r="P79" s="193" t="n"/>
      <c r="Q79" s="193" t="n"/>
      <c r="R79" s="193" t="n"/>
      <c r="S79" s="193" t="n"/>
      <c r="T79" s="193" t="n"/>
      <c r="U79" s="193" t="n"/>
      <c r="V79" s="193" t="n"/>
      <c r="W79" s="193" t="n"/>
      <c r="X79" s="193" t="n"/>
      <c r="Y79" s="193" t="n"/>
      <c r="Z79" s="193" t="n"/>
      <c r="AA79" s="193" t="n"/>
      <c r="AB79" s="193" t="n"/>
    </row>
    <row r="80">
      <c r="A80" s="124" t="n">
        <v>109</v>
      </c>
      <c r="B80" s="223" t="inlineStr">
        <is>
          <t>Pack x 2 bobinas papel original 22,5 cm x 270 mts</t>
        </is>
      </c>
      <c r="D80" s="237">
        <f>I80*0.93*0.98</f>
        <v/>
      </c>
      <c r="E80" s="237">
        <f>D80*1.3*1.105</f>
        <v/>
      </c>
      <c r="F80" s="237">
        <f>D80*1.3*1.105/0.9</f>
        <v/>
      </c>
      <c r="G80" s="237">
        <f>F80*1.21</f>
        <v/>
      </c>
      <c r="H80" s="237">
        <f>ROUND(G80/100,0)*100</f>
        <v/>
      </c>
      <c r="I80" s="205" t="n">
        <v>3901.48</v>
      </c>
      <c r="K80" s="100" t="n">
        <v>4135.6</v>
      </c>
    </row>
    <row r="81">
      <c r="A81" s="182" t="n">
        <v>123</v>
      </c>
      <c r="B81" s="224" t="inlineStr">
        <is>
          <t>Pack x 2 bobinas Papel Original 900 hjs/360 mts.</t>
        </is>
      </c>
      <c r="D81" s="184">
        <f>I81*0.93*0.98</f>
        <v/>
      </c>
      <c r="E81" s="184">
        <f>D81*1.3*1.105</f>
        <v/>
      </c>
      <c r="F81" s="184">
        <f>D81*1.3*1.105/0.9</f>
        <v/>
      </c>
      <c r="G81" s="184">
        <f>F81*1.21</f>
        <v/>
      </c>
      <c r="H81" s="184">
        <f>ROUND(G81/100,0)*100</f>
        <v/>
      </c>
      <c r="I81" s="207" t="n">
        <v>5730.96</v>
      </c>
      <c r="J81" s="193" t="n"/>
      <c r="K81" s="193" t="n">
        <v>6074.84</v>
      </c>
      <c r="L81" s="193" t="n"/>
      <c r="M81" s="193" t="n"/>
      <c r="N81" s="193" t="n"/>
      <c r="O81" s="193" t="n"/>
      <c r="P81" s="193" t="n"/>
      <c r="Q81" s="193" t="n"/>
      <c r="R81" s="193" t="n"/>
      <c r="S81" s="193" t="n"/>
      <c r="T81" s="193" t="n"/>
      <c r="U81" s="193" t="n"/>
      <c r="V81" s="193" t="n"/>
      <c r="W81" s="193" t="n"/>
      <c r="X81" s="193" t="n"/>
      <c r="Y81" s="193" t="n"/>
      <c r="Z81" s="193" t="n"/>
      <c r="AA81" s="193" t="n"/>
      <c r="AB81" s="193" t="n"/>
    </row>
    <row r="82">
      <c r="A82" s="124" t="n">
        <v>809</v>
      </c>
      <c r="B82" s="223" t="inlineStr">
        <is>
          <t>Pack x 4 Rollos 600 porc 25x25 Rep Tambo</t>
        </is>
      </c>
      <c r="D82" s="237">
        <f>I82*0.93*0.98</f>
        <v/>
      </c>
      <c r="E82" s="237">
        <f>D82*1.3*1.105</f>
        <v/>
      </c>
      <c r="F82" s="237">
        <f>D82*1.3*1.105/0.9</f>
        <v/>
      </c>
      <c r="G82" s="237">
        <f>F82*1.21</f>
        <v/>
      </c>
      <c r="H82" s="237">
        <f>ROUND(G82/100,0)*100</f>
        <v/>
      </c>
      <c r="I82" s="205" t="n">
        <v>5953.44</v>
      </c>
      <c r="K82" s="100" t="n">
        <v>6310.65</v>
      </c>
    </row>
    <row r="83">
      <c r="A83" s="124" t="n"/>
      <c r="B83" s="223" t="n"/>
      <c r="C83" s="223" t="n"/>
      <c r="D83" s="237" t="n"/>
      <c r="E83" s="200" t="n"/>
      <c r="F83" s="200" t="n"/>
      <c r="G83" s="200" t="n"/>
      <c r="H83" s="200" t="n"/>
      <c r="I83" s="237" t="n"/>
    </row>
    <row r="84">
      <c r="A84" s="124" t="n"/>
      <c r="B84" s="223" t="n"/>
      <c r="C84" s="223" t="n"/>
      <c r="D84" s="237" t="n"/>
      <c r="E84" s="200" t="n"/>
      <c r="F84" s="200" t="n"/>
      <c r="G84" s="200" t="n"/>
      <c r="H84" s="200" t="n"/>
      <c r="I84" s="237" t="n"/>
    </row>
    <row r="85">
      <c r="A85" s="117" t="inlineStr">
        <is>
          <t>PAÑOS DE LIMPIEZA DE ALTA PERFORMANCE</t>
        </is>
      </c>
      <c r="B85" s="223" t="n"/>
      <c r="C85" s="223" t="n"/>
      <c r="D85" s="237" t="n"/>
      <c r="E85" s="200" t="n"/>
      <c r="F85" s="200" t="n"/>
      <c r="G85" s="200" t="n"/>
      <c r="H85" s="200" t="n"/>
      <c r="I85" s="237" t="n"/>
    </row>
    <row r="86">
      <c r="A86" s="131" t="n"/>
      <c r="B86" s="223" t="n"/>
      <c r="C86" s="223" t="n"/>
      <c r="D86" s="237" t="n"/>
      <c r="E86" s="200" t="n"/>
      <c r="F86" s="200" t="n"/>
      <c r="G86" s="200" t="n"/>
      <c r="H86" s="200" t="n"/>
      <c r="I86" s="237" t="n"/>
    </row>
    <row r="87">
      <c r="A87" s="157" t="inlineStr">
        <is>
          <t>Linea Softclean</t>
        </is>
      </c>
      <c r="C87" s="158" t="n"/>
      <c r="D87" s="169" t="n"/>
      <c r="E87" s="197" t="n"/>
      <c r="F87" s="197" t="n"/>
      <c r="G87" s="197" t="n"/>
      <c r="H87" s="197" t="n"/>
      <c r="I87" s="192" t="n"/>
    </row>
    <row r="88">
      <c r="A88" s="186" t="n">
        <v>601</v>
      </c>
      <c r="B88" s="223" t="inlineStr">
        <is>
          <t>Rollo precortado Maxi blanco 30 x 38 x 500 softclean</t>
        </is>
      </c>
      <c r="D88" s="166">
        <f>I88*0.93*0.98</f>
        <v/>
      </c>
      <c r="E88" s="166">
        <f>D88*1.3*1.105</f>
        <v/>
      </c>
      <c r="F88" s="166">
        <f>D88*1.3*1.105/0.9</f>
        <v/>
      </c>
      <c r="G88" s="166">
        <f>F88*1.21</f>
        <v/>
      </c>
      <c r="H88" s="166">
        <f>ROUND(G88/100,0)*100</f>
        <v/>
      </c>
      <c r="I88" s="209" t="n">
        <v>54.43</v>
      </c>
      <c r="K88" s="100" t="n">
        <v>54.43</v>
      </c>
    </row>
    <row r="89">
      <c r="A89" s="186" t="n">
        <v>605</v>
      </c>
      <c r="B89" s="223" t="inlineStr">
        <is>
          <t>Caja x 250 Paños Ultratex de 34cm x 60cm</t>
        </is>
      </c>
      <c r="D89" s="166">
        <f>I89*0.93*0.98</f>
        <v/>
      </c>
      <c r="E89" s="166">
        <f>D89*1.3*1.105</f>
        <v/>
      </c>
      <c r="F89" s="166">
        <f>D89*1.3*1.105/0.9</f>
        <v/>
      </c>
      <c r="G89" s="166">
        <f>F89*1.21</f>
        <v/>
      </c>
      <c r="H89" s="166">
        <f>ROUND(G89/100,0)*100</f>
        <v/>
      </c>
      <c r="I89" s="209" t="n">
        <v>228.4</v>
      </c>
      <c r="K89" s="100" t="n">
        <v>228.4</v>
      </c>
    </row>
    <row r="90">
      <c r="A90" s="186" t="n">
        <v>606</v>
      </c>
      <c r="B90" s="223" t="inlineStr">
        <is>
          <t>Caja x 300 Paños Ultratex de 45,7cm x 53,3cm</t>
        </is>
      </c>
      <c r="D90" s="166">
        <f>I90*0.93*0.98</f>
        <v/>
      </c>
      <c r="E90" s="166">
        <f>D90*1.3*1.105</f>
        <v/>
      </c>
      <c r="F90" s="166">
        <f>D90*1.3*1.105/0.9</f>
        <v/>
      </c>
      <c r="G90" s="166">
        <f>F90*1.21</f>
        <v/>
      </c>
      <c r="H90" s="166">
        <f>ROUND(G90/100,0)*100</f>
        <v/>
      </c>
      <c r="I90" s="209" t="n">
        <v>323.14</v>
      </c>
      <c r="K90" s="100" t="n">
        <v>323.14</v>
      </c>
    </row>
    <row r="91">
      <c r="A91" s="186" t="n">
        <v>608</v>
      </c>
      <c r="B91" s="223" t="inlineStr">
        <is>
          <t>Repuesto x 2 rollos Softclean x 350 mts</t>
        </is>
      </c>
      <c r="D91" s="166">
        <f>I91*0.93*0.98</f>
        <v/>
      </c>
      <c r="E91" s="166">
        <f>D91*1.3*1.105</f>
        <v/>
      </c>
      <c r="F91" s="166">
        <f>D91*1.3*1.105/0.9</f>
        <v/>
      </c>
      <c r="G91" s="166">
        <f>F91*1.21</f>
        <v/>
      </c>
      <c r="H91" s="166">
        <f>ROUND(G91/100,0)*100</f>
        <v/>
      </c>
      <c r="I91" s="209" t="n">
        <v>49.43</v>
      </c>
      <c r="K91" s="100" t="n">
        <v>49.43</v>
      </c>
    </row>
    <row r="92">
      <c r="A92" s="186" t="n">
        <v>612</v>
      </c>
      <c r="B92" s="223" t="inlineStr">
        <is>
          <t>Contenedor Mini Softclean x 150 porc. 13 x 26.5cm</t>
        </is>
      </c>
      <c r="D92" s="166">
        <f>I92*0.93*0.98</f>
        <v/>
      </c>
      <c r="E92" s="166">
        <f>D92*1.3*1.105</f>
        <v/>
      </c>
      <c r="F92" s="166">
        <f>D92*1.3*1.105/0.9</f>
        <v/>
      </c>
      <c r="G92" s="166">
        <f>F92*1.21</f>
        <v/>
      </c>
      <c r="H92" s="166">
        <f>ROUND(G92/100,0)*100</f>
        <v/>
      </c>
      <c r="I92" s="209" t="n">
        <v>7.53</v>
      </c>
      <c r="K92" s="100" t="n">
        <v>7.53</v>
      </c>
    </row>
    <row r="93">
      <c r="A93" s="186" t="n">
        <v>614</v>
      </c>
      <c r="B93" s="223" t="inlineStr">
        <is>
          <t>Rollo SoftClean S 70x 875 Porciones de 30x 25</t>
        </is>
      </c>
      <c r="D93" s="166">
        <f>I93*0.93*0.98</f>
        <v/>
      </c>
      <c r="E93" s="166">
        <f>D93*1.3*1.105</f>
        <v/>
      </c>
      <c r="F93" s="166">
        <f>D93*1.3*1.105/0.9</f>
        <v/>
      </c>
      <c r="G93" s="166">
        <f>F93*1.21</f>
        <v/>
      </c>
      <c r="H93" s="166">
        <f>ROUND(G93/100,0)*100</f>
        <v/>
      </c>
      <c r="I93" s="209" t="n">
        <v>59.55</v>
      </c>
      <c r="K93" s="100" t="n">
        <v>59.55</v>
      </c>
    </row>
    <row r="94">
      <c r="A94" s="186" t="n">
        <v>615</v>
      </c>
      <c r="B94" s="223" t="inlineStr">
        <is>
          <t>Contenedor Center Softclean x 350 22,5 x26,5</t>
        </is>
      </c>
      <c r="D94" s="166">
        <f>I94*0.93*0.98</f>
        <v/>
      </c>
      <c r="E94" s="166">
        <f>D94*1.3*1.105</f>
        <v/>
      </c>
      <c r="F94" s="166">
        <f>D94*1.3*1.105/0.9</f>
        <v/>
      </c>
      <c r="G94" s="166">
        <f>F94*1.21</f>
        <v/>
      </c>
      <c r="H94" s="166">
        <f>ROUND(G94/100,0)*100</f>
        <v/>
      </c>
      <c r="I94" s="209" t="n">
        <v>25.9</v>
      </c>
      <c r="K94" s="100" t="n">
        <v>25.9</v>
      </c>
    </row>
    <row r="95">
      <c r="A95" s="186" t="n">
        <v>616</v>
      </c>
      <c r="B95" s="223" t="inlineStr">
        <is>
          <t>Rollo Mini Sofclean x 190 porciones de 22,5 x 26,5</t>
        </is>
      </c>
      <c r="D95" s="166">
        <f>I95*0.93*0.98</f>
        <v/>
      </c>
      <c r="E95" s="166">
        <f>D95*1.3*1.105</f>
        <v/>
      </c>
      <c r="F95" s="166">
        <f>D95*1.3*1.105/0.9</f>
        <v/>
      </c>
      <c r="G95" s="166">
        <f>F95*1.21</f>
        <v/>
      </c>
      <c r="H95" s="166">
        <f>ROUND(G95/100,0)*100</f>
        <v/>
      </c>
      <c r="I95" s="209" t="n">
        <v>12.94</v>
      </c>
      <c r="K95" s="100" t="n">
        <v>12.94</v>
      </c>
    </row>
    <row r="96">
      <c r="A96" s="186" t="n">
        <v>617</v>
      </c>
      <c r="B96" s="223" t="inlineStr">
        <is>
          <t>Caja 1/4 Folded Softclean 500 30 x 30 cm Celeste</t>
        </is>
      </c>
      <c r="D96" s="166">
        <f>I96*0.93*0.98</f>
        <v/>
      </c>
      <c r="E96" s="166">
        <f>D96*1.3*1.105</f>
        <v/>
      </c>
      <c r="F96" s="166">
        <f>D96*1.3*1.105/0.9</f>
        <v/>
      </c>
      <c r="G96" s="166">
        <f>F96*1.21</f>
        <v/>
      </c>
      <c r="H96" s="166">
        <f>ROUND(G96/100,0)*100</f>
        <v/>
      </c>
      <c r="I96" s="209" t="n">
        <v>42.96</v>
      </c>
      <c r="K96" s="100" t="n">
        <v>42.96</v>
      </c>
    </row>
    <row r="97">
      <c r="A97" s="186" t="n">
        <v>618</v>
      </c>
      <c r="B97" s="223" t="inlineStr">
        <is>
          <t>Rollo Precortado Softclean 600 porciones de 30x 26,5</t>
        </is>
      </c>
      <c r="D97" s="166">
        <f>I97*0.93*0.98</f>
        <v/>
      </c>
      <c r="E97" s="166">
        <f>D97*1.3*1.105</f>
        <v/>
      </c>
      <c r="F97" s="166">
        <f>D97*1.3*1.105/0.9</f>
        <v/>
      </c>
      <c r="G97" s="166">
        <f>F97*1.21</f>
        <v/>
      </c>
      <c r="H97" s="166">
        <f>ROUND(G97/100,0)*100</f>
        <v/>
      </c>
      <c r="I97" s="209" t="n">
        <v>42.96</v>
      </c>
      <c r="K97" s="100" t="n">
        <v>42.96</v>
      </c>
    </row>
    <row r="98">
      <c r="A98" s="186" t="n"/>
      <c r="B98" s="223" t="n"/>
      <c r="C98" s="223" t="n"/>
      <c r="D98" s="166" t="n"/>
      <c r="E98" s="195" t="n"/>
      <c r="F98" s="195" t="n"/>
      <c r="G98" s="195" t="n"/>
      <c r="H98" s="195" t="n"/>
      <c r="I98" s="244" t="n"/>
    </row>
    <row r="99">
      <c r="A99" s="168" t="inlineStr">
        <is>
          <t>Linea Sontara</t>
        </is>
      </c>
      <c r="C99" s="158" t="n"/>
      <c r="D99" s="169" t="n"/>
      <c r="E99" s="197" t="n"/>
      <c r="F99" s="197" t="n"/>
      <c r="G99" s="197" t="n"/>
      <c r="H99" s="197" t="n"/>
      <c r="I99" s="198" t="n"/>
    </row>
    <row r="100">
      <c r="A100" s="186" t="n">
        <v>604</v>
      </c>
      <c r="B100" s="223" t="inlineStr">
        <is>
          <t>Rollo precortado Maxi de 30 x38 blanco</t>
        </is>
      </c>
      <c r="D100" s="166">
        <f>I100*0.93*0.98</f>
        <v/>
      </c>
      <c r="E100" s="166">
        <f>D100*1.3*1.105</f>
        <v/>
      </c>
      <c r="F100" s="166">
        <f>D100*1.3*1.105/0.9</f>
        <v/>
      </c>
      <c r="G100" s="166">
        <f>F100*1.21</f>
        <v/>
      </c>
      <c r="H100" s="166">
        <f>ROUND(G100/100,0)*100</f>
        <v/>
      </c>
      <c r="I100" s="209" t="n">
        <v>113.44</v>
      </c>
      <c r="K100" s="100" t="n">
        <v>113.44</v>
      </c>
    </row>
    <row r="101">
      <c r="A101" s="186" t="n">
        <v>619</v>
      </c>
      <c r="B101" s="223" t="inlineStr">
        <is>
          <t>Centerfeed Sontara Celeste 350 porc22,5 x 26,5</t>
        </is>
      </c>
      <c r="D101" s="166">
        <f>I101*0.93*0.98</f>
        <v/>
      </c>
      <c r="E101" s="166">
        <f>D101*1.3*1.105</f>
        <v/>
      </c>
      <c r="F101" s="166">
        <f>D101*1.3*1.105/0.9</f>
        <v/>
      </c>
      <c r="G101" s="166">
        <f>F101*1.21</f>
        <v/>
      </c>
      <c r="H101" s="166">
        <f>ROUND(G101/100,0)*100</f>
        <v/>
      </c>
      <c r="I101" s="209" t="n">
        <v>57.54</v>
      </c>
      <c r="K101" s="100" t="n">
        <v>57.54</v>
      </c>
    </row>
    <row r="102">
      <c r="A102" s="186" t="n">
        <v>620</v>
      </c>
      <c r="B102" s="223" t="inlineStr">
        <is>
          <t>Rollo prec Sontara por 600 porc 30 x26,5 celeste</t>
        </is>
      </c>
      <c r="D102" s="166">
        <f>I102*0.93*0.98</f>
        <v/>
      </c>
      <c r="E102" s="166">
        <f>D102*1.3*1.105</f>
        <v/>
      </c>
      <c r="F102" s="166">
        <f>D102*1.3*1.105/0.9</f>
        <v/>
      </c>
      <c r="G102" s="166">
        <f>F102*1.21</f>
        <v/>
      </c>
      <c r="H102" s="166">
        <f>ROUND(G102/100,0)*100</f>
        <v/>
      </c>
      <c r="I102" s="209" t="n">
        <v>106.81</v>
      </c>
      <c r="K102" s="100" t="n">
        <v>106.81</v>
      </c>
    </row>
    <row r="103">
      <c r="A103" s="186" t="n">
        <v>621</v>
      </c>
      <c r="B103" s="223" t="inlineStr">
        <is>
          <t>Rollo Sontara Mini x 190 porc 22,5 x26,5 celeste</t>
        </is>
      </c>
      <c r="D103" s="166">
        <f>I103*0.93*0.98</f>
        <v/>
      </c>
      <c r="E103" s="166">
        <f>D103*1.3*1.105</f>
        <v/>
      </c>
      <c r="F103" s="166">
        <f>D103*1.3*1.105/0.9</f>
        <v/>
      </c>
      <c r="G103" s="166">
        <f>F103*1.21</f>
        <v/>
      </c>
      <c r="H103" s="166">
        <f>ROUND(G103/100,0)*100</f>
        <v/>
      </c>
      <c r="I103" s="209" t="n">
        <v>26.14</v>
      </c>
      <c r="K103" s="100" t="n">
        <v>26.14</v>
      </c>
    </row>
    <row r="104">
      <c r="A104" s="186" t="n">
        <v>627</v>
      </c>
      <c r="B104" s="223" t="inlineStr">
        <is>
          <t>SMP 300 Paños de 22,5 cm x 22,5 cm</t>
        </is>
      </c>
      <c r="D104" s="166">
        <f>I104*0.93*0.98</f>
        <v/>
      </c>
      <c r="E104" s="166">
        <f>D104*1.3*1.105</f>
        <v/>
      </c>
      <c r="F104" s="166">
        <f>D104*1.3*1.105/0.9</f>
        <v/>
      </c>
      <c r="G104" s="166">
        <f>F104*1.21</f>
        <v/>
      </c>
      <c r="H104" s="166">
        <f>ROUND(G104/100,0)*100</f>
        <v/>
      </c>
      <c r="I104" s="209" t="n">
        <v>69.04000000000001</v>
      </c>
      <c r="K104" s="100" t="n">
        <v>69.04000000000001</v>
      </c>
    </row>
    <row r="105">
      <c r="A105" s="171" t="n">
        <v>645</v>
      </c>
      <c r="B105" s="175" t="inlineStr">
        <is>
          <t>Caja por 500Paños Sontara de 30 x 30 cm celeste</t>
        </is>
      </c>
      <c r="D105" s="166">
        <f>I105*0.93*0.98</f>
        <v/>
      </c>
      <c r="E105" s="166">
        <f>D105*1.3*1.105</f>
        <v/>
      </c>
      <c r="F105" s="166">
        <f>D105*1.3*1.105/0.9</f>
        <v/>
      </c>
      <c r="G105" s="166">
        <f>F105*1.21</f>
        <v/>
      </c>
      <c r="H105" s="166">
        <f>ROUND(G105/100,0)*100</f>
        <v/>
      </c>
      <c r="I105" s="209" t="n">
        <v>75.94</v>
      </c>
      <c r="K105" s="100" t="n">
        <v>75.94</v>
      </c>
    </row>
    <row r="106">
      <c r="A106" s="186" t="n">
        <v>656</v>
      </c>
      <c r="B106" s="175" t="inlineStr">
        <is>
          <t>Caja por 400 Paños Sontara de 30 x 30 cm Blancos</t>
        </is>
      </c>
      <c r="D106" s="166">
        <f>I106*0.93*0.98</f>
        <v/>
      </c>
      <c r="E106" s="166">
        <f>D106*1.3*1.105</f>
        <v/>
      </c>
      <c r="F106" s="166">
        <f>D106*1.3*1.105/0.9</f>
        <v/>
      </c>
      <c r="G106" s="166">
        <f>F106*1.21</f>
        <v/>
      </c>
      <c r="H106" s="166">
        <f>ROUND(G106/100,0)*100</f>
        <v/>
      </c>
      <c r="I106" s="209" t="n">
        <v>73.48999999999999</v>
      </c>
      <c r="K106" s="100" t="n">
        <v>73.48999999999999</v>
      </c>
    </row>
    <row r="107">
      <c r="A107" s="223" t="n"/>
      <c r="B107" s="175" t="n"/>
      <c r="C107" s="175" t="n"/>
      <c r="D107" s="215" t="n"/>
      <c r="E107" s="223" t="n"/>
      <c r="F107" s="223" t="n"/>
      <c r="G107" s="223" t="n"/>
      <c r="H107" s="223" t="n"/>
      <c r="I107" s="215" t="n"/>
    </row>
    <row r="108">
      <c r="A108" s="223" t="n"/>
      <c r="B108" s="175" t="n"/>
      <c r="C108" s="223" t="n"/>
      <c r="D108" s="215" t="n"/>
      <c r="E108" s="223" t="n"/>
      <c r="F108" s="223" t="n"/>
      <c r="G108" s="223" t="n"/>
      <c r="H108" s="223" t="n"/>
      <c r="I108" s="215" t="n"/>
    </row>
    <row r="109">
      <c r="A109" s="223" t="n"/>
      <c r="B109" s="175" t="n"/>
      <c r="C109" s="223" t="n"/>
      <c r="D109" s="215" t="n"/>
      <c r="E109" s="223" t="n"/>
      <c r="F109" s="223" t="n"/>
      <c r="G109" s="223" t="n"/>
      <c r="H109" s="223" t="n"/>
      <c r="I109" s="215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E110" s="223" t="n"/>
      <c r="F110" s="223" t="n"/>
      <c r="G110" s="223" t="n"/>
      <c r="H110" s="223" t="n"/>
      <c r="I110" s="215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E111" s="223" t="n"/>
      <c r="F111" s="223" t="n"/>
      <c r="G111" s="223" t="n"/>
      <c r="H111" s="223" t="n"/>
      <c r="I111" s="215" t="n"/>
    </row>
    <row r="112">
      <c r="D112" s="87" t="n"/>
      <c r="I112" s="87" t="n"/>
    </row>
    <row r="113">
      <c r="D113" s="87" t="n"/>
      <c r="I113" s="87" t="n"/>
    </row>
    <row r="114">
      <c r="D114" s="87" t="n"/>
      <c r="I114" s="87" t="n"/>
    </row>
    <row r="115">
      <c r="D115" s="87" t="n"/>
      <c r="I115" s="87" t="n"/>
    </row>
    <row r="116">
      <c r="D116" s="87" t="n"/>
      <c r="I116" s="87" t="n"/>
    </row>
    <row r="117">
      <c r="D117" s="87" t="n"/>
      <c r="I117" s="87" t="n"/>
    </row>
    <row r="118">
      <c r="D118" s="87" t="n"/>
      <c r="I118" s="87" t="n"/>
    </row>
    <row r="119">
      <c r="D119" s="87" t="n"/>
      <c r="I119" s="87" t="n"/>
    </row>
    <row r="120">
      <c r="D120" s="87" t="n"/>
      <c r="I120" s="87" t="n"/>
    </row>
    <row r="121">
      <c r="D121" s="87" t="n"/>
      <c r="I121" s="87" t="n"/>
    </row>
    <row r="122">
      <c r="D122" s="87" t="n"/>
      <c r="I122" s="87" t="n"/>
    </row>
    <row r="123">
      <c r="D123" s="87" t="n"/>
      <c r="I123" s="87" t="n"/>
    </row>
    <row r="124">
      <c r="D124" s="87" t="n"/>
      <c r="I124" s="87" t="n"/>
    </row>
    <row r="125">
      <c r="D125" s="87" t="n"/>
      <c r="I125" s="87" t="n"/>
    </row>
    <row r="126">
      <c r="D126" s="87" t="n"/>
      <c r="I126" s="87" t="n"/>
    </row>
    <row r="127">
      <c r="D127" s="87" t="n"/>
      <c r="I127" s="87" t="n"/>
    </row>
    <row r="128">
      <c r="D128" s="87" t="n"/>
      <c r="I128" s="87" t="n"/>
    </row>
    <row r="129">
      <c r="D129" s="87" t="n"/>
      <c r="I129" s="87" t="n"/>
    </row>
    <row r="130">
      <c r="D130" s="87" t="n"/>
      <c r="I130" s="87" t="n"/>
    </row>
    <row r="131">
      <c r="D131" s="87" t="n"/>
      <c r="I131" s="87" t="n"/>
    </row>
    <row r="132">
      <c r="D132" s="87" t="n"/>
      <c r="I132" s="87" t="n"/>
    </row>
    <row r="133">
      <c r="D133" s="87" t="n"/>
      <c r="I133" s="87" t="n"/>
    </row>
    <row r="134">
      <c r="D134" s="87" t="n"/>
      <c r="I134" s="87" t="n"/>
    </row>
    <row r="135">
      <c r="D135" s="87" t="n"/>
      <c r="I135" s="87" t="n"/>
    </row>
    <row r="136">
      <c r="D136" s="87" t="n"/>
      <c r="I136" s="87" t="n"/>
    </row>
    <row r="137">
      <c r="D137" s="87" t="n"/>
      <c r="I137" s="87" t="n"/>
    </row>
    <row r="138">
      <c r="D138" s="87" t="n"/>
      <c r="I138" s="87" t="n"/>
    </row>
    <row r="139">
      <c r="D139" s="87" t="n"/>
      <c r="I139" s="87" t="n"/>
    </row>
    <row r="140">
      <c r="D140" s="87" t="n"/>
      <c r="I140" s="87" t="n"/>
    </row>
    <row r="141">
      <c r="D141" s="87" t="n"/>
      <c r="I141" s="87" t="n"/>
    </row>
    <row r="142">
      <c r="D142" s="87" t="n"/>
      <c r="I142" s="87" t="n"/>
    </row>
    <row r="143">
      <c r="D143" s="87" t="n"/>
      <c r="I143" s="87" t="n"/>
    </row>
    <row r="144">
      <c r="D144" s="87" t="n"/>
      <c r="I144" s="87" t="n"/>
    </row>
    <row r="145">
      <c r="D145" s="87" t="n"/>
      <c r="I145" s="87" t="n"/>
    </row>
    <row r="146">
      <c r="D146" s="87" t="n"/>
      <c r="I146" s="87" t="n"/>
    </row>
    <row r="147">
      <c r="D147" s="87" t="n"/>
      <c r="I147" s="87" t="n"/>
    </row>
    <row r="148">
      <c r="D148" s="87" t="n"/>
      <c r="I148" s="87" t="n"/>
    </row>
    <row r="149">
      <c r="D149" s="87" t="n"/>
      <c r="I149" s="87" t="n"/>
    </row>
    <row r="150">
      <c r="D150" s="87" t="n"/>
      <c r="I150" s="87" t="n"/>
    </row>
    <row r="151">
      <c r="D151" s="87" t="n"/>
      <c r="I151" s="87" t="n"/>
    </row>
    <row r="152">
      <c r="D152" s="87" t="n"/>
      <c r="I152" s="87" t="n"/>
    </row>
    <row r="153">
      <c r="D153" s="87" t="n"/>
      <c r="I153" s="87" t="n"/>
    </row>
    <row r="154">
      <c r="D154" s="87" t="n"/>
      <c r="I154" s="87" t="n"/>
    </row>
    <row r="155">
      <c r="D155" s="87" t="n"/>
      <c r="I155" s="87" t="n"/>
    </row>
    <row r="156">
      <c r="D156" s="87" t="n"/>
      <c r="I156" s="87" t="n"/>
    </row>
    <row r="157">
      <c r="D157" s="87" t="n"/>
      <c r="I157" s="87" t="n"/>
    </row>
    <row r="158">
      <c r="D158" s="87" t="n"/>
      <c r="I158" s="87" t="n"/>
    </row>
    <row r="159">
      <c r="D159" s="87" t="n"/>
      <c r="I159" s="87" t="n"/>
    </row>
    <row r="160">
      <c r="D160" s="87" t="n"/>
      <c r="I160" s="87" t="n"/>
    </row>
    <row r="161">
      <c r="D161" s="87" t="n"/>
      <c r="I161" s="87" t="n"/>
    </row>
    <row r="162">
      <c r="D162" s="87" t="n"/>
      <c r="I162" s="87" t="n"/>
    </row>
    <row r="163">
      <c r="D163" s="87" t="n"/>
      <c r="I163" s="87" t="n"/>
    </row>
    <row r="164">
      <c r="D164" s="87" t="n"/>
      <c r="I164" s="87" t="n"/>
    </row>
    <row r="165">
      <c r="D165" s="87" t="n"/>
      <c r="I165" s="87" t="n"/>
    </row>
    <row r="166">
      <c r="D166" s="87" t="n"/>
      <c r="I166" s="87" t="n"/>
    </row>
    <row r="167">
      <c r="D167" s="87" t="n"/>
      <c r="I167" s="87" t="n"/>
    </row>
    <row r="168">
      <c r="D168" s="87" t="n"/>
      <c r="I168" s="87" t="n"/>
    </row>
    <row r="169">
      <c r="D169" s="87" t="n"/>
      <c r="I169" s="87" t="n"/>
    </row>
    <row r="170">
      <c r="D170" s="87" t="n"/>
      <c r="I170" s="87" t="n"/>
    </row>
    <row r="171">
      <c r="D171" s="87" t="n"/>
      <c r="I171" s="87" t="n"/>
    </row>
    <row r="172">
      <c r="D172" s="87" t="n"/>
      <c r="I172" s="87" t="n"/>
    </row>
    <row r="173">
      <c r="D173" s="87" t="n"/>
      <c r="I173" s="87" t="n"/>
    </row>
    <row r="174">
      <c r="D174" s="87" t="n"/>
      <c r="I174" s="87" t="n"/>
    </row>
    <row r="175">
      <c r="D175" s="87" t="n"/>
      <c r="I175" s="87" t="n"/>
    </row>
    <row r="176">
      <c r="D176" s="87" t="n"/>
      <c r="I176" s="87" t="n"/>
    </row>
    <row r="177">
      <c r="D177" s="87" t="n"/>
      <c r="I177" s="87" t="n"/>
    </row>
    <row r="178">
      <c r="D178" s="87" t="n"/>
      <c r="I178" s="87" t="n"/>
    </row>
    <row r="179">
      <c r="D179" s="87" t="n"/>
      <c r="I179" s="87" t="n"/>
    </row>
    <row r="180">
      <c r="D180" s="87" t="n"/>
      <c r="I180" s="87" t="n"/>
    </row>
    <row r="181">
      <c r="D181" s="87" t="n"/>
      <c r="I181" s="87" t="n"/>
    </row>
    <row r="182">
      <c r="D182" s="87" t="n"/>
      <c r="I182" s="87" t="n"/>
    </row>
    <row r="183">
      <c r="D183" s="87" t="n"/>
      <c r="I183" s="87" t="n"/>
    </row>
    <row r="184">
      <c r="D184" s="87" t="n"/>
      <c r="I184" s="87" t="n"/>
    </row>
    <row r="185">
      <c r="D185" s="87" t="n"/>
      <c r="I185" s="87" t="n"/>
    </row>
    <row r="186">
      <c r="D186" s="87" t="n"/>
      <c r="I186" s="87" t="n"/>
    </row>
    <row r="187">
      <c r="D187" s="87" t="n"/>
      <c r="I187" s="87" t="n"/>
    </row>
    <row r="188">
      <c r="D188" s="87" t="n"/>
      <c r="I188" s="87" t="n"/>
    </row>
    <row r="189">
      <c r="D189" s="87" t="n"/>
      <c r="I189" s="87" t="n"/>
    </row>
    <row r="190">
      <c r="D190" s="87" t="n"/>
      <c r="I190" s="87" t="n"/>
    </row>
    <row r="191">
      <c r="D191" s="87" t="n"/>
      <c r="I191" s="87" t="n"/>
    </row>
    <row r="192">
      <c r="D192" s="87" t="n"/>
      <c r="I192" s="87" t="n"/>
    </row>
    <row r="193">
      <c r="D193" s="87" t="n"/>
      <c r="I193" s="87" t="n"/>
    </row>
    <row r="194">
      <c r="D194" s="87" t="n"/>
      <c r="I194" s="87" t="n"/>
    </row>
    <row r="195">
      <c r="D195" s="87" t="n"/>
      <c r="I195" s="87" t="n"/>
    </row>
    <row r="196">
      <c r="D196" s="87" t="n"/>
      <c r="I196" s="87" t="n"/>
    </row>
    <row r="197">
      <c r="D197" s="87" t="n"/>
      <c r="I197" s="87" t="n"/>
    </row>
    <row r="198">
      <c r="D198" s="87" t="n"/>
      <c r="I198" s="87" t="n"/>
    </row>
    <row r="199">
      <c r="D199" s="87" t="n"/>
      <c r="I199" s="87" t="n"/>
    </row>
    <row r="200">
      <c r="D200" s="87" t="n"/>
      <c r="I200" s="87" t="n"/>
    </row>
    <row r="201">
      <c r="D201" s="87" t="n"/>
      <c r="I201" s="87" t="n"/>
    </row>
    <row r="202">
      <c r="D202" s="87" t="n"/>
      <c r="I202" s="87" t="n"/>
    </row>
    <row r="203">
      <c r="D203" s="87" t="n"/>
      <c r="I203" s="87" t="n"/>
    </row>
    <row r="204">
      <c r="D204" s="87" t="n"/>
      <c r="I204" s="87" t="n"/>
    </row>
    <row r="205">
      <c r="D205" s="87" t="n"/>
      <c r="I205" s="87" t="n"/>
    </row>
    <row r="206">
      <c r="D206" s="87" t="n"/>
      <c r="I206" s="87" t="n"/>
    </row>
    <row r="207">
      <c r="D207" s="87" t="n"/>
      <c r="I207" s="87" t="n"/>
    </row>
    <row r="208">
      <c r="D208" s="87" t="n"/>
      <c r="I208" s="87" t="n"/>
    </row>
    <row r="209">
      <c r="D209" s="87" t="n"/>
      <c r="I209" s="87" t="n"/>
    </row>
    <row r="210">
      <c r="D210" s="87" t="n"/>
      <c r="I210" s="87" t="n"/>
    </row>
    <row r="211">
      <c r="D211" s="87" t="n"/>
      <c r="I211" s="87" t="n"/>
    </row>
    <row r="212">
      <c r="D212" s="87" t="n"/>
      <c r="I212" s="87" t="n"/>
    </row>
    <row r="213">
      <c r="D213" s="87" t="n"/>
      <c r="I213" s="87" t="n"/>
    </row>
    <row r="214">
      <c r="D214" s="87" t="n"/>
      <c r="I214" s="87" t="n"/>
    </row>
    <row r="215">
      <c r="D215" s="87" t="n"/>
      <c r="I215" s="87" t="n"/>
    </row>
    <row r="216">
      <c r="D216" s="87" t="n"/>
      <c r="I216" s="87" t="n"/>
    </row>
    <row r="217">
      <c r="D217" s="87" t="n"/>
      <c r="I217" s="87" t="n"/>
    </row>
    <row r="218">
      <c r="D218" s="87" t="n"/>
      <c r="I218" s="87" t="n"/>
    </row>
    <row r="219">
      <c r="D219" s="87" t="n"/>
      <c r="I219" s="87" t="n"/>
    </row>
    <row r="220">
      <c r="D220" s="87" t="n"/>
      <c r="I220" s="87" t="n"/>
    </row>
    <row r="221">
      <c r="D221" s="87" t="n"/>
      <c r="I221" s="87" t="n"/>
    </row>
    <row r="222">
      <c r="D222" s="87" t="n"/>
      <c r="I222" s="87" t="n"/>
    </row>
    <row r="223">
      <c r="D223" s="87" t="n"/>
      <c r="I223" s="87" t="n"/>
    </row>
    <row r="224">
      <c r="D224" s="87" t="n"/>
      <c r="I224" s="87" t="n"/>
    </row>
    <row r="225">
      <c r="D225" s="87" t="n"/>
      <c r="I225" s="87" t="n"/>
    </row>
    <row r="226">
      <c r="D226" s="87" t="n"/>
      <c r="I226" s="87" t="n"/>
    </row>
    <row r="227">
      <c r="D227" s="87" t="n"/>
      <c r="I227" s="87" t="n"/>
    </row>
    <row r="228">
      <c r="D228" s="87" t="n"/>
      <c r="I228" s="87" t="n"/>
    </row>
    <row r="229">
      <c r="D229" s="87" t="n"/>
      <c r="I229" s="87" t="n"/>
    </row>
    <row r="230">
      <c r="D230" s="87" t="n"/>
      <c r="I230" s="87" t="n"/>
    </row>
    <row r="231">
      <c r="D231" s="87" t="n"/>
      <c r="I231" s="87" t="n"/>
    </row>
    <row r="232">
      <c r="D232" s="87" t="n"/>
      <c r="I232" s="87" t="n"/>
    </row>
    <row r="233">
      <c r="D233" s="87" t="n"/>
      <c r="I233" s="87" t="n"/>
    </row>
    <row r="234">
      <c r="D234" s="87" t="n"/>
      <c r="I234" s="87" t="n"/>
    </row>
    <row r="235">
      <c r="D235" s="87" t="n"/>
      <c r="I235" s="87" t="n"/>
    </row>
    <row r="236">
      <c r="D236" s="87" t="n"/>
      <c r="I236" s="87" t="n"/>
    </row>
    <row r="237">
      <c r="D237" s="87" t="n"/>
      <c r="I237" s="87" t="n"/>
    </row>
    <row r="238">
      <c r="D238" s="87" t="n"/>
      <c r="I238" s="87" t="n"/>
    </row>
    <row r="239">
      <c r="D239" s="87" t="n"/>
      <c r="I239" s="87" t="n"/>
    </row>
    <row r="240">
      <c r="D240" s="87" t="n"/>
      <c r="I240" s="87" t="n"/>
    </row>
    <row r="241">
      <c r="D241" s="87" t="n"/>
      <c r="I241" s="87" t="n"/>
    </row>
    <row r="242">
      <c r="D242" s="87" t="n"/>
      <c r="I242" s="87" t="n"/>
    </row>
    <row r="243">
      <c r="D243" s="87" t="n"/>
      <c r="I243" s="87" t="n"/>
    </row>
    <row r="244">
      <c r="D244" s="87" t="n"/>
      <c r="I244" s="87" t="n"/>
    </row>
    <row r="245">
      <c r="D245" s="87" t="n"/>
      <c r="I245" s="87" t="n"/>
    </row>
    <row r="246">
      <c r="D246" s="87" t="n"/>
      <c r="I246" s="87" t="n"/>
    </row>
    <row r="247">
      <c r="D247" s="87" t="n"/>
      <c r="I247" s="87" t="n"/>
    </row>
    <row r="248">
      <c r="D248" s="87" t="n"/>
      <c r="I248" s="87" t="n"/>
    </row>
    <row r="249">
      <c r="D249" s="87" t="n"/>
      <c r="I249" s="87" t="n"/>
    </row>
    <row r="250">
      <c r="D250" s="87" t="n"/>
      <c r="I250" s="87" t="n"/>
    </row>
    <row r="251">
      <c r="D251" s="87" t="n"/>
      <c r="I251" s="87" t="n"/>
    </row>
    <row r="252">
      <c r="D252" s="87" t="n"/>
      <c r="I252" s="87" t="n"/>
    </row>
    <row r="253">
      <c r="D253" s="87" t="n"/>
      <c r="I253" s="87" t="n"/>
    </row>
    <row r="254">
      <c r="D254" s="87" t="n"/>
      <c r="I254" s="87" t="n"/>
    </row>
    <row r="255">
      <c r="D255" s="87" t="n"/>
      <c r="I255" s="87" t="n"/>
    </row>
    <row r="256">
      <c r="D256" s="87" t="n"/>
      <c r="I256" s="87" t="n"/>
    </row>
    <row r="257">
      <c r="D257" s="87" t="n"/>
      <c r="I257" s="87" t="n"/>
    </row>
    <row r="258">
      <c r="D258" s="87" t="n"/>
      <c r="I258" s="87" t="n"/>
    </row>
    <row r="259">
      <c r="D259" s="87" t="n"/>
      <c r="I259" s="87" t="n"/>
    </row>
    <row r="260">
      <c r="D260" s="87" t="n"/>
      <c r="I260" s="87" t="n"/>
    </row>
    <row r="261">
      <c r="D261" s="87" t="n"/>
      <c r="I261" s="87" t="n"/>
    </row>
    <row r="262">
      <c r="D262" s="87" t="n"/>
      <c r="I262" s="87" t="n"/>
    </row>
    <row r="263">
      <c r="D263" s="87" t="n"/>
      <c r="I263" s="87" t="n"/>
    </row>
    <row r="264">
      <c r="D264" s="87" t="n"/>
      <c r="I264" s="87" t="n"/>
    </row>
    <row r="265">
      <c r="D265" s="87" t="n"/>
      <c r="I265" s="87" t="n"/>
    </row>
    <row r="266">
      <c r="D266" s="87" t="n"/>
      <c r="I266" s="87" t="n"/>
    </row>
    <row r="267">
      <c r="D267" s="87" t="n"/>
      <c r="I267" s="87" t="n"/>
    </row>
    <row r="268">
      <c r="D268" s="87" t="n"/>
      <c r="I268" s="87" t="n"/>
    </row>
    <row r="269">
      <c r="D269" s="87" t="n"/>
      <c r="I269" s="87" t="n"/>
    </row>
    <row r="270">
      <c r="D270" s="87" t="n"/>
      <c r="I270" s="87" t="n"/>
    </row>
    <row r="271">
      <c r="D271" s="87" t="n"/>
      <c r="I271" s="87" t="n"/>
    </row>
    <row r="272">
      <c r="D272" s="87" t="n"/>
      <c r="I272" s="87" t="n"/>
    </row>
    <row r="273">
      <c r="D273" s="87" t="n"/>
      <c r="I273" s="87" t="n"/>
    </row>
    <row r="274">
      <c r="D274" s="87" t="n"/>
      <c r="I274" s="87" t="n"/>
    </row>
    <row r="275">
      <c r="D275" s="87" t="n"/>
      <c r="I275" s="87" t="n"/>
    </row>
    <row r="276">
      <c r="D276" s="87" t="n"/>
      <c r="I276" s="87" t="n"/>
    </row>
    <row r="277">
      <c r="D277" s="87" t="n"/>
      <c r="I277" s="87" t="n"/>
    </row>
    <row r="278">
      <c r="D278" s="87" t="n"/>
      <c r="I278" s="87" t="n"/>
    </row>
    <row r="279">
      <c r="D279" s="87" t="n"/>
      <c r="I279" s="87" t="n"/>
    </row>
    <row r="280">
      <c r="D280" s="87" t="n"/>
      <c r="I280" s="87" t="n"/>
    </row>
    <row r="281">
      <c r="D281" s="87" t="n"/>
      <c r="I281" s="87" t="n"/>
    </row>
    <row r="282">
      <c r="D282" s="87" t="n"/>
      <c r="I282" s="87" t="n"/>
    </row>
    <row r="283">
      <c r="D283" s="87" t="n"/>
      <c r="I283" s="87" t="n"/>
    </row>
    <row r="284">
      <c r="D284" s="87" t="n"/>
      <c r="I284" s="87" t="n"/>
    </row>
    <row r="285">
      <c r="D285" s="87" t="n"/>
      <c r="I285" s="87" t="n"/>
    </row>
    <row r="286">
      <c r="D286" s="87" t="n"/>
      <c r="I286" s="87" t="n"/>
    </row>
    <row r="287">
      <c r="D287" s="87" t="n"/>
      <c r="I287" s="87" t="n"/>
    </row>
    <row r="288">
      <c r="D288" s="87" t="n"/>
      <c r="I288" s="87" t="n"/>
    </row>
    <row r="289">
      <c r="D289" s="87" t="n"/>
      <c r="I289" s="87" t="n"/>
    </row>
    <row r="290">
      <c r="D290" s="87" t="n"/>
      <c r="I290" s="87" t="n"/>
    </row>
    <row r="291">
      <c r="D291" s="87" t="n"/>
      <c r="I291" s="87" t="n"/>
    </row>
    <row r="292">
      <c r="D292" s="87" t="n"/>
      <c r="I292" s="87" t="n"/>
    </row>
    <row r="293">
      <c r="D293" s="87" t="n"/>
      <c r="I293" s="87" t="n"/>
    </row>
    <row r="294">
      <c r="D294" s="87" t="n"/>
      <c r="I294" s="87" t="n"/>
    </row>
    <row r="295">
      <c r="D295" s="87" t="n"/>
      <c r="I295" s="87" t="n"/>
    </row>
    <row r="296">
      <c r="D296" s="87" t="n"/>
      <c r="I296" s="87" t="n"/>
    </row>
    <row r="297">
      <c r="D297" s="87" t="n"/>
      <c r="I297" s="87" t="n"/>
    </row>
    <row r="298">
      <c r="D298" s="87" t="n"/>
      <c r="I298" s="87" t="n"/>
    </row>
    <row r="299">
      <c r="D299" s="87" t="n"/>
      <c r="I299" s="87" t="n"/>
    </row>
    <row r="300">
      <c r="D300" s="87" t="n"/>
      <c r="I300" s="87" t="n"/>
    </row>
    <row r="301">
      <c r="D301" s="87" t="n"/>
      <c r="I301" s="87" t="n"/>
    </row>
    <row r="302">
      <c r="D302" s="87" t="n"/>
      <c r="I302" s="87" t="n"/>
    </row>
    <row r="303">
      <c r="D303" s="87" t="n"/>
      <c r="I303" s="87" t="n"/>
    </row>
    <row r="304">
      <c r="D304" s="87" t="n"/>
      <c r="I304" s="87" t="n"/>
    </row>
    <row r="305">
      <c r="D305" s="87" t="n"/>
      <c r="I305" s="87" t="n"/>
    </row>
    <row r="306">
      <c r="D306" s="87" t="n"/>
      <c r="I306" s="87" t="n"/>
    </row>
    <row r="307">
      <c r="D307" s="87" t="n"/>
      <c r="I307" s="87" t="n"/>
    </row>
    <row r="308">
      <c r="D308" s="87" t="n"/>
      <c r="I308" s="87" t="n"/>
    </row>
    <row r="309">
      <c r="D309" s="87" t="n"/>
      <c r="I309" s="87" t="n"/>
    </row>
    <row r="310">
      <c r="D310" s="87" t="n"/>
      <c r="I310" s="87" t="n"/>
    </row>
    <row r="311">
      <c r="D311" s="87" t="n"/>
      <c r="I311" s="87" t="n"/>
    </row>
    <row r="312">
      <c r="D312" s="87" t="n"/>
      <c r="I312" s="87" t="n"/>
    </row>
    <row r="313">
      <c r="D313" s="87" t="n"/>
      <c r="I313" s="87" t="n"/>
    </row>
    <row r="314">
      <c r="D314" s="87" t="n"/>
      <c r="I314" s="87" t="n"/>
    </row>
    <row r="315">
      <c r="D315" s="87" t="n"/>
      <c r="I315" s="87" t="n"/>
    </row>
    <row r="316">
      <c r="D316" s="87" t="n"/>
      <c r="I316" s="87" t="n"/>
    </row>
    <row r="317">
      <c r="D317" s="87" t="n"/>
      <c r="I317" s="87" t="n"/>
    </row>
    <row r="318">
      <c r="D318" s="87" t="n"/>
      <c r="I318" s="87" t="n"/>
    </row>
    <row r="319">
      <c r="D319" s="87" t="n"/>
      <c r="I319" s="87" t="n"/>
    </row>
    <row r="320">
      <c r="D320" s="87" t="n"/>
      <c r="I320" s="87" t="n"/>
    </row>
    <row r="321">
      <c r="D321" s="87" t="n"/>
      <c r="I321" s="87" t="n"/>
    </row>
    <row r="322">
      <c r="D322" s="87" t="n"/>
      <c r="I322" s="87" t="n"/>
    </row>
    <row r="323">
      <c r="D323" s="87" t="n"/>
      <c r="I323" s="87" t="n"/>
    </row>
    <row r="324">
      <c r="D324" s="87" t="n"/>
      <c r="I324" s="87" t="n"/>
    </row>
    <row r="325">
      <c r="D325" s="87" t="n"/>
      <c r="I325" s="87" t="n"/>
    </row>
    <row r="326">
      <c r="D326" s="87" t="n"/>
      <c r="I326" s="87" t="n"/>
    </row>
    <row r="327">
      <c r="D327" s="87" t="n"/>
      <c r="I327" s="87" t="n"/>
    </row>
    <row r="328">
      <c r="D328" s="87" t="n"/>
      <c r="I328" s="87" t="n"/>
    </row>
    <row r="329">
      <c r="D329" s="87" t="n"/>
      <c r="I329" s="87" t="n"/>
    </row>
    <row r="330">
      <c r="D330" s="87" t="n"/>
      <c r="I330" s="87" t="n"/>
    </row>
    <row r="331">
      <c r="D331" s="87" t="n"/>
      <c r="I331" s="87" t="n"/>
    </row>
    <row r="332">
      <c r="D332" s="87" t="n"/>
      <c r="I332" s="87" t="n"/>
    </row>
    <row r="333">
      <c r="D333" s="87" t="n"/>
      <c r="I333" s="87" t="n"/>
    </row>
    <row r="334">
      <c r="D334" s="87" t="n"/>
      <c r="I334" s="87" t="n"/>
    </row>
    <row r="335">
      <c r="D335" s="87" t="n"/>
      <c r="I335" s="87" t="n"/>
    </row>
    <row r="336">
      <c r="D336" s="87" t="n"/>
      <c r="I336" s="87" t="n"/>
    </row>
    <row r="337">
      <c r="D337" s="87" t="n"/>
      <c r="I337" s="87" t="n"/>
    </row>
    <row r="338">
      <c r="D338" s="87" t="n"/>
      <c r="I338" s="87" t="n"/>
    </row>
    <row r="339">
      <c r="D339" s="87" t="n"/>
      <c r="I339" s="87" t="n"/>
    </row>
    <row r="340">
      <c r="D340" s="87" t="n"/>
      <c r="I340" s="87" t="n"/>
    </row>
    <row r="341">
      <c r="D341" s="87" t="n"/>
      <c r="I341" s="87" t="n"/>
    </row>
    <row r="342">
      <c r="D342" s="87" t="n"/>
      <c r="I342" s="87" t="n"/>
    </row>
    <row r="343">
      <c r="D343" s="87" t="n"/>
      <c r="I343" s="87" t="n"/>
    </row>
    <row r="344">
      <c r="D344" s="87" t="n"/>
      <c r="I344" s="87" t="n"/>
    </row>
    <row r="345">
      <c r="D345" s="87" t="n"/>
      <c r="I345" s="87" t="n"/>
    </row>
    <row r="346">
      <c r="D346" s="87" t="n"/>
      <c r="I346" s="87" t="n"/>
    </row>
    <row r="347">
      <c r="D347" s="87" t="n"/>
      <c r="I347" s="87" t="n"/>
    </row>
    <row r="348">
      <c r="D348" s="87" t="n"/>
      <c r="I348" s="87" t="n"/>
    </row>
    <row r="349">
      <c r="D349" s="87" t="n"/>
      <c r="I349" s="87" t="n"/>
    </row>
    <row r="350">
      <c r="D350" s="87" t="n"/>
      <c r="I350" s="87" t="n"/>
    </row>
    <row r="351">
      <c r="D351" s="87" t="n"/>
      <c r="I351" s="87" t="n"/>
    </row>
    <row r="352">
      <c r="D352" s="87" t="n"/>
      <c r="I352" s="87" t="n"/>
    </row>
    <row r="353">
      <c r="D353" s="87" t="n"/>
      <c r="I353" s="87" t="n"/>
    </row>
    <row r="354">
      <c r="D354" s="87" t="n"/>
      <c r="I354" s="87" t="n"/>
    </row>
    <row r="355">
      <c r="D355" s="87" t="n"/>
      <c r="I355" s="87" t="n"/>
    </row>
    <row r="356">
      <c r="D356" s="87" t="n"/>
      <c r="I356" s="87" t="n"/>
    </row>
    <row r="357">
      <c r="D357" s="87" t="n"/>
      <c r="I357" s="87" t="n"/>
    </row>
    <row r="358">
      <c r="D358" s="87" t="n"/>
      <c r="I358" s="87" t="n"/>
    </row>
    <row r="359">
      <c r="D359" s="87" t="n"/>
      <c r="I359" s="87" t="n"/>
    </row>
    <row r="360">
      <c r="D360" s="87" t="n"/>
      <c r="I360" s="87" t="n"/>
    </row>
    <row r="361">
      <c r="D361" s="87" t="n"/>
      <c r="I361" s="87" t="n"/>
    </row>
    <row r="362">
      <c r="D362" s="87" t="n"/>
      <c r="I362" s="87" t="n"/>
    </row>
    <row r="363">
      <c r="D363" s="87" t="n"/>
      <c r="I363" s="87" t="n"/>
    </row>
    <row r="364">
      <c r="D364" s="87" t="n"/>
      <c r="I364" s="87" t="n"/>
    </row>
    <row r="365">
      <c r="D365" s="87" t="n"/>
      <c r="I365" s="87" t="n"/>
    </row>
    <row r="366">
      <c r="D366" s="87" t="n"/>
      <c r="I366" s="87" t="n"/>
    </row>
    <row r="367">
      <c r="D367" s="87" t="n"/>
      <c r="I367" s="87" t="n"/>
    </row>
    <row r="368">
      <c r="D368" s="87" t="n"/>
      <c r="I368" s="87" t="n"/>
    </row>
    <row r="369">
      <c r="D369" s="87" t="n"/>
      <c r="I369" s="87" t="n"/>
    </row>
    <row r="370">
      <c r="D370" s="87" t="n"/>
      <c r="I370" s="87" t="n"/>
    </row>
    <row r="371">
      <c r="D371" s="87" t="n"/>
      <c r="I371" s="87" t="n"/>
    </row>
    <row r="372">
      <c r="D372" s="87" t="n"/>
      <c r="I372" s="87" t="n"/>
    </row>
    <row r="373">
      <c r="D373" s="87" t="n"/>
      <c r="I373" s="87" t="n"/>
    </row>
    <row r="374">
      <c r="D374" s="87" t="n"/>
      <c r="I374" s="87" t="n"/>
    </row>
    <row r="375">
      <c r="D375" s="87" t="n"/>
      <c r="I375" s="87" t="n"/>
    </row>
    <row r="376">
      <c r="D376" s="87" t="n"/>
      <c r="I376" s="87" t="n"/>
    </row>
    <row r="377">
      <c r="D377" s="87" t="n"/>
      <c r="I377" s="87" t="n"/>
    </row>
    <row r="378">
      <c r="D378" s="87" t="n"/>
      <c r="I378" s="87" t="n"/>
    </row>
    <row r="379">
      <c r="D379" s="87" t="n"/>
      <c r="I379" s="87" t="n"/>
    </row>
    <row r="380">
      <c r="D380" s="87" t="n"/>
      <c r="I380" s="87" t="n"/>
    </row>
    <row r="381">
      <c r="D381" s="87" t="n"/>
      <c r="I381" s="87" t="n"/>
    </row>
    <row r="382">
      <c r="D382" s="87" t="n"/>
      <c r="I382" s="87" t="n"/>
    </row>
    <row r="383">
      <c r="D383" s="87" t="n"/>
      <c r="I383" s="87" t="n"/>
    </row>
    <row r="384">
      <c r="D384" s="87" t="n"/>
      <c r="I384" s="87" t="n"/>
    </row>
    <row r="385">
      <c r="D385" s="87" t="n"/>
      <c r="I385" s="87" t="n"/>
    </row>
    <row r="386">
      <c r="D386" s="87" t="n"/>
      <c r="I386" s="87" t="n"/>
    </row>
    <row r="387">
      <c r="D387" s="87" t="n"/>
      <c r="I387" s="87" t="n"/>
    </row>
    <row r="388">
      <c r="D388" s="87" t="n"/>
      <c r="I388" s="87" t="n"/>
    </row>
    <row r="389">
      <c r="D389" s="87" t="n"/>
      <c r="I389" s="87" t="n"/>
    </row>
    <row r="390">
      <c r="D390" s="87" t="n"/>
      <c r="I390" s="87" t="n"/>
    </row>
    <row r="391">
      <c r="D391" s="87" t="n"/>
      <c r="I391" s="87" t="n"/>
    </row>
    <row r="392">
      <c r="D392" s="87" t="n"/>
      <c r="I392" s="87" t="n"/>
    </row>
    <row r="393">
      <c r="D393" s="87" t="n"/>
      <c r="I393" s="87" t="n"/>
    </row>
    <row r="394">
      <c r="D394" s="87" t="n"/>
      <c r="I394" s="87" t="n"/>
    </row>
    <row r="395">
      <c r="D395" s="87" t="n"/>
      <c r="I395" s="87" t="n"/>
    </row>
    <row r="396">
      <c r="D396" s="87" t="n"/>
      <c r="I396" s="87" t="n"/>
    </row>
    <row r="397">
      <c r="D397" s="87" t="n"/>
      <c r="I397" s="87" t="n"/>
    </row>
    <row r="398">
      <c r="D398" s="87" t="n"/>
      <c r="I398" s="87" t="n"/>
    </row>
    <row r="399">
      <c r="D399" s="87" t="n"/>
      <c r="I399" s="87" t="n"/>
    </row>
    <row r="400">
      <c r="D400" s="87" t="n"/>
      <c r="I400" s="87" t="n"/>
    </row>
    <row r="401">
      <c r="D401" s="87" t="n"/>
      <c r="I401" s="87" t="n"/>
    </row>
    <row r="402">
      <c r="D402" s="87" t="n"/>
      <c r="I402" s="87" t="n"/>
    </row>
    <row r="403">
      <c r="D403" s="87" t="n"/>
      <c r="I403" s="87" t="n"/>
    </row>
    <row r="404">
      <c r="D404" s="87" t="n"/>
      <c r="I404" s="87" t="n"/>
    </row>
    <row r="405">
      <c r="D405" s="87" t="n"/>
      <c r="I405" s="87" t="n"/>
    </row>
    <row r="406">
      <c r="D406" s="87" t="n"/>
      <c r="I406" s="87" t="n"/>
    </row>
    <row r="407">
      <c r="D407" s="87" t="n"/>
      <c r="I407" s="87" t="n"/>
    </row>
    <row r="408">
      <c r="D408" s="87" t="n"/>
      <c r="I408" s="87" t="n"/>
    </row>
    <row r="409">
      <c r="D409" s="87" t="n"/>
      <c r="I409" s="87" t="n"/>
    </row>
    <row r="410">
      <c r="D410" s="87" t="n"/>
      <c r="I410" s="87" t="n"/>
    </row>
    <row r="411">
      <c r="D411" s="87" t="n"/>
      <c r="I411" s="87" t="n"/>
    </row>
    <row r="412">
      <c r="D412" s="87" t="n"/>
      <c r="I412" s="87" t="n"/>
    </row>
    <row r="413">
      <c r="D413" s="87" t="n"/>
      <c r="I413" s="87" t="n"/>
    </row>
    <row r="414">
      <c r="D414" s="87" t="n"/>
      <c r="I414" s="87" t="n"/>
    </row>
    <row r="415">
      <c r="D415" s="87" t="n"/>
      <c r="I415" s="87" t="n"/>
    </row>
    <row r="416">
      <c r="D416" s="87" t="n"/>
      <c r="I416" s="87" t="n"/>
    </row>
    <row r="417">
      <c r="D417" s="87" t="n"/>
      <c r="I417" s="87" t="n"/>
    </row>
    <row r="418">
      <c r="D418" s="87" t="n"/>
      <c r="I418" s="87" t="n"/>
    </row>
    <row r="419">
      <c r="D419" s="87" t="n"/>
      <c r="I419" s="87" t="n"/>
    </row>
    <row r="420">
      <c r="D420" s="87" t="n"/>
      <c r="I420" s="87" t="n"/>
    </row>
    <row r="421">
      <c r="D421" s="87" t="n"/>
      <c r="I421" s="87" t="n"/>
    </row>
    <row r="422">
      <c r="D422" s="87" t="n"/>
      <c r="I422" s="87" t="n"/>
    </row>
    <row r="423">
      <c r="D423" s="87" t="n"/>
      <c r="I423" s="87" t="n"/>
    </row>
    <row r="424">
      <c r="D424" s="87" t="n"/>
      <c r="I424" s="87" t="n"/>
    </row>
    <row r="425">
      <c r="D425" s="87" t="n"/>
      <c r="I425" s="87" t="n"/>
    </row>
    <row r="426">
      <c r="D426" s="87" t="n"/>
      <c r="I426" s="87" t="n"/>
    </row>
    <row r="427">
      <c r="D427" s="87" t="n"/>
      <c r="I427" s="87" t="n"/>
    </row>
    <row r="428">
      <c r="D428" s="87" t="n"/>
      <c r="I428" s="87" t="n"/>
    </row>
    <row r="429">
      <c r="D429" s="87" t="n"/>
      <c r="I429" s="87" t="n"/>
    </row>
    <row r="430">
      <c r="D430" s="87" t="n"/>
      <c r="I430" s="87" t="n"/>
    </row>
    <row r="431">
      <c r="D431" s="87" t="n"/>
      <c r="I431" s="87" t="n"/>
    </row>
    <row r="432">
      <c r="D432" s="87" t="n"/>
      <c r="I432" s="87" t="n"/>
    </row>
    <row r="433">
      <c r="D433" s="87" t="n"/>
      <c r="I433" s="87" t="n"/>
    </row>
    <row r="434">
      <c r="D434" s="87" t="n"/>
      <c r="I434" s="87" t="n"/>
    </row>
    <row r="435">
      <c r="D435" s="87" t="n"/>
      <c r="I435" s="87" t="n"/>
    </row>
    <row r="436">
      <c r="D436" s="87" t="n"/>
      <c r="I436" s="87" t="n"/>
    </row>
    <row r="437">
      <c r="D437" s="87" t="n"/>
      <c r="I437" s="87" t="n"/>
    </row>
    <row r="438">
      <c r="D438" s="87" t="n"/>
      <c r="I438" s="87" t="n"/>
    </row>
    <row r="439">
      <c r="D439" s="87" t="n"/>
      <c r="I439" s="87" t="n"/>
    </row>
    <row r="440">
      <c r="D440" s="87" t="n"/>
      <c r="I440" s="87" t="n"/>
    </row>
    <row r="441">
      <c r="D441" s="87" t="n"/>
      <c r="I441" s="87" t="n"/>
    </row>
    <row r="442">
      <c r="D442" s="87" t="n"/>
      <c r="I442" s="87" t="n"/>
    </row>
    <row r="443">
      <c r="D443" s="87" t="n"/>
      <c r="I443" s="87" t="n"/>
    </row>
    <row r="444">
      <c r="D444" s="87" t="n"/>
      <c r="I444" s="87" t="n"/>
    </row>
    <row r="445">
      <c r="D445" s="87" t="n"/>
      <c r="I445" s="87" t="n"/>
    </row>
    <row r="446">
      <c r="D446" s="87" t="n"/>
      <c r="I446" s="87" t="n"/>
    </row>
    <row r="447">
      <c r="D447" s="87" t="n"/>
      <c r="I447" s="87" t="n"/>
    </row>
    <row r="448">
      <c r="D448" s="87" t="n"/>
      <c r="I448" s="87" t="n"/>
    </row>
    <row r="449">
      <c r="D449" s="87" t="n"/>
      <c r="I449" s="87" t="n"/>
    </row>
    <row r="450">
      <c r="D450" s="87" t="n"/>
      <c r="I450" s="87" t="n"/>
    </row>
    <row r="451">
      <c r="D451" s="87" t="n"/>
      <c r="I451" s="87" t="n"/>
    </row>
    <row r="452">
      <c r="D452" s="87" t="n"/>
      <c r="I452" s="87" t="n"/>
    </row>
    <row r="453">
      <c r="D453" s="87" t="n"/>
      <c r="I453" s="87" t="n"/>
    </row>
    <row r="454">
      <c r="D454" s="87" t="n"/>
      <c r="I454" s="87" t="n"/>
    </row>
    <row r="455">
      <c r="D455" s="87" t="n"/>
      <c r="I455" s="87" t="n"/>
    </row>
    <row r="456">
      <c r="D456" s="87" t="n"/>
      <c r="I456" s="87" t="n"/>
    </row>
    <row r="457">
      <c r="D457" s="87" t="n"/>
      <c r="I457" s="87" t="n"/>
    </row>
    <row r="458">
      <c r="D458" s="87" t="n"/>
      <c r="I458" s="87" t="n"/>
    </row>
    <row r="459">
      <c r="D459" s="87" t="n"/>
      <c r="I459" s="87" t="n"/>
    </row>
    <row r="460">
      <c r="D460" s="87" t="n"/>
      <c r="I460" s="87" t="n"/>
    </row>
    <row r="461">
      <c r="D461" s="87" t="n"/>
      <c r="I461" s="87" t="n"/>
    </row>
    <row r="462">
      <c r="D462" s="87" t="n"/>
      <c r="I462" s="87" t="n"/>
    </row>
    <row r="463">
      <c r="D463" s="87" t="n"/>
      <c r="I463" s="87" t="n"/>
    </row>
    <row r="464">
      <c r="D464" s="87" t="n"/>
      <c r="I464" s="87" t="n"/>
    </row>
    <row r="465">
      <c r="D465" s="87" t="n"/>
      <c r="I465" s="87" t="n"/>
    </row>
    <row r="466">
      <c r="D466" s="87" t="n"/>
      <c r="I466" s="87" t="n"/>
    </row>
    <row r="467">
      <c r="D467" s="87" t="n"/>
      <c r="I467" s="87" t="n"/>
    </row>
    <row r="468">
      <c r="D468" s="87" t="n"/>
      <c r="I468" s="87" t="n"/>
    </row>
    <row r="469">
      <c r="D469" s="87" t="n"/>
      <c r="I469" s="87" t="n"/>
    </row>
    <row r="470">
      <c r="D470" s="87" t="n"/>
      <c r="I470" s="87" t="n"/>
    </row>
    <row r="471">
      <c r="D471" s="87" t="n"/>
      <c r="I471" s="87" t="n"/>
    </row>
    <row r="472">
      <c r="D472" s="87" t="n"/>
      <c r="I472" s="87" t="n"/>
    </row>
    <row r="473">
      <c r="D473" s="87" t="n"/>
      <c r="I473" s="87" t="n"/>
    </row>
    <row r="474">
      <c r="D474" s="87" t="n"/>
      <c r="I474" s="87" t="n"/>
    </row>
    <row r="475">
      <c r="D475" s="87" t="n"/>
      <c r="I475" s="87" t="n"/>
    </row>
    <row r="476">
      <c r="D476" s="87" t="n"/>
      <c r="I476" s="87" t="n"/>
    </row>
    <row r="477">
      <c r="D477" s="87" t="n"/>
      <c r="I477" s="87" t="n"/>
    </row>
    <row r="478">
      <c r="D478" s="87" t="n"/>
      <c r="I478" s="87" t="n"/>
    </row>
    <row r="479">
      <c r="D479" s="87" t="n"/>
      <c r="I479" s="87" t="n"/>
    </row>
    <row r="480">
      <c r="D480" s="87" t="n"/>
      <c r="I480" s="87" t="n"/>
    </row>
    <row r="481">
      <c r="D481" s="87" t="n"/>
      <c r="I481" s="87" t="n"/>
    </row>
    <row r="482">
      <c r="D482" s="87" t="n"/>
      <c r="I482" s="87" t="n"/>
    </row>
    <row r="483">
      <c r="D483" s="87" t="n"/>
      <c r="I483" s="87" t="n"/>
    </row>
    <row r="484">
      <c r="D484" s="87" t="n"/>
      <c r="I484" s="87" t="n"/>
    </row>
    <row r="485">
      <c r="D485" s="87" t="n"/>
      <c r="I485" s="87" t="n"/>
    </row>
    <row r="486">
      <c r="D486" s="87" t="n"/>
      <c r="I486" s="87" t="n"/>
    </row>
    <row r="487">
      <c r="D487" s="87" t="n"/>
      <c r="I487" s="87" t="n"/>
    </row>
    <row r="488">
      <c r="D488" s="87" t="n"/>
      <c r="I488" s="87" t="n"/>
    </row>
    <row r="489">
      <c r="D489" s="87" t="n"/>
      <c r="I489" s="87" t="n"/>
    </row>
    <row r="490">
      <c r="D490" s="87" t="n"/>
      <c r="I490" s="87" t="n"/>
    </row>
    <row r="491">
      <c r="D491" s="87" t="n"/>
      <c r="I491" s="87" t="n"/>
    </row>
    <row r="492">
      <c r="D492" s="87" t="n"/>
      <c r="I492" s="87" t="n"/>
    </row>
    <row r="493">
      <c r="D493" s="87" t="n"/>
      <c r="I493" s="87" t="n"/>
    </row>
    <row r="494">
      <c r="D494" s="87" t="n"/>
      <c r="I494" s="87" t="n"/>
    </row>
    <row r="495">
      <c r="D495" s="87" t="n"/>
      <c r="I495" s="87" t="n"/>
    </row>
    <row r="496">
      <c r="D496" s="87" t="n"/>
      <c r="I496" s="87" t="n"/>
    </row>
    <row r="497">
      <c r="D497" s="87" t="n"/>
      <c r="I497" s="87" t="n"/>
    </row>
    <row r="498">
      <c r="D498" s="87" t="n"/>
      <c r="I498" s="87" t="n"/>
    </row>
    <row r="499">
      <c r="D499" s="87" t="n"/>
      <c r="I499" s="87" t="n"/>
    </row>
    <row r="500">
      <c r="D500" s="87" t="n"/>
      <c r="I500" s="87" t="n"/>
    </row>
    <row r="501">
      <c r="D501" s="87" t="n"/>
      <c r="I501" s="87" t="n"/>
    </row>
    <row r="502">
      <c r="D502" s="87" t="n"/>
      <c r="I502" s="87" t="n"/>
    </row>
    <row r="503">
      <c r="D503" s="87" t="n"/>
      <c r="I503" s="87" t="n"/>
    </row>
    <row r="504">
      <c r="D504" s="87" t="n"/>
      <c r="I504" s="87" t="n"/>
    </row>
    <row r="505">
      <c r="D505" s="87" t="n"/>
      <c r="I505" s="87" t="n"/>
    </row>
    <row r="506">
      <c r="D506" s="87" t="n"/>
      <c r="I506" s="87" t="n"/>
    </row>
    <row r="507">
      <c r="D507" s="87" t="n"/>
      <c r="I507" s="87" t="n"/>
    </row>
    <row r="508">
      <c r="D508" s="87" t="n"/>
      <c r="I508" s="87" t="n"/>
    </row>
    <row r="509">
      <c r="D509" s="87" t="n"/>
      <c r="I509" s="87" t="n"/>
    </row>
    <row r="510">
      <c r="D510" s="87" t="n"/>
      <c r="I510" s="87" t="n"/>
    </row>
    <row r="511">
      <c r="D511" s="87" t="n"/>
      <c r="I511" s="87" t="n"/>
    </row>
    <row r="512">
      <c r="D512" s="87" t="n"/>
      <c r="I512" s="87" t="n"/>
    </row>
    <row r="513">
      <c r="D513" s="87" t="n"/>
      <c r="I513" s="87" t="n"/>
    </row>
    <row r="514">
      <c r="D514" s="87" t="n"/>
      <c r="I514" s="87" t="n"/>
    </row>
    <row r="515">
      <c r="D515" s="87" t="n"/>
      <c r="I515" s="87" t="n"/>
    </row>
    <row r="516">
      <c r="D516" s="87" t="n"/>
      <c r="I516" s="87" t="n"/>
    </row>
    <row r="517">
      <c r="D517" s="87" t="n"/>
      <c r="I517" s="87" t="n"/>
    </row>
    <row r="518">
      <c r="D518" s="87" t="n"/>
      <c r="I518" s="87" t="n"/>
    </row>
    <row r="519">
      <c r="D519" s="87" t="n"/>
      <c r="I519" s="87" t="n"/>
    </row>
    <row r="520">
      <c r="D520" s="87" t="n"/>
      <c r="I520" s="87" t="n"/>
    </row>
    <row r="521">
      <c r="D521" s="87" t="n"/>
      <c r="I521" s="87" t="n"/>
    </row>
    <row r="522">
      <c r="D522" s="87" t="n"/>
      <c r="I522" s="87" t="n"/>
    </row>
    <row r="523">
      <c r="D523" s="87" t="n"/>
      <c r="I523" s="87" t="n"/>
    </row>
    <row r="524">
      <c r="D524" s="87" t="n"/>
      <c r="I524" s="87" t="n"/>
    </row>
    <row r="525">
      <c r="D525" s="87" t="n"/>
      <c r="I525" s="87" t="n"/>
    </row>
    <row r="526">
      <c r="D526" s="87" t="n"/>
      <c r="I526" s="87" t="n"/>
    </row>
    <row r="527">
      <c r="D527" s="87" t="n"/>
      <c r="I527" s="87" t="n"/>
    </row>
    <row r="528">
      <c r="D528" s="87" t="n"/>
      <c r="I528" s="87" t="n"/>
    </row>
    <row r="529">
      <c r="D529" s="87" t="n"/>
      <c r="I529" s="87" t="n"/>
    </row>
    <row r="530">
      <c r="D530" s="87" t="n"/>
      <c r="I530" s="87" t="n"/>
    </row>
    <row r="531">
      <c r="D531" s="87" t="n"/>
      <c r="I531" s="87" t="n"/>
    </row>
    <row r="532">
      <c r="D532" s="87" t="n"/>
      <c r="I532" s="87" t="n"/>
    </row>
    <row r="533">
      <c r="D533" s="87" t="n"/>
      <c r="I533" s="87" t="n"/>
    </row>
    <row r="534">
      <c r="D534" s="87" t="n"/>
      <c r="I534" s="87" t="n"/>
    </row>
    <row r="535">
      <c r="D535" s="87" t="n"/>
      <c r="I535" s="87" t="n"/>
    </row>
    <row r="536">
      <c r="D536" s="87" t="n"/>
      <c r="I536" s="87" t="n"/>
    </row>
    <row r="537">
      <c r="D537" s="87" t="n"/>
      <c r="I537" s="87" t="n"/>
    </row>
    <row r="538">
      <c r="D538" s="87" t="n"/>
      <c r="I538" s="87" t="n"/>
    </row>
    <row r="539">
      <c r="D539" s="87" t="n"/>
      <c r="I539" s="87" t="n"/>
    </row>
    <row r="540">
      <c r="D540" s="87" t="n"/>
      <c r="I540" s="87" t="n"/>
    </row>
    <row r="541">
      <c r="D541" s="87" t="n"/>
      <c r="I541" s="87" t="n"/>
    </row>
    <row r="542">
      <c r="D542" s="87" t="n"/>
      <c r="I542" s="87" t="n"/>
    </row>
    <row r="543">
      <c r="D543" s="87" t="n"/>
      <c r="I543" s="87" t="n"/>
    </row>
    <row r="544">
      <c r="D544" s="87" t="n"/>
      <c r="I544" s="87" t="n"/>
    </row>
    <row r="545">
      <c r="D545" s="87" t="n"/>
      <c r="I545" s="87" t="n"/>
    </row>
    <row r="546">
      <c r="D546" s="87" t="n"/>
      <c r="I546" s="87" t="n"/>
    </row>
    <row r="547">
      <c r="D547" s="87" t="n"/>
      <c r="I547" s="87" t="n"/>
    </row>
    <row r="548">
      <c r="D548" s="87" t="n"/>
      <c r="I548" s="87" t="n"/>
    </row>
    <row r="549">
      <c r="D549" s="87" t="n"/>
      <c r="I549" s="87" t="n"/>
    </row>
    <row r="550">
      <c r="D550" s="87" t="n"/>
      <c r="I550" s="87" t="n"/>
    </row>
    <row r="551">
      <c r="D551" s="87" t="n"/>
      <c r="I551" s="87" t="n"/>
    </row>
    <row r="552">
      <c r="D552" s="87" t="n"/>
      <c r="I552" s="87" t="n"/>
    </row>
    <row r="553">
      <c r="D553" s="87" t="n"/>
      <c r="I553" s="87" t="n"/>
    </row>
    <row r="554">
      <c r="D554" s="87" t="n"/>
      <c r="I554" s="87" t="n"/>
    </row>
    <row r="555">
      <c r="D555" s="87" t="n"/>
      <c r="I555" s="87" t="n"/>
    </row>
    <row r="556">
      <c r="D556" s="87" t="n"/>
      <c r="I556" s="87" t="n"/>
    </row>
    <row r="557">
      <c r="D557" s="87" t="n"/>
      <c r="I557" s="87" t="n"/>
    </row>
    <row r="558">
      <c r="D558" s="87" t="n"/>
      <c r="I558" s="87" t="n"/>
    </row>
    <row r="559">
      <c r="D559" s="87" t="n"/>
      <c r="I559" s="87" t="n"/>
    </row>
    <row r="560">
      <c r="D560" s="87" t="n"/>
      <c r="I560" s="87" t="n"/>
    </row>
    <row r="561">
      <c r="D561" s="87" t="n"/>
      <c r="I561" s="87" t="n"/>
    </row>
    <row r="562">
      <c r="D562" s="87" t="n"/>
      <c r="I562" s="87" t="n"/>
    </row>
    <row r="563">
      <c r="D563" s="87" t="n"/>
      <c r="I563" s="87" t="n"/>
    </row>
    <row r="564">
      <c r="D564" s="87" t="n"/>
      <c r="I564" s="87" t="n"/>
    </row>
    <row r="565">
      <c r="D565" s="87" t="n"/>
      <c r="I565" s="87" t="n"/>
    </row>
    <row r="566">
      <c r="D566" s="87" t="n"/>
      <c r="I566" s="87" t="n"/>
    </row>
    <row r="567">
      <c r="D567" s="87" t="n"/>
      <c r="I567" s="87" t="n"/>
    </row>
    <row r="568">
      <c r="D568" s="87" t="n"/>
      <c r="I568" s="87" t="n"/>
    </row>
    <row r="569">
      <c r="D569" s="87" t="n"/>
      <c r="I569" s="87" t="n"/>
    </row>
    <row r="570">
      <c r="D570" s="87" t="n"/>
      <c r="I570" s="87" t="n"/>
    </row>
    <row r="571">
      <c r="D571" s="87" t="n"/>
      <c r="I571" s="87" t="n"/>
    </row>
    <row r="572">
      <c r="D572" s="87" t="n"/>
      <c r="I572" s="87" t="n"/>
    </row>
    <row r="573">
      <c r="D573" s="87" t="n"/>
      <c r="I573" s="87" t="n"/>
    </row>
    <row r="574">
      <c r="D574" s="87" t="n"/>
      <c r="I574" s="87" t="n"/>
    </row>
    <row r="575">
      <c r="D575" s="87" t="n"/>
      <c r="I575" s="87" t="n"/>
    </row>
    <row r="576">
      <c r="D576" s="87" t="n"/>
      <c r="I576" s="87" t="n"/>
    </row>
    <row r="577">
      <c r="D577" s="87" t="n"/>
      <c r="I577" s="87" t="n"/>
    </row>
    <row r="578">
      <c r="D578" s="87" t="n"/>
      <c r="I578" s="87" t="n"/>
    </row>
    <row r="579">
      <c r="D579" s="87" t="n"/>
      <c r="I579" s="87" t="n"/>
    </row>
    <row r="580">
      <c r="D580" s="87" t="n"/>
      <c r="I580" s="87" t="n"/>
    </row>
    <row r="581">
      <c r="D581" s="87" t="n"/>
      <c r="I581" s="87" t="n"/>
    </row>
    <row r="582">
      <c r="D582" s="87" t="n"/>
      <c r="I582" s="87" t="n"/>
    </row>
    <row r="583">
      <c r="D583" s="87" t="n"/>
      <c r="I583" s="87" t="n"/>
    </row>
    <row r="584">
      <c r="D584" s="87" t="n"/>
      <c r="I584" s="87" t="n"/>
    </row>
    <row r="585">
      <c r="D585" s="87" t="n"/>
      <c r="I585" s="87" t="n"/>
    </row>
    <row r="586">
      <c r="D586" s="87" t="n"/>
      <c r="I586" s="87" t="n"/>
    </row>
    <row r="587">
      <c r="D587" s="87" t="n"/>
      <c r="I587" s="87" t="n"/>
    </row>
    <row r="588">
      <c r="D588" s="87" t="n"/>
      <c r="I588" s="87" t="n"/>
    </row>
    <row r="589">
      <c r="D589" s="87" t="n"/>
      <c r="I589" s="87" t="n"/>
    </row>
    <row r="590">
      <c r="D590" s="87" t="n"/>
      <c r="I590" s="87" t="n"/>
    </row>
    <row r="591">
      <c r="D591" s="87" t="n"/>
      <c r="I591" s="87" t="n"/>
    </row>
    <row r="592">
      <c r="D592" s="87" t="n"/>
      <c r="I592" s="87" t="n"/>
    </row>
    <row r="593">
      <c r="D593" s="87" t="n"/>
      <c r="I593" s="87" t="n"/>
    </row>
    <row r="594">
      <c r="D594" s="87" t="n"/>
      <c r="I594" s="87" t="n"/>
    </row>
    <row r="595">
      <c r="D595" s="87" t="n"/>
      <c r="I595" s="87" t="n"/>
    </row>
    <row r="596">
      <c r="D596" s="87" t="n"/>
      <c r="I596" s="87" t="n"/>
    </row>
    <row r="597">
      <c r="D597" s="87" t="n"/>
      <c r="I597" s="87" t="n"/>
    </row>
    <row r="598">
      <c r="D598" s="87" t="n"/>
      <c r="I598" s="87" t="n"/>
    </row>
    <row r="599">
      <c r="D599" s="87" t="n"/>
      <c r="I599" s="87" t="n"/>
    </row>
    <row r="600">
      <c r="D600" s="87" t="n"/>
      <c r="I600" s="87" t="n"/>
    </row>
    <row r="601">
      <c r="D601" s="87" t="n"/>
      <c r="I601" s="87" t="n"/>
    </row>
    <row r="602">
      <c r="D602" s="87" t="n"/>
      <c r="I602" s="87" t="n"/>
    </row>
    <row r="603">
      <c r="D603" s="87" t="n"/>
      <c r="I603" s="87" t="n"/>
    </row>
    <row r="604">
      <c r="D604" s="87" t="n"/>
      <c r="I604" s="87" t="n"/>
    </row>
    <row r="605">
      <c r="D605" s="87" t="n"/>
      <c r="I605" s="87" t="n"/>
    </row>
    <row r="606">
      <c r="D606" s="87" t="n"/>
      <c r="I606" s="87" t="n"/>
    </row>
    <row r="607">
      <c r="D607" s="87" t="n"/>
      <c r="I607" s="87" t="n"/>
    </row>
    <row r="608">
      <c r="D608" s="87" t="n"/>
      <c r="I608" s="87" t="n"/>
    </row>
    <row r="609">
      <c r="D609" s="87" t="n"/>
      <c r="I609" s="87" t="n"/>
    </row>
    <row r="610">
      <c r="D610" s="87" t="n"/>
      <c r="I610" s="87" t="n"/>
    </row>
    <row r="611">
      <c r="D611" s="87" t="n"/>
      <c r="I611" s="87" t="n"/>
    </row>
    <row r="612">
      <c r="D612" s="87" t="n"/>
      <c r="I612" s="87" t="n"/>
    </row>
    <row r="613">
      <c r="D613" s="87" t="n"/>
      <c r="I613" s="87" t="n"/>
    </row>
    <row r="614">
      <c r="D614" s="87" t="n"/>
      <c r="I614" s="87" t="n"/>
    </row>
    <row r="615">
      <c r="D615" s="87" t="n"/>
      <c r="I615" s="87" t="n"/>
    </row>
    <row r="616">
      <c r="D616" s="87" t="n"/>
      <c r="I616" s="87" t="n"/>
    </row>
    <row r="617">
      <c r="D617" s="87" t="n"/>
      <c r="I617" s="87" t="n"/>
    </row>
    <row r="618">
      <c r="D618" s="87" t="n"/>
      <c r="I618" s="87" t="n"/>
    </row>
    <row r="619">
      <c r="D619" s="87" t="n"/>
      <c r="I619" s="87" t="n"/>
    </row>
    <row r="620">
      <c r="D620" s="87" t="n"/>
      <c r="I620" s="87" t="n"/>
    </row>
    <row r="621">
      <c r="D621" s="87" t="n"/>
      <c r="I621" s="87" t="n"/>
    </row>
    <row r="622">
      <c r="D622" s="87" t="n"/>
      <c r="I622" s="87" t="n"/>
    </row>
    <row r="623">
      <c r="D623" s="87" t="n"/>
      <c r="I623" s="87" t="n"/>
    </row>
    <row r="624">
      <c r="D624" s="87" t="n"/>
      <c r="I624" s="87" t="n"/>
    </row>
    <row r="625">
      <c r="D625" s="87" t="n"/>
      <c r="I625" s="87" t="n"/>
    </row>
    <row r="626">
      <c r="D626" s="87" t="n"/>
      <c r="I626" s="87" t="n"/>
    </row>
    <row r="627">
      <c r="D627" s="87" t="n"/>
      <c r="I627" s="87" t="n"/>
    </row>
    <row r="628">
      <c r="D628" s="87" t="n"/>
      <c r="I628" s="87" t="n"/>
    </row>
    <row r="629">
      <c r="D629" s="87" t="n"/>
      <c r="I629" s="87" t="n"/>
    </row>
    <row r="630">
      <c r="D630" s="87" t="n"/>
      <c r="I630" s="87" t="n"/>
    </row>
    <row r="631">
      <c r="D631" s="87" t="n"/>
      <c r="I631" s="87" t="n"/>
    </row>
    <row r="632">
      <c r="D632" s="87" t="n"/>
      <c r="I632" s="87" t="n"/>
    </row>
    <row r="633">
      <c r="D633" s="87" t="n"/>
      <c r="I633" s="87" t="n"/>
    </row>
    <row r="634">
      <c r="D634" s="87" t="n"/>
      <c r="I634" s="87" t="n"/>
    </row>
    <row r="635">
      <c r="D635" s="87" t="n"/>
      <c r="I635" s="87" t="n"/>
    </row>
    <row r="636">
      <c r="D636" s="87" t="n"/>
      <c r="I636" s="87" t="n"/>
    </row>
    <row r="637">
      <c r="D637" s="87" t="n"/>
      <c r="I637" s="87" t="n"/>
    </row>
    <row r="638">
      <c r="D638" s="87" t="n"/>
      <c r="I638" s="87" t="n"/>
    </row>
    <row r="639">
      <c r="D639" s="87" t="n"/>
      <c r="I639" s="87" t="n"/>
    </row>
    <row r="640">
      <c r="D640" s="87" t="n"/>
      <c r="I640" s="87" t="n"/>
    </row>
    <row r="641">
      <c r="D641" s="87" t="n"/>
      <c r="I641" s="87" t="n"/>
    </row>
    <row r="642">
      <c r="D642" s="87" t="n"/>
      <c r="I642" s="87" t="n"/>
    </row>
    <row r="643">
      <c r="D643" s="87" t="n"/>
      <c r="I643" s="87" t="n"/>
    </row>
    <row r="644">
      <c r="D644" s="87" t="n"/>
      <c r="I644" s="87" t="n"/>
    </row>
    <row r="645">
      <c r="D645" s="87" t="n"/>
      <c r="I645" s="87" t="n"/>
    </row>
    <row r="646">
      <c r="D646" s="87" t="n"/>
      <c r="I646" s="87" t="n"/>
    </row>
    <row r="647">
      <c r="D647" s="87" t="n"/>
      <c r="I647" s="87" t="n"/>
    </row>
    <row r="648">
      <c r="D648" s="87" t="n"/>
      <c r="I648" s="87" t="n"/>
    </row>
    <row r="649">
      <c r="D649" s="87" t="n"/>
      <c r="I649" s="87" t="n"/>
    </row>
    <row r="650">
      <c r="D650" s="87" t="n"/>
      <c r="I650" s="87" t="n"/>
    </row>
    <row r="651">
      <c r="D651" s="87" t="n"/>
      <c r="I651" s="87" t="n"/>
    </row>
    <row r="652">
      <c r="D652" s="87" t="n"/>
      <c r="I652" s="87" t="n"/>
    </row>
    <row r="653">
      <c r="D653" s="87" t="n"/>
      <c r="I653" s="87" t="n"/>
    </row>
    <row r="654">
      <c r="D654" s="87" t="n"/>
      <c r="I654" s="87" t="n"/>
    </row>
    <row r="655">
      <c r="D655" s="87" t="n"/>
      <c r="I655" s="87" t="n"/>
    </row>
    <row r="656">
      <c r="D656" s="87" t="n"/>
      <c r="I656" s="87" t="n"/>
    </row>
    <row r="657">
      <c r="D657" s="87" t="n"/>
      <c r="I657" s="87" t="n"/>
    </row>
    <row r="658">
      <c r="D658" s="87" t="n"/>
      <c r="I658" s="87" t="n"/>
    </row>
    <row r="659">
      <c r="D659" s="87" t="n"/>
      <c r="I659" s="87" t="n"/>
    </row>
    <row r="660">
      <c r="D660" s="87" t="n"/>
      <c r="I660" s="87" t="n"/>
    </row>
    <row r="661">
      <c r="D661" s="87" t="n"/>
      <c r="I661" s="87" t="n"/>
    </row>
    <row r="662">
      <c r="D662" s="87" t="n"/>
      <c r="I662" s="87" t="n"/>
    </row>
    <row r="663">
      <c r="D663" s="87" t="n"/>
      <c r="I663" s="87" t="n"/>
    </row>
    <row r="664">
      <c r="D664" s="87" t="n"/>
      <c r="I664" s="87" t="n"/>
    </row>
    <row r="665">
      <c r="D665" s="87" t="n"/>
      <c r="I665" s="87" t="n"/>
    </row>
    <row r="666">
      <c r="D666" s="87" t="n"/>
      <c r="I666" s="87" t="n"/>
    </row>
    <row r="667">
      <c r="D667" s="87" t="n"/>
      <c r="I667" s="87" t="n"/>
    </row>
    <row r="668">
      <c r="D668" s="87" t="n"/>
      <c r="I668" s="87" t="n"/>
    </row>
    <row r="669">
      <c r="D669" s="87" t="n"/>
      <c r="I669" s="87" t="n"/>
    </row>
    <row r="670">
      <c r="D670" s="87" t="n"/>
      <c r="I670" s="87" t="n"/>
    </row>
    <row r="671">
      <c r="D671" s="87" t="n"/>
      <c r="I671" s="87" t="n"/>
    </row>
    <row r="672">
      <c r="D672" s="87" t="n"/>
      <c r="I672" s="87" t="n"/>
    </row>
    <row r="673">
      <c r="D673" s="87" t="n"/>
      <c r="I673" s="87" t="n"/>
    </row>
    <row r="674">
      <c r="D674" s="87" t="n"/>
      <c r="I674" s="87" t="n"/>
    </row>
    <row r="675">
      <c r="D675" s="87" t="n"/>
      <c r="I675" s="87" t="n"/>
    </row>
    <row r="676">
      <c r="D676" s="87" t="n"/>
      <c r="I676" s="87" t="n"/>
    </row>
    <row r="677">
      <c r="D677" s="87" t="n"/>
      <c r="I677" s="87" t="n"/>
    </row>
    <row r="678">
      <c r="D678" s="87" t="n"/>
      <c r="I678" s="87" t="n"/>
    </row>
    <row r="679">
      <c r="D679" s="87" t="n"/>
      <c r="I679" s="87" t="n"/>
    </row>
    <row r="680">
      <c r="D680" s="87" t="n"/>
      <c r="I680" s="87" t="n"/>
    </row>
    <row r="681">
      <c r="D681" s="87" t="n"/>
      <c r="I681" s="87" t="n"/>
    </row>
    <row r="682">
      <c r="D682" s="87" t="n"/>
      <c r="I682" s="87" t="n"/>
    </row>
    <row r="683">
      <c r="D683" s="87" t="n"/>
      <c r="I683" s="87" t="n"/>
    </row>
    <row r="684">
      <c r="D684" s="87" t="n"/>
      <c r="I684" s="87" t="n"/>
    </row>
    <row r="685">
      <c r="D685" s="87" t="n"/>
      <c r="I685" s="87" t="n"/>
    </row>
    <row r="686">
      <c r="D686" s="87" t="n"/>
      <c r="I686" s="87" t="n"/>
    </row>
    <row r="687">
      <c r="D687" s="87" t="n"/>
      <c r="I687" s="87" t="n"/>
    </row>
    <row r="688">
      <c r="D688" s="87" t="n"/>
      <c r="I688" s="87" t="n"/>
    </row>
    <row r="689">
      <c r="D689" s="87" t="n"/>
      <c r="I689" s="87" t="n"/>
    </row>
    <row r="690">
      <c r="D690" s="87" t="n"/>
      <c r="I690" s="87" t="n"/>
    </row>
    <row r="691">
      <c r="D691" s="87" t="n"/>
      <c r="I691" s="87" t="n"/>
    </row>
    <row r="692">
      <c r="D692" s="87" t="n"/>
      <c r="I692" s="87" t="n"/>
    </row>
    <row r="693">
      <c r="D693" s="87" t="n"/>
      <c r="I693" s="87" t="n"/>
    </row>
    <row r="694">
      <c r="D694" s="87" t="n"/>
      <c r="I694" s="87" t="n"/>
    </row>
    <row r="695">
      <c r="D695" s="87" t="n"/>
      <c r="I695" s="87" t="n"/>
    </row>
    <row r="696">
      <c r="D696" s="87" t="n"/>
      <c r="I696" s="87" t="n"/>
    </row>
    <row r="697">
      <c r="D697" s="87" t="n"/>
      <c r="I697" s="87" t="n"/>
    </row>
    <row r="698">
      <c r="D698" s="87" t="n"/>
      <c r="I698" s="87" t="n"/>
    </row>
    <row r="699">
      <c r="D699" s="87" t="n"/>
      <c r="I699" s="87" t="n"/>
    </row>
    <row r="700">
      <c r="D700" s="87" t="n"/>
      <c r="I700" s="87" t="n"/>
    </row>
    <row r="701">
      <c r="D701" s="87" t="n"/>
      <c r="I701" s="87" t="n"/>
    </row>
    <row r="702">
      <c r="D702" s="87" t="n"/>
      <c r="I702" s="87" t="n"/>
    </row>
    <row r="703">
      <c r="D703" s="87" t="n"/>
      <c r="I703" s="87" t="n"/>
    </row>
    <row r="704">
      <c r="D704" s="87" t="n"/>
      <c r="I704" s="87" t="n"/>
    </row>
    <row r="705">
      <c r="D705" s="87" t="n"/>
      <c r="I705" s="87" t="n"/>
    </row>
    <row r="706">
      <c r="D706" s="87" t="n"/>
      <c r="I706" s="87" t="n"/>
    </row>
    <row r="707">
      <c r="D707" s="87" t="n"/>
      <c r="I707" s="87" t="n"/>
    </row>
    <row r="708">
      <c r="D708" s="87" t="n"/>
      <c r="I708" s="87" t="n"/>
    </row>
    <row r="709">
      <c r="D709" s="87" t="n"/>
      <c r="I709" s="87" t="n"/>
    </row>
    <row r="710">
      <c r="D710" s="87" t="n"/>
      <c r="I710" s="87" t="n"/>
    </row>
    <row r="711">
      <c r="D711" s="87" t="n"/>
      <c r="I711" s="87" t="n"/>
    </row>
    <row r="712">
      <c r="D712" s="87" t="n"/>
      <c r="I712" s="87" t="n"/>
    </row>
    <row r="713">
      <c r="D713" s="87" t="n"/>
      <c r="I713" s="87" t="n"/>
    </row>
    <row r="714">
      <c r="D714" s="87" t="n"/>
      <c r="I714" s="87" t="n"/>
    </row>
    <row r="715">
      <c r="D715" s="87" t="n"/>
      <c r="I715" s="87" t="n"/>
    </row>
    <row r="716">
      <c r="D716" s="87" t="n"/>
      <c r="I716" s="87" t="n"/>
    </row>
    <row r="717">
      <c r="D717" s="87" t="n"/>
      <c r="I717" s="87" t="n"/>
    </row>
    <row r="718">
      <c r="D718" s="87" t="n"/>
      <c r="I718" s="87" t="n"/>
    </row>
    <row r="719">
      <c r="D719" s="87" t="n"/>
      <c r="I719" s="87" t="n"/>
    </row>
    <row r="720">
      <c r="D720" s="87" t="n"/>
      <c r="I720" s="87" t="n"/>
    </row>
    <row r="721">
      <c r="D721" s="87" t="n"/>
      <c r="I721" s="87" t="n"/>
    </row>
    <row r="722">
      <c r="D722" s="87" t="n"/>
      <c r="I722" s="87" t="n"/>
    </row>
    <row r="723">
      <c r="D723" s="87" t="n"/>
      <c r="I723" s="87" t="n"/>
    </row>
    <row r="724">
      <c r="D724" s="87" t="n"/>
      <c r="I724" s="87" t="n"/>
    </row>
    <row r="725">
      <c r="D725" s="87" t="n"/>
      <c r="I725" s="87" t="n"/>
    </row>
    <row r="726">
      <c r="D726" s="87" t="n"/>
      <c r="I726" s="87" t="n"/>
    </row>
    <row r="727">
      <c r="D727" s="87" t="n"/>
      <c r="I727" s="87" t="n"/>
    </row>
    <row r="728">
      <c r="D728" s="87" t="n"/>
      <c r="I728" s="87" t="n"/>
    </row>
    <row r="729">
      <c r="D729" s="87" t="n"/>
      <c r="I729" s="87" t="n"/>
    </row>
    <row r="730">
      <c r="D730" s="87" t="n"/>
      <c r="I730" s="87" t="n"/>
    </row>
    <row r="731">
      <c r="D731" s="87" t="n"/>
      <c r="I731" s="87" t="n"/>
    </row>
    <row r="732">
      <c r="D732" s="87" t="n"/>
      <c r="I732" s="87" t="n"/>
    </row>
    <row r="733">
      <c r="D733" s="87" t="n"/>
      <c r="I733" s="87" t="n"/>
    </row>
    <row r="734">
      <c r="D734" s="87" t="n"/>
      <c r="I734" s="87" t="n"/>
    </row>
    <row r="735">
      <c r="D735" s="87" t="n"/>
      <c r="I735" s="87" t="n"/>
    </row>
    <row r="736">
      <c r="D736" s="87" t="n"/>
      <c r="I736" s="87" t="n"/>
    </row>
    <row r="737">
      <c r="D737" s="87" t="n"/>
      <c r="I737" s="87" t="n"/>
    </row>
    <row r="738">
      <c r="D738" s="87" t="n"/>
      <c r="I738" s="87" t="n"/>
    </row>
    <row r="739">
      <c r="D739" s="87" t="n"/>
      <c r="I739" s="87" t="n"/>
    </row>
    <row r="740">
      <c r="D740" s="87" t="n"/>
      <c r="I740" s="87" t="n"/>
    </row>
    <row r="741">
      <c r="D741" s="87" t="n"/>
      <c r="I741" s="87" t="n"/>
    </row>
    <row r="742">
      <c r="D742" s="87" t="n"/>
      <c r="I742" s="87" t="n"/>
    </row>
    <row r="743">
      <c r="D743" s="87" t="n"/>
      <c r="I743" s="87" t="n"/>
    </row>
    <row r="744">
      <c r="D744" s="87" t="n"/>
      <c r="I744" s="87" t="n"/>
    </row>
    <row r="745">
      <c r="D745" s="87" t="n"/>
      <c r="I745" s="87" t="n"/>
    </row>
    <row r="746">
      <c r="D746" s="87" t="n"/>
      <c r="I746" s="87" t="n"/>
    </row>
    <row r="747">
      <c r="D747" s="87" t="n"/>
      <c r="I747" s="87" t="n"/>
    </row>
    <row r="748">
      <c r="D748" s="87" t="n"/>
      <c r="I748" s="87" t="n"/>
    </row>
    <row r="749">
      <c r="D749" s="87" t="n"/>
      <c r="I749" s="87" t="n"/>
    </row>
    <row r="750">
      <c r="D750" s="87" t="n"/>
      <c r="I750" s="87" t="n"/>
    </row>
    <row r="751">
      <c r="D751" s="87" t="n"/>
      <c r="I751" s="87" t="n"/>
    </row>
    <row r="752">
      <c r="D752" s="87" t="n"/>
      <c r="I752" s="87" t="n"/>
    </row>
    <row r="753">
      <c r="D753" s="87" t="n"/>
      <c r="I753" s="87" t="n"/>
    </row>
    <row r="754">
      <c r="D754" s="87" t="n"/>
      <c r="I754" s="87" t="n"/>
    </row>
    <row r="755">
      <c r="D755" s="87" t="n"/>
      <c r="I755" s="87" t="n"/>
    </row>
    <row r="756">
      <c r="D756" s="87" t="n"/>
      <c r="I756" s="87" t="n"/>
    </row>
    <row r="757">
      <c r="D757" s="87" t="n"/>
      <c r="I757" s="87" t="n"/>
    </row>
    <row r="758">
      <c r="D758" s="87" t="n"/>
      <c r="I758" s="87" t="n"/>
    </row>
    <row r="759">
      <c r="D759" s="87" t="n"/>
      <c r="I759" s="87" t="n"/>
    </row>
    <row r="760">
      <c r="D760" s="87" t="n"/>
      <c r="I760" s="87" t="n"/>
    </row>
    <row r="761">
      <c r="D761" s="87" t="n"/>
      <c r="I761" s="87" t="n"/>
    </row>
    <row r="762">
      <c r="D762" s="87" t="n"/>
      <c r="I762" s="87" t="n"/>
    </row>
    <row r="763">
      <c r="D763" s="87" t="n"/>
      <c r="I763" s="87" t="n"/>
    </row>
    <row r="764">
      <c r="D764" s="87" t="n"/>
      <c r="I764" s="87" t="n"/>
    </row>
    <row r="765">
      <c r="D765" s="87" t="n"/>
      <c r="I765" s="87" t="n"/>
    </row>
    <row r="766">
      <c r="D766" s="87" t="n"/>
      <c r="I766" s="87" t="n"/>
    </row>
    <row r="767">
      <c r="D767" s="87" t="n"/>
      <c r="I767" s="87" t="n"/>
    </row>
    <row r="768">
      <c r="D768" s="87" t="n"/>
      <c r="I768" s="87" t="n"/>
    </row>
    <row r="769">
      <c r="D769" s="87" t="n"/>
      <c r="I769" s="87" t="n"/>
    </row>
    <row r="770">
      <c r="D770" s="87" t="n"/>
      <c r="I770" s="87" t="n"/>
    </row>
    <row r="771">
      <c r="D771" s="87" t="n"/>
      <c r="I771" s="87" t="n"/>
    </row>
    <row r="772">
      <c r="D772" s="87" t="n"/>
      <c r="I772" s="87" t="n"/>
    </row>
    <row r="773">
      <c r="D773" s="87" t="n"/>
      <c r="I773" s="87" t="n"/>
    </row>
    <row r="774">
      <c r="D774" s="87" t="n"/>
      <c r="I774" s="87" t="n"/>
    </row>
    <row r="775">
      <c r="D775" s="87" t="n"/>
      <c r="I775" s="87" t="n"/>
    </row>
    <row r="776">
      <c r="D776" s="87" t="n"/>
      <c r="I776" s="87" t="n"/>
    </row>
    <row r="777">
      <c r="D777" s="87" t="n"/>
      <c r="I777" s="87" t="n"/>
    </row>
    <row r="778">
      <c r="D778" s="87" t="n"/>
      <c r="I778" s="87" t="n"/>
    </row>
    <row r="779">
      <c r="D779" s="87" t="n"/>
      <c r="I779" s="87" t="n"/>
    </row>
    <row r="780">
      <c r="D780" s="87" t="n"/>
      <c r="I780" s="87" t="n"/>
    </row>
    <row r="781">
      <c r="D781" s="87" t="n"/>
      <c r="I781" s="87" t="n"/>
    </row>
    <row r="782">
      <c r="D782" s="87" t="n"/>
      <c r="I782" s="87" t="n"/>
    </row>
    <row r="783">
      <c r="D783" s="87" t="n"/>
      <c r="I783" s="87" t="n"/>
    </row>
    <row r="784">
      <c r="D784" s="87" t="n"/>
      <c r="I784" s="87" t="n"/>
    </row>
    <row r="785">
      <c r="D785" s="87" t="n"/>
      <c r="I785" s="87" t="n"/>
    </row>
    <row r="786">
      <c r="D786" s="87" t="n"/>
      <c r="I786" s="87" t="n"/>
    </row>
    <row r="787">
      <c r="D787" s="87" t="n"/>
      <c r="I787" s="87" t="n"/>
    </row>
    <row r="788">
      <c r="D788" s="87" t="n"/>
      <c r="I788" s="87" t="n"/>
    </row>
    <row r="789">
      <c r="D789" s="87" t="n"/>
      <c r="I789" s="87" t="n"/>
    </row>
    <row r="790">
      <c r="D790" s="87" t="n"/>
      <c r="I790" s="87" t="n"/>
    </row>
    <row r="791">
      <c r="D791" s="87" t="n"/>
      <c r="I791" s="87" t="n"/>
    </row>
    <row r="792">
      <c r="D792" s="87" t="n"/>
      <c r="I792" s="87" t="n"/>
    </row>
    <row r="793">
      <c r="D793" s="87" t="n"/>
      <c r="I793" s="87" t="n"/>
    </row>
    <row r="794">
      <c r="D794" s="87" t="n"/>
      <c r="I794" s="87" t="n"/>
    </row>
    <row r="795">
      <c r="D795" s="87" t="n"/>
      <c r="I795" s="87" t="n"/>
    </row>
    <row r="796">
      <c r="D796" s="87" t="n"/>
      <c r="I796" s="87" t="n"/>
    </row>
    <row r="797">
      <c r="D797" s="87" t="n"/>
      <c r="I797" s="87" t="n"/>
    </row>
    <row r="798">
      <c r="D798" s="87" t="n"/>
      <c r="I798" s="87" t="n"/>
    </row>
    <row r="799">
      <c r="D799" s="87" t="n"/>
      <c r="I799" s="87" t="n"/>
    </row>
    <row r="800">
      <c r="D800" s="87" t="n"/>
      <c r="I800" s="87" t="n"/>
    </row>
    <row r="801">
      <c r="D801" s="87" t="n"/>
      <c r="I801" s="87" t="n"/>
    </row>
    <row r="802">
      <c r="D802" s="87" t="n"/>
      <c r="I802" s="87" t="n"/>
    </row>
    <row r="803">
      <c r="D803" s="87" t="n"/>
      <c r="I803" s="87" t="n"/>
    </row>
    <row r="804">
      <c r="D804" s="87" t="n"/>
      <c r="I804" s="87" t="n"/>
    </row>
    <row r="805">
      <c r="D805" s="87" t="n"/>
      <c r="I805" s="87" t="n"/>
    </row>
    <row r="806">
      <c r="D806" s="87" t="n"/>
      <c r="I806" s="87" t="n"/>
    </row>
    <row r="807">
      <c r="D807" s="87" t="n"/>
      <c r="I807" s="87" t="n"/>
    </row>
    <row r="808">
      <c r="D808" s="87" t="n"/>
      <c r="I808" s="87" t="n"/>
    </row>
    <row r="809">
      <c r="D809" s="87" t="n"/>
      <c r="I809" s="87" t="n"/>
    </row>
    <row r="810">
      <c r="D810" s="87" t="n"/>
      <c r="I810" s="87" t="n"/>
    </row>
    <row r="811">
      <c r="D811" s="87" t="n"/>
      <c r="I811" s="87" t="n"/>
    </row>
    <row r="812">
      <c r="D812" s="87" t="n"/>
      <c r="I812" s="87" t="n"/>
    </row>
    <row r="813">
      <c r="D813" s="87" t="n"/>
      <c r="I813" s="87" t="n"/>
    </row>
    <row r="814">
      <c r="D814" s="87" t="n"/>
      <c r="I814" s="87" t="n"/>
    </row>
    <row r="815">
      <c r="D815" s="87" t="n"/>
      <c r="I815" s="87" t="n"/>
    </row>
    <row r="816">
      <c r="D816" s="87" t="n"/>
      <c r="I816" s="87" t="n"/>
    </row>
    <row r="817">
      <c r="D817" s="87" t="n"/>
      <c r="I817" s="87" t="n"/>
    </row>
    <row r="818">
      <c r="D818" s="87" t="n"/>
      <c r="I818" s="87" t="n"/>
    </row>
    <row r="819">
      <c r="D819" s="87" t="n"/>
      <c r="I819" s="87" t="n"/>
    </row>
    <row r="820">
      <c r="D820" s="87" t="n"/>
      <c r="I820" s="87" t="n"/>
    </row>
    <row r="821">
      <c r="D821" s="87" t="n"/>
      <c r="I821" s="87" t="n"/>
    </row>
    <row r="822">
      <c r="D822" s="87" t="n"/>
      <c r="I822" s="87" t="n"/>
    </row>
    <row r="823">
      <c r="D823" s="87" t="n"/>
      <c r="I823" s="87" t="n"/>
    </row>
    <row r="824">
      <c r="D824" s="87" t="n"/>
      <c r="I824" s="87" t="n"/>
    </row>
    <row r="825">
      <c r="D825" s="87" t="n"/>
      <c r="I825" s="87" t="n"/>
    </row>
    <row r="826">
      <c r="D826" s="87" t="n"/>
      <c r="I826" s="87" t="n"/>
    </row>
    <row r="827">
      <c r="D827" s="87" t="n"/>
      <c r="I827" s="87" t="n"/>
    </row>
    <row r="828">
      <c r="D828" s="87" t="n"/>
      <c r="I828" s="87" t="n"/>
    </row>
    <row r="829">
      <c r="D829" s="87" t="n"/>
      <c r="I829" s="87" t="n"/>
    </row>
    <row r="830">
      <c r="D830" s="87" t="n"/>
      <c r="I830" s="87" t="n"/>
    </row>
    <row r="831">
      <c r="D831" s="87" t="n"/>
      <c r="I831" s="87" t="n"/>
    </row>
    <row r="832">
      <c r="D832" s="87" t="n"/>
      <c r="I832" s="87" t="n"/>
    </row>
    <row r="833">
      <c r="D833" s="87" t="n"/>
      <c r="I833" s="87" t="n"/>
    </row>
    <row r="834">
      <c r="D834" s="87" t="n"/>
      <c r="I834" s="87" t="n"/>
    </row>
    <row r="835">
      <c r="D835" s="87" t="n"/>
      <c r="I835" s="87" t="n"/>
    </row>
    <row r="836">
      <c r="D836" s="87" t="n"/>
      <c r="I836" s="87" t="n"/>
    </row>
    <row r="837">
      <c r="D837" s="87" t="n"/>
      <c r="I837" s="87" t="n"/>
    </row>
    <row r="838">
      <c r="D838" s="87" t="n"/>
      <c r="I838" s="87" t="n"/>
    </row>
    <row r="839">
      <c r="D839" s="87" t="n"/>
      <c r="I839" s="87" t="n"/>
    </row>
    <row r="840">
      <c r="D840" s="87" t="n"/>
      <c r="I840" s="87" t="n"/>
    </row>
    <row r="841">
      <c r="D841" s="87" t="n"/>
      <c r="I841" s="87" t="n"/>
    </row>
    <row r="842">
      <c r="D842" s="87" t="n"/>
      <c r="I842" s="87" t="n"/>
    </row>
    <row r="843">
      <c r="D843" s="87" t="n"/>
      <c r="I843" s="87" t="n"/>
    </row>
    <row r="844">
      <c r="D844" s="87" t="n"/>
      <c r="I844" s="87" t="n"/>
    </row>
    <row r="845">
      <c r="D845" s="87" t="n"/>
      <c r="I845" s="87" t="n"/>
    </row>
    <row r="846">
      <c r="D846" s="87" t="n"/>
      <c r="I846" s="87" t="n"/>
    </row>
    <row r="847">
      <c r="D847" s="87" t="n"/>
      <c r="I847" s="87" t="n"/>
    </row>
    <row r="848">
      <c r="D848" s="87" t="n"/>
      <c r="I848" s="87" t="n"/>
    </row>
    <row r="849">
      <c r="D849" s="87" t="n"/>
      <c r="I849" s="87" t="n"/>
    </row>
    <row r="850">
      <c r="D850" s="87" t="n"/>
      <c r="I850" s="87" t="n"/>
    </row>
    <row r="851">
      <c r="D851" s="87" t="n"/>
      <c r="I851" s="87" t="n"/>
    </row>
    <row r="852">
      <c r="D852" s="87" t="n"/>
      <c r="I852" s="87" t="n"/>
    </row>
    <row r="853">
      <c r="D853" s="87" t="n"/>
      <c r="I853" s="87" t="n"/>
    </row>
    <row r="854">
      <c r="D854" s="87" t="n"/>
      <c r="I854" s="87" t="n"/>
    </row>
    <row r="855">
      <c r="D855" s="87" t="n"/>
      <c r="I855" s="87" t="n"/>
    </row>
    <row r="856">
      <c r="D856" s="87" t="n"/>
      <c r="I856" s="87" t="n"/>
    </row>
    <row r="857">
      <c r="D857" s="87" t="n"/>
      <c r="I857" s="87" t="n"/>
    </row>
    <row r="858">
      <c r="D858" s="87" t="n"/>
      <c r="I858" s="87" t="n"/>
    </row>
    <row r="859">
      <c r="D859" s="87" t="n"/>
      <c r="I859" s="87" t="n"/>
    </row>
    <row r="860">
      <c r="D860" s="87" t="n"/>
      <c r="I860" s="87" t="n"/>
    </row>
    <row r="861">
      <c r="D861" s="87" t="n"/>
      <c r="I861" s="87" t="n"/>
    </row>
    <row r="862">
      <c r="D862" s="87" t="n"/>
      <c r="I862" s="87" t="n"/>
    </row>
    <row r="863">
      <c r="D863" s="87" t="n"/>
      <c r="I863" s="87" t="n"/>
    </row>
    <row r="864">
      <c r="D864" s="87" t="n"/>
      <c r="I864" s="87" t="n"/>
    </row>
    <row r="865">
      <c r="D865" s="87" t="n"/>
      <c r="I865" s="87" t="n"/>
    </row>
    <row r="866">
      <c r="D866" s="87" t="n"/>
      <c r="I866" s="87" t="n"/>
    </row>
    <row r="867">
      <c r="D867" s="87" t="n"/>
      <c r="I867" s="87" t="n"/>
    </row>
    <row r="868">
      <c r="D868" s="87" t="n"/>
      <c r="I868" s="87" t="n"/>
    </row>
    <row r="869">
      <c r="D869" s="87" t="n"/>
      <c r="I869" s="87" t="n"/>
    </row>
    <row r="870">
      <c r="D870" s="87" t="n"/>
      <c r="I870" s="87" t="n"/>
    </row>
    <row r="871">
      <c r="D871" s="87" t="n"/>
      <c r="I871" s="87" t="n"/>
    </row>
    <row r="872">
      <c r="D872" s="87" t="n"/>
      <c r="I872" s="87" t="n"/>
    </row>
    <row r="873">
      <c r="D873" s="87" t="n"/>
      <c r="I873" s="87" t="n"/>
    </row>
    <row r="874">
      <c r="D874" s="87" t="n"/>
      <c r="I874" s="87" t="n"/>
    </row>
    <row r="875">
      <c r="D875" s="87" t="n"/>
      <c r="I875" s="87" t="n"/>
    </row>
    <row r="876">
      <c r="D876" s="87" t="n"/>
      <c r="I876" s="87" t="n"/>
    </row>
    <row r="877">
      <c r="D877" s="87" t="n"/>
      <c r="I877" s="87" t="n"/>
    </row>
    <row r="878">
      <c r="D878" s="87" t="n"/>
      <c r="I878" s="87" t="n"/>
    </row>
    <row r="879">
      <c r="D879" s="87" t="n"/>
      <c r="I879" s="87" t="n"/>
    </row>
    <row r="880">
      <c r="D880" s="87" t="n"/>
      <c r="I880" s="87" t="n"/>
    </row>
    <row r="881">
      <c r="D881" s="87" t="n"/>
      <c r="I881" s="87" t="n"/>
    </row>
    <row r="882">
      <c r="D882" s="87" t="n"/>
      <c r="I882" s="87" t="n"/>
    </row>
    <row r="883">
      <c r="D883" s="87" t="n"/>
      <c r="I883" s="87" t="n"/>
    </row>
    <row r="884">
      <c r="D884" s="87" t="n"/>
      <c r="I884" s="87" t="n"/>
    </row>
    <row r="885">
      <c r="D885" s="87" t="n"/>
      <c r="I885" s="87" t="n"/>
    </row>
    <row r="886">
      <c r="D886" s="87" t="n"/>
      <c r="I886" s="87" t="n"/>
    </row>
    <row r="887">
      <c r="D887" s="87" t="n"/>
      <c r="I887" s="87" t="n"/>
    </row>
    <row r="888">
      <c r="D888" s="87" t="n"/>
      <c r="I888" s="87" t="n"/>
    </row>
    <row r="889">
      <c r="D889" s="87" t="n"/>
      <c r="I889" s="87" t="n"/>
    </row>
    <row r="890">
      <c r="D890" s="87" t="n"/>
      <c r="I890" s="87" t="n"/>
    </row>
    <row r="891">
      <c r="D891" s="87" t="n"/>
      <c r="I891" s="87" t="n"/>
    </row>
    <row r="892">
      <c r="D892" s="87" t="n"/>
      <c r="I892" s="87" t="n"/>
    </row>
    <row r="893">
      <c r="D893" s="87" t="n"/>
      <c r="I893" s="87" t="n"/>
    </row>
    <row r="894">
      <c r="D894" s="87" t="n"/>
      <c r="I894" s="87" t="n"/>
    </row>
    <row r="895">
      <c r="D895" s="87" t="n"/>
      <c r="I895" s="87" t="n"/>
    </row>
    <row r="896">
      <c r="D896" s="87" t="n"/>
      <c r="I896" s="87" t="n"/>
    </row>
    <row r="897">
      <c r="D897" s="87" t="n"/>
      <c r="I897" s="87" t="n"/>
    </row>
    <row r="898">
      <c r="D898" s="87" t="n"/>
      <c r="I898" s="87" t="n"/>
    </row>
    <row r="899">
      <c r="D899" s="87" t="n"/>
      <c r="I899" s="87" t="n"/>
    </row>
    <row r="900">
      <c r="D900" s="87" t="n"/>
      <c r="I900" s="87" t="n"/>
    </row>
    <row r="901">
      <c r="D901" s="87" t="n"/>
      <c r="I901" s="87" t="n"/>
    </row>
    <row r="902">
      <c r="D902" s="87" t="n"/>
      <c r="I902" s="87" t="n"/>
    </row>
    <row r="903">
      <c r="D903" s="87" t="n"/>
      <c r="I903" s="87" t="n"/>
    </row>
    <row r="904">
      <c r="D904" s="87" t="n"/>
      <c r="I904" s="87" t="n"/>
    </row>
    <row r="905">
      <c r="D905" s="87" t="n"/>
      <c r="I905" s="87" t="n"/>
    </row>
    <row r="906">
      <c r="D906" s="87" t="n"/>
      <c r="I906" s="87" t="n"/>
    </row>
    <row r="907">
      <c r="D907" s="87" t="n"/>
      <c r="I907" s="87" t="n"/>
    </row>
    <row r="908">
      <c r="D908" s="87" t="n"/>
      <c r="I908" s="87" t="n"/>
    </row>
    <row r="909">
      <c r="D909" s="87" t="n"/>
      <c r="I909" s="87" t="n"/>
    </row>
    <row r="910">
      <c r="D910" s="87" t="n"/>
      <c r="I910" s="87" t="n"/>
    </row>
    <row r="911">
      <c r="D911" s="87" t="n"/>
      <c r="I911" s="87" t="n"/>
    </row>
    <row r="912">
      <c r="D912" s="87" t="n"/>
      <c r="I912" s="87" t="n"/>
    </row>
    <row r="913">
      <c r="D913" s="87" t="n"/>
      <c r="I913" s="87" t="n"/>
    </row>
    <row r="914">
      <c r="D914" s="87" t="n"/>
      <c r="I914" s="87" t="n"/>
    </row>
    <row r="915">
      <c r="D915" s="87" t="n"/>
      <c r="I915" s="87" t="n"/>
    </row>
    <row r="916">
      <c r="D916" s="87" t="n"/>
      <c r="I916" s="87" t="n"/>
    </row>
    <row r="917">
      <c r="D917" s="87" t="n"/>
      <c r="I917" s="87" t="n"/>
    </row>
    <row r="918">
      <c r="D918" s="87" t="n"/>
      <c r="I918" s="87" t="n"/>
    </row>
    <row r="919">
      <c r="D919" s="87" t="n"/>
      <c r="I919" s="87" t="n"/>
    </row>
    <row r="920">
      <c r="D920" s="87" t="n"/>
      <c r="I920" s="87" t="n"/>
    </row>
    <row r="921">
      <c r="D921" s="87" t="n"/>
      <c r="I921" s="87" t="n"/>
    </row>
    <row r="922">
      <c r="D922" s="87" t="n"/>
      <c r="I922" s="87" t="n"/>
    </row>
    <row r="923">
      <c r="D923" s="87" t="n"/>
      <c r="I923" s="87" t="n"/>
    </row>
    <row r="924">
      <c r="D924" s="87" t="n"/>
      <c r="I924" s="87" t="n"/>
    </row>
    <row r="925">
      <c r="D925" s="87" t="n"/>
      <c r="I925" s="87" t="n"/>
    </row>
    <row r="926">
      <c r="D926" s="87" t="n"/>
      <c r="I926" s="87" t="n"/>
    </row>
    <row r="927">
      <c r="D927" s="87" t="n"/>
      <c r="I927" s="87" t="n"/>
    </row>
    <row r="928">
      <c r="D928" s="87" t="n"/>
      <c r="I928" s="87" t="n"/>
    </row>
    <row r="929">
      <c r="D929" s="87" t="n"/>
      <c r="I929" s="87" t="n"/>
    </row>
    <row r="930">
      <c r="D930" s="87" t="n"/>
      <c r="I930" s="87" t="n"/>
    </row>
    <row r="931">
      <c r="D931" s="87" t="n"/>
      <c r="I931" s="87" t="n"/>
    </row>
    <row r="932">
      <c r="D932" s="87" t="n"/>
      <c r="I932" s="87" t="n"/>
    </row>
    <row r="933">
      <c r="D933" s="87" t="n"/>
      <c r="I933" s="87" t="n"/>
    </row>
    <row r="934">
      <c r="D934" s="87" t="n"/>
      <c r="I934" s="87" t="n"/>
    </row>
    <row r="935">
      <c r="D935" s="87" t="n"/>
      <c r="I935" s="87" t="n"/>
    </row>
    <row r="936">
      <c r="D936" s="87" t="n"/>
      <c r="I936" s="87" t="n"/>
    </row>
    <row r="937">
      <c r="D937" s="87" t="n"/>
      <c r="I937" s="87" t="n"/>
    </row>
    <row r="938">
      <c r="D938" s="87" t="n"/>
      <c r="I938" s="87" t="n"/>
    </row>
    <row r="939">
      <c r="D939" s="87" t="n"/>
      <c r="I939" s="87" t="n"/>
    </row>
    <row r="940">
      <c r="D940" s="87" t="n"/>
      <c r="I940" s="87" t="n"/>
    </row>
    <row r="941">
      <c r="D941" s="87" t="n"/>
      <c r="I941" s="87" t="n"/>
    </row>
    <row r="942">
      <c r="D942" s="87" t="n"/>
      <c r="I942" s="87" t="n"/>
    </row>
    <row r="943">
      <c r="D943" s="87" t="n"/>
      <c r="I943" s="87" t="n"/>
    </row>
    <row r="944">
      <c r="D944" s="87" t="n"/>
      <c r="I944" s="87" t="n"/>
    </row>
    <row r="945">
      <c r="D945" s="87" t="n"/>
      <c r="I945" s="87" t="n"/>
    </row>
    <row r="946">
      <c r="D946" s="87" t="n"/>
      <c r="I946" s="87" t="n"/>
    </row>
    <row r="947">
      <c r="D947" s="87" t="n"/>
      <c r="I947" s="87" t="n"/>
    </row>
    <row r="948">
      <c r="D948" s="87" t="n"/>
      <c r="I948" s="87" t="n"/>
    </row>
    <row r="949">
      <c r="D949" s="87" t="n"/>
      <c r="I949" s="87" t="n"/>
    </row>
    <row r="950">
      <c r="D950" s="87" t="n"/>
      <c r="I950" s="87" t="n"/>
    </row>
    <row r="951">
      <c r="D951" s="87" t="n"/>
      <c r="I951" s="87" t="n"/>
    </row>
    <row r="952">
      <c r="D952" s="87" t="n"/>
      <c r="I952" s="87" t="n"/>
    </row>
    <row r="953">
      <c r="D953" s="87" t="n"/>
      <c r="I953" s="87" t="n"/>
    </row>
    <row r="954">
      <c r="D954" s="87" t="n"/>
      <c r="I954" s="87" t="n"/>
    </row>
    <row r="955">
      <c r="D955" s="87" t="n"/>
      <c r="I955" s="87" t="n"/>
    </row>
    <row r="956">
      <c r="D956" s="87" t="n"/>
      <c r="I956" s="87" t="n"/>
    </row>
    <row r="957">
      <c r="D957" s="87" t="n"/>
      <c r="I957" s="87" t="n"/>
    </row>
    <row r="958">
      <c r="D958" s="87" t="n"/>
      <c r="I958" s="87" t="n"/>
    </row>
    <row r="959">
      <c r="D959" s="87" t="n"/>
      <c r="I959" s="87" t="n"/>
    </row>
    <row r="960">
      <c r="D960" s="87" t="n"/>
      <c r="I960" s="87" t="n"/>
    </row>
    <row r="961">
      <c r="D961" s="87" t="n"/>
      <c r="I961" s="87" t="n"/>
    </row>
    <row r="962">
      <c r="D962" s="87" t="n"/>
      <c r="I962" s="87" t="n"/>
    </row>
    <row r="963">
      <c r="D963" s="87" t="n"/>
      <c r="I963" s="87" t="n"/>
    </row>
    <row r="964">
      <c r="D964" s="87" t="n"/>
      <c r="I964" s="87" t="n"/>
    </row>
    <row r="965">
      <c r="D965" s="87" t="n"/>
      <c r="I965" s="87" t="n"/>
    </row>
    <row r="966">
      <c r="D966" s="87" t="n"/>
      <c r="I966" s="87" t="n"/>
    </row>
    <row r="967">
      <c r="D967" s="87" t="n"/>
      <c r="I967" s="87" t="n"/>
    </row>
    <row r="968">
      <c r="D968" s="87" t="n"/>
      <c r="I968" s="87" t="n"/>
    </row>
    <row r="969">
      <c r="D969" s="87" t="n"/>
      <c r="I969" s="87" t="n"/>
    </row>
    <row r="970">
      <c r="D970" s="87" t="n"/>
      <c r="I970" s="87" t="n"/>
    </row>
    <row r="971">
      <c r="D971" s="87" t="n"/>
      <c r="I971" s="87" t="n"/>
    </row>
    <row r="972">
      <c r="D972" s="87" t="n"/>
      <c r="I972" s="87" t="n"/>
    </row>
    <row r="973">
      <c r="D973" s="87" t="n"/>
      <c r="I973" s="87" t="n"/>
    </row>
    <row r="974">
      <c r="D974" s="87" t="n"/>
      <c r="I974" s="87" t="n"/>
    </row>
    <row r="975">
      <c r="D975" s="87" t="n"/>
      <c r="I975" s="87" t="n"/>
    </row>
    <row r="976">
      <c r="D976" s="87" t="n"/>
      <c r="I976" s="87" t="n"/>
    </row>
    <row r="977">
      <c r="D977" s="87" t="n"/>
      <c r="I977" s="87" t="n"/>
    </row>
    <row r="978">
      <c r="D978" s="87" t="n"/>
      <c r="I978" s="87" t="n"/>
    </row>
    <row r="979">
      <c r="D979" s="87" t="n"/>
      <c r="I979" s="87" t="n"/>
    </row>
    <row r="980">
      <c r="D980" s="87" t="n"/>
      <c r="I980" s="87" t="n"/>
    </row>
    <row r="981">
      <c r="D981" s="87" t="n"/>
      <c r="I981" s="87" t="n"/>
    </row>
    <row r="982">
      <c r="D982" s="87" t="n"/>
      <c r="I982" s="87" t="n"/>
    </row>
    <row r="983">
      <c r="D983" s="87" t="n"/>
      <c r="I983" s="87" t="n"/>
    </row>
    <row r="984">
      <c r="D984" s="87" t="n"/>
      <c r="I984" s="87" t="n"/>
    </row>
    <row r="985">
      <c r="D985" s="87" t="n"/>
      <c r="I985" s="87" t="n"/>
    </row>
    <row r="986">
      <c r="D986" s="87" t="n"/>
      <c r="I986" s="87" t="n"/>
    </row>
    <row r="987">
      <c r="D987" s="87" t="n"/>
      <c r="I987" s="87" t="n"/>
    </row>
    <row r="988">
      <c r="D988" s="87" t="n"/>
      <c r="I988" s="87" t="n"/>
    </row>
    <row r="989">
      <c r="D989" s="87" t="n"/>
      <c r="I989" s="87" t="n"/>
    </row>
    <row r="990">
      <c r="D990" s="87" t="n"/>
      <c r="I990" s="87" t="n"/>
    </row>
    <row r="991">
      <c r="D991" s="87" t="n"/>
      <c r="I991" s="87" t="n"/>
    </row>
    <row r="992">
      <c r="D992" s="87" t="n"/>
      <c r="I992" s="87" t="n"/>
    </row>
    <row r="993">
      <c r="D993" s="87" t="n"/>
      <c r="I993" s="87" t="n"/>
    </row>
    <row r="994">
      <c r="D994" s="87" t="n"/>
      <c r="I994" s="87" t="n"/>
    </row>
    <row r="995">
      <c r="D995" s="87" t="n"/>
      <c r="I995" s="87" t="n"/>
    </row>
    <row r="996">
      <c r="D996" s="87" t="n"/>
      <c r="I996" s="87" t="n"/>
    </row>
    <row r="997">
      <c r="D997" s="87" t="n"/>
      <c r="I997" s="87" t="n"/>
    </row>
    <row r="998">
      <c r="D998" s="87" t="n"/>
      <c r="I998" s="87" t="n"/>
    </row>
    <row r="999">
      <c r="D999" s="87" t="n"/>
      <c r="I999" s="87" t="n"/>
    </row>
    <row r="1000">
      <c r="D1000" s="87" t="n"/>
      <c r="I1000" s="87" t="n"/>
    </row>
  </sheetData>
  <mergeCells count="66">
    <mergeCell ref="B91:C91"/>
    <mergeCell ref="B97:C97"/>
    <mergeCell ref="A24:B24"/>
    <mergeCell ref="B16:C16"/>
    <mergeCell ref="B54:C54"/>
    <mergeCell ref="B100:C100"/>
    <mergeCell ref="B7:C7"/>
    <mergeCell ref="B90:C90"/>
    <mergeCell ref="B81:C8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B52:C52"/>
    <mergeCell ref="B21:C21"/>
    <mergeCell ref="B48:C48"/>
    <mergeCell ref="B70:C70"/>
    <mergeCell ref="A99:B99"/>
    <mergeCell ref="B42:C42"/>
    <mergeCell ref="A46:B46"/>
    <mergeCell ref="B61:C61"/>
    <mergeCell ref="B101:C101"/>
    <mergeCell ref="B17:C17"/>
    <mergeCell ref="B88:C88"/>
    <mergeCell ref="B8:C8"/>
    <mergeCell ref="B82:C82"/>
    <mergeCell ref="B53:C53"/>
    <mergeCell ref="B73:C73"/>
    <mergeCell ref="B69:C69"/>
    <mergeCell ref="B38:C38"/>
    <mergeCell ref="B44:C44"/>
    <mergeCell ref="B29:C29"/>
    <mergeCell ref="A77:B77"/>
    <mergeCell ref="B19:C19"/>
    <mergeCell ref="B34:C34"/>
    <mergeCell ref="B37:C37"/>
    <mergeCell ref="A111:C111"/>
    <mergeCell ref="B28:C28"/>
    <mergeCell ref="B103:C103"/>
    <mergeCell ref="B41:C41"/>
    <mergeCell ref="B40:C40"/>
    <mergeCell ref="B49:C49"/>
    <mergeCell ref="B92:C92"/>
    <mergeCell ref="B55:C55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79:C79"/>
    <mergeCell ref="B35:C35"/>
    <mergeCell ref="B106:C10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33" customWidth="1" style="270" min="3" max="3"/>
    <col width="15.13" customWidth="1" style="270" min="8" max="8"/>
  </cols>
  <sheetData>
    <row r="1">
      <c r="A1" s="111" t="inlineStr">
        <is>
          <t>LISTA DE PRECIOS DE PRODUCTOS CELTRAP/JABOCON</t>
        </is>
      </c>
      <c r="D1" s="215" t="n"/>
      <c r="E1" s="223" t="n"/>
      <c r="F1" s="215" t="n"/>
      <c r="G1" s="223" t="n"/>
      <c r="H1" s="223" t="n"/>
      <c r="I1" s="223" t="n"/>
      <c r="K1" s="103" t="n"/>
      <c r="L1" s="103" t="n"/>
      <c r="M1" s="223" t="n"/>
      <c r="N1" s="223" t="n"/>
      <c r="S1" s="223" t="n"/>
      <c r="T1" s="223" t="n"/>
      <c r="U1" s="223" t="n"/>
      <c r="V1" s="223" t="n"/>
      <c r="W1" s="223" t="n"/>
      <c r="X1" s="223" t="n"/>
    </row>
    <row r="2">
      <c r="A2" s="186" t="inlineStr">
        <is>
          <t>VIGENCIA:</t>
        </is>
      </c>
      <c r="B2" s="210" t="n">
        <v>44851</v>
      </c>
      <c r="C2" s="223" t="n"/>
      <c r="D2" s="215" t="n"/>
      <c r="E2" s="223" t="n"/>
      <c r="F2" s="215" t="n"/>
      <c r="G2" s="223" t="n"/>
      <c r="H2" s="223" t="n"/>
      <c r="I2" s="223" t="n"/>
      <c r="K2" s="111" t="n"/>
      <c r="L2" s="103" t="n"/>
      <c r="M2" s="223" t="n"/>
      <c r="N2" s="223" t="n"/>
      <c r="S2" s="223" t="n"/>
      <c r="T2" s="223" t="n"/>
      <c r="U2" s="223" t="n"/>
      <c r="V2" s="223" t="n"/>
      <c r="W2" s="223" t="n"/>
      <c r="X2" s="223" t="n"/>
    </row>
    <row r="3">
      <c r="A3" s="223" t="n"/>
      <c r="B3" s="223" t="n"/>
      <c r="C3" s="223" t="n"/>
      <c r="D3" s="215" t="n"/>
      <c r="E3" s="223" t="n"/>
      <c r="F3" s="215" t="n"/>
      <c r="G3" s="223" t="n"/>
      <c r="H3" s="223" t="n"/>
      <c r="I3" s="223" t="n"/>
      <c r="K3" s="223" t="n"/>
      <c r="L3" s="223" t="n"/>
      <c r="M3" s="223" t="n"/>
      <c r="N3" s="223" t="n"/>
      <c r="S3" s="223" t="n"/>
      <c r="T3" s="223" t="n"/>
      <c r="U3" s="223" t="n"/>
      <c r="V3" s="223" t="n"/>
      <c r="W3" s="223" t="n"/>
      <c r="X3" s="223" t="n"/>
    </row>
    <row r="4">
      <c r="A4" s="211" t="inlineStr">
        <is>
          <t>Artículos</t>
        </is>
      </c>
      <c r="B4" s="223" t="n"/>
      <c r="C4" s="223" t="n"/>
      <c r="D4" s="215" t="inlineStr">
        <is>
          <t>Lista 20% con 7% y 2%</t>
        </is>
      </c>
      <c r="E4" s="223" t="n"/>
      <c r="F4" s="213" t="inlineStr">
        <is>
          <t xml:space="preserve">Mayorista </t>
        </is>
      </c>
      <c r="G4" s="186" t="inlineStr">
        <is>
          <t xml:space="preserve">Minorista </t>
        </is>
      </c>
      <c r="H4" s="111" t="inlineStr">
        <is>
          <t>Minorista con IVA</t>
        </is>
      </c>
      <c r="I4" s="111" t="inlineStr">
        <is>
          <t>Redondeado</t>
        </is>
      </c>
      <c r="K4" s="188" t="inlineStr">
        <is>
          <t>Lista con el 20%</t>
        </is>
      </c>
      <c r="L4" s="201" t="n"/>
      <c r="M4" s="201" t="n"/>
      <c r="N4" s="201" t="n"/>
      <c r="S4" s="223" t="n"/>
      <c r="T4" s="223" t="n"/>
      <c r="U4" s="223" t="n"/>
      <c r="V4" s="223" t="n"/>
      <c r="W4" s="223" t="n"/>
      <c r="X4" s="103" t="n"/>
    </row>
    <row r="5">
      <c r="A5" s="131" t="n"/>
      <c r="B5" s="223" t="n"/>
      <c r="C5" s="223" t="n"/>
      <c r="D5" s="215" t="n"/>
      <c r="E5" s="223" t="n"/>
      <c r="F5" s="215" t="n"/>
      <c r="G5" s="223" t="n"/>
      <c r="H5" s="223" t="n"/>
      <c r="I5" s="223" t="n"/>
      <c r="K5" s="188" t="n"/>
      <c r="L5" s="188" t="n"/>
      <c r="M5" s="188" t="n"/>
      <c r="N5" s="188" t="n"/>
      <c r="S5" s="223" t="n"/>
      <c r="T5" s="223" t="n"/>
      <c r="U5" s="223" t="n"/>
      <c r="V5" s="223" t="n"/>
      <c r="W5" s="223" t="n"/>
      <c r="X5" s="103" t="n"/>
    </row>
    <row r="6">
      <c r="A6" s="117" t="inlineStr">
        <is>
          <t>JABONES</t>
        </is>
      </c>
      <c r="B6" s="223" t="n"/>
      <c r="C6" s="223" t="n"/>
      <c r="D6" s="215" t="n"/>
      <c r="E6" s="223" t="n"/>
      <c r="F6" s="215" t="n"/>
      <c r="G6" s="223" t="n"/>
      <c r="H6" s="223" t="n"/>
      <c r="I6" s="223" t="n"/>
      <c r="K6" s="200" t="n"/>
      <c r="L6" s="200" t="n"/>
      <c r="M6" s="200" t="n"/>
      <c r="N6" s="200" t="n"/>
      <c r="S6" s="223" t="n"/>
      <c r="T6" s="223" t="n"/>
      <c r="U6" s="223" t="n"/>
      <c r="V6" s="223" t="n"/>
      <c r="W6" s="223" t="n"/>
      <c r="X6" s="223" t="n"/>
    </row>
    <row r="7">
      <c r="A7" s="124" t="n">
        <v>701</v>
      </c>
      <c r="B7" s="223" t="inlineStr">
        <is>
          <t>Botella 1 lt. Servicio Dilución DMQ</t>
        </is>
      </c>
      <c r="D7" s="127">
        <f>K7*0.93*0.98</f>
        <v/>
      </c>
      <c r="E7" s="238" t="n"/>
      <c r="F7" s="215">
        <f>D7*1.3*1.105</f>
        <v/>
      </c>
      <c r="G7" s="215">
        <f>D7*1.3*1.105/0.9</f>
        <v/>
      </c>
      <c r="H7" s="215">
        <f>G7*1.21</f>
        <v/>
      </c>
      <c r="I7" s="215">
        <f>ROUND(H7/100,0)*100</f>
        <v/>
      </c>
      <c r="K7" s="127" t="n">
        <v>819.08</v>
      </c>
      <c r="L7" s="256" t="n"/>
      <c r="M7" s="256" t="n"/>
      <c r="N7" s="238" t="n"/>
      <c r="S7" s="223" t="n"/>
      <c r="T7" s="223" t="n"/>
      <c r="U7" s="223" t="n"/>
      <c r="V7" s="223" t="n"/>
      <c r="W7" s="223" t="n"/>
      <c r="X7" s="223" t="n"/>
    </row>
    <row r="8">
      <c r="A8" s="124" t="n">
        <v>720</v>
      </c>
      <c r="B8" s="223" t="inlineStr">
        <is>
          <t>Bidon x 5 lts. Jabón Líquido Tocador</t>
        </is>
      </c>
      <c r="D8" s="230">
        <f>K8*0.93*0.98</f>
        <v/>
      </c>
      <c r="E8" s="236" t="n"/>
      <c r="F8" s="218">
        <f>D8*1.3*1.105</f>
        <v/>
      </c>
      <c r="G8" s="219">
        <f>D8*1.3*1.105/0.9</f>
        <v/>
      </c>
      <c r="H8" s="220">
        <f>G8*1.21</f>
        <v/>
      </c>
      <c r="I8" s="215">
        <f>ROUND(H8/100,0)*100</f>
        <v/>
      </c>
      <c r="K8" s="230" t="n">
        <v>2568.94</v>
      </c>
      <c r="L8" s="257" t="n"/>
      <c r="M8" s="257" t="n"/>
      <c r="N8" s="236" t="n"/>
      <c r="S8" s="223" t="n"/>
      <c r="T8" s="223" t="n"/>
      <c r="U8" s="223" t="n"/>
      <c r="V8" s="223" t="n"/>
      <c r="W8" s="223" t="n"/>
      <c r="X8" s="223" t="n"/>
    </row>
    <row r="9">
      <c r="A9" s="124" t="n"/>
      <c r="B9" s="223" t="n"/>
      <c r="C9" s="223" t="n"/>
      <c r="D9" s="215">
        <f>K9*0.93*0.98</f>
        <v/>
      </c>
      <c r="E9" s="223" t="n"/>
      <c r="F9" s="220" t="n"/>
      <c r="G9" s="222" t="n"/>
      <c r="H9" s="222" t="n"/>
      <c r="I9" s="223" t="n"/>
      <c r="K9" s="215" t="n"/>
      <c r="L9" s="200" t="n"/>
      <c r="M9" s="200" t="n"/>
      <c r="N9" s="223" t="n"/>
      <c r="S9" s="223" t="n"/>
      <c r="T9" s="223" t="n"/>
      <c r="U9" s="223" t="n"/>
      <c r="V9" s="223" t="n"/>
      <c r="W9" s="223" t="n"/>
      <c r="X9" s="223" t="n"/>
    </row>
    <row r="10">
      <c r="A10" s="117" t="inlineStr">
        <is>
          <t>TOALLAS</t>
        </is>
      </c>
      <c r="B10" s="223" t="n"/>
      <c r="C10" s="223" t="n"/>
      <c r="D10" s="215">
        <f>K10*0.93*0.98</f>
        <v/>
      </c>
      <c r="E10" s="223" t="n"/>
      <c r="F10" s="220" t="n"/>
      <c r="G10" s="222" t="n"/>
      <c r="H10" s="222" t="n"/>
      <c r="I10" s="223" t="n"/>
      <c r="K10" s="215" t="n"/>
      <c r="L10" s="200" t="n"/>
      <c r="M10" s="200" t="n"/>
      <c r="N10" s="223" t="n"/>
      <c r="S10" s="223" t="n"/>
      <c r="T10" s="223" t="n"/>
      <c r="U10" s="223" t="n"/>
      <c r="V10" s="223" t="n"/>
      <c r="W10" s="223" t="n"/>
      <c r="X10" s="223" t="n"/>
    </row>
    <row r="11">
      <c r="A11" s="131" t="n"/>
      <c r="B11" s="223" t="n"/>
      <c r="C11" s="223" t="n"/>
      <c r="D11" s="215">
        <f>K11*0.93*0.98</f>
        <v/>
      </c>
      <c r="E11" s="223" t="n"/>
      <c r="F11" s="220" t="n"/>
      <c r="G11" s="222" t="n"/>
      <c r="H11" s="222" t="n"/>
      <c r="I11" s="223" t="n"/>
      <c r="K11" s="215" t="n"/>
      <c r="L11" s="200" t="n"/>
      <c r="M11" s="200" t="n"/>
      <c r="N11" s="223" t="n"/>
      <c r="S11" s="223" t="n"/>
      <c r="T11" s="223" t="n"/>
      <c r="U11" s="223" t="n"/>
      <c r="V11" s="223" t="n"/>
      <c r="W11" s="223" t="n"/>
      <c r="X11" s="223" t="n"/>
    </row>
    <row r="12">
      <c r="A12" s="182" t="n">
        <v>901</v>
      </c>
      <c r="B12" s="224" t="inlineStr">
        <is>
          <t>Toallas Blancas Super 21x25</t>
        </is>
      </c>
      <c r="C12" s="224" t="n"/>
      <c r="D12" s="127">
        <f>K12*0.93*0.98</f>
        <v/>
      </c>
      <c r="E12" s="238" t="n"/>
      <c r="F12" s="227">
        <f>D12*1.3*1.105</f>
        <v/>
      </c>
      <c r="G12" s="226">
        <f>D12*1.3*1.105/0.9</f>
        <v/>
      </c>
      <c r="H12" s="227">
        <f>G12*1.21</f>
        <v/>
      </c>
      <c r="I12" s="227">
        <f>ROUND(H12/100,0)*100</f>
        <v/>
      </c>
      <c r="J12" s="193" t="n"/>
      <c r="K12" s="127" t="n">
        <v>3048.38</v>
      </c>
      <c r="L12" s="256" t="n"/>
      <c r="M12" s="256" t="n"/>
      <c r="N12" s="238" t="n"/>
      <c r="O12" s="193" t="n"/>
      <c r="P12" s="193" t="n"/>
      <c r="Q12" s="193" t="n"/>
      <c r="R12" s="193" t="n"/>
      <c r="S12" s="224" t="n"/>
      <c r="T12" s="224" t="n"/>
      <c r="U12" s="224" t="n"/>
      <c r="V12" s="224" t="n"/>
      <c r="W12" s="224" t="n"/>
      <c r="X12" s="224" t="n"/>
      <c r="Y12" s="193" t="n"/>
    </row>
    <row r="13">
      <c r="A13" s="124" t="n">
        <v>902</v>
      </c>
      <c r="B13" s="223" t="inlineStr">
        <is>
          <t>Toallas Blancas Pura Simple</t>
        </is>
      </c>
      <c r="C13" s="223" t="n"/>
      <c r="D13" s="230">
        <f>K13*0.93*0.98</f>
        <v/>
      </c>
      <c r="E13" s="236" t="n"/>
      <c r="F13" s="220">
        <f>D13*1.3*1.105</f>
        <v/>
      </c>
      <c r="G13" s="219">
        <f>D13*1.3*1.105/0.9</f>
        <v/>
      </c>
      <c r="H13" s="220">
        <f>G13*1.21</f>
        <v/>
      </c>
      <c r="I13" s="215">
        <f>ROUND(H13/100,0)*100</f>
        <v/>
      </c>
      <c r="K13" s="230" t="n">
        <v>3380</v>
      </c>
      <c r="L13" s="257" t="n"/>
      <c r="M13" s="257" t="n"/>
      <c r="N13" s="236" t="n"/>
      <c r="S13" s="223" t="n"/>
      <c r="T13" s="223" t="n"/>
      <c r="U13" s="223" t="n"/>
      <c r="V13" s="223" t="n"/>
      <c r="W13" s="223" t="n"/>
      <c r="X13" s="223" t="n"/>
    </row>
    <row r="14">
      <c r="A14" s="124" t="n">
        <v>903</v>
      </c>
      <c r="B14" s="223" t="inlineStr">
        <is>
          <t>Toallas Blancas Pura Doble</t>
        </is>
      </c>
      <c r="C14" s="223" t="n"/>
      <c r="D14" s="230">
        <f>K14*0.93*0.98</f>
        <v/>
      </c>
      <c r="E14" s="236" t="n"/>
      <c r="F14" s="220">
        <f>D14*1.3*1.105</f>
        <v/>
      </c>
      <c r="G14" s="219">
        <f>D14*1.3*1.105/0.9</f>
        <v/>
      </c>
      <c r="H14" s="220">
        <f>G14*1.21</f>
        <v/>
      </c>
      <c r="I14" s="215">
        <f>ROUND(H14/100,0)*100</f>
        <v/>
      </c>
      <c r="K14" s="230" t="n">
        <v>4212.27</v>
      </c>
      <c r="L14" s="257" t="n"/>
      <c r="M14" s="257" t="n"/>
      <c r="N14" s="236" t="n"/>
      <c r="S14" s="223" t="n"/>
      <c r="T14" s="223" t="n"/>
      <c r="U14" s="223" t="n"/>
      <c r="V14" s="223" t="n"/>
      <c r="W14" s="223" t="n"/>
      <c r="X14" s="223" t="n"/>
    </row>
    <row r="15">
      <c r="A15" s="124" t="n">
        <v>914</v>
      </c>
      <c r="B15" s="223" t="inlineStr">
        <is>
          <t>Toalla Blanca Unitas (17,5x25 cm)</t>
        </is>
      </c>
      <c r="D15" s="230">
        <f>K15*0.93*0.98</f>
        <v/>
      </c>
      <c r="E15" s="236" t="n"/>
      <c r="F15" s="220">
        <f>D15*1.3*1.105</f>
        <v/>
      </c>
      <c r="G15" s="219">
        <f>D15*1.3*1.105/0.9</f>
        <v/>
      </c>
      <c r="H15" s="220">
        <f>G15*1.21</f>
        <v/>
      </c>
      <c r="I15" s="215">
        <f>ROUND(H15/100,0)*100</f>
        <v/>
      </c>
      <c r="K15" s="230" t="n">
        <v>2322.78</v>
      </c>
      <c r="L15" s="257" t="n"/>
      <c r="M15" s="257" t="n"/>
      <c r="N15" s="236" t="n"/>
      <c r="S15" s="223" t="n"/>
      <c r="T15" s="223" t="n"/>
      <c r="U15" s="223" t="n"/>
      <c r="V15" s="223" t="n"/>
      <c r="W15" s="223" t="n"/>
      <c r="X15" s="223" t="n"/>
    </row>
    <row r="16">
      <c r="A16" s="124" t="n">
        <v>916</v>
      </c>
      <c r="B16" s="223" t="inlineStr">
        <is>
          <t>Toalla Blanca Especial 21 x 25 ( tiza )</t>
        </is>
      </c>
      <c r="D16" s="230">
        <f>K16*0.93*0.98</f>
        <v/>
      </c>
      <c r="E16" s="236" t="n"/>
      <c r="F16" s="220">
        <f>D16*1.3*1.105</f>
        <v/>
      </c>
      <c r="G16" s="219">
        <f>D16*1.3*1.105/0.9</f>
        <v/>
      </c>
      <c r="H16" s="220">
        <f>G16*1.21</f>
        <v/>
      </c>
      <c r="I16" s="215">
        <f>ROUND(H16/100,0)*100</f>
        <v/>
      </c>
      <c r="K16" s="230" t="n">
        <v>2842.94</v>
      </c>
      <c r="L16" s="257" t="n"/>
      <c r="M16" s="257" t="n"/>
      <c r="N16" s="236" t="n"/>
      <c r="S16" s="223" t="n"/>
      <c r="T16" s="223" t="n"/>
      <c r="U16" s="223" t="n"/>
      <c r="V16" s="223" t="n"/>
      <c r="W16" s="223" t="n"/>
      <c r="X16" s="223" t="n"/>
    </row>
    <row r="17">
      <c r="A17" s="124" t="n">
        <v>920</v>
      </c>
      <c r="B17" s="223" t="inlineStr">
        <is>
          <t>Toalla Blanca Especial 21 x 37 ( tiza )</t>
        </is>
      </c>
      <c r="D17" s="230">
        <f>K17*0.93*0.98</f>
        <v/>
      </c>
      <c r="E17" s="236" t="n"/>
      <c r="F17" s="220">
        <f>D17*1.3*1.105</f>
        <v/>
      </c>
      <c r="G17" s="219">
        <f>D17*1.3*1.105/0.9</f>
        <v/>
      </c>
      <c r="H17" s="220">
        <f>G17*1.21</f>
        <v/>
      </c>
      <c r="I17" s="215">
        <f>ROUND(H17/100,0)*100</f>
        <v/>
      </c>
      <c r="K17" s="230" t="n">
        <v>3878.19</v>
      </c>
      <c r="L17" s="257" t="n"/>
      <c r="M17" s="257" t="n"/>
      <c r="N17" s="236" t="n"/>
      <c r="S17" s="223" t="n"/>
      <c r="T17" s="223" t="n"/>
      <c r="U17" s="223" t="n"/>
      <c r="V17" s="223" t="n"/>
      <c r="W17" s="223" t="n"/>
      <c r="X17" s="223" t="n"/>
    </row>
    <row r="18">
      <c r="A18" s="124" t="n">
        <v>927</v>
      </c>
      <c r="B18" s="223" t="inlineStr">
        <is>
          <t>Toalla Blanca Especial 17,5 x 25 ( tiza ) Unita</t>
        </is>
      </c>
      <c r="D18" s="230">
        <f>K18*0.93*0.98</f>
        <v/>
      </c>
      <c r="E18" s="236" t="n"/>
      <c r="F18" s="220">
        <f>D18*1.3*1.105</f>
        <v/>
      </c>
      <c r="G18" s="219">
        <f>D18*1.3*1.105/0.9</f>
        <v/>
      </c>
      <c r="H18" s="220">
        <f>G18*1.21</f>
        <v/>
      </c>
      <c r="I18" s="215">
        <f>ROUND(H18/100,0)*100</f>
        <v/>
      </c>
      <c r="K18" s="230" t="n">
        <v>2228.54</v>
      </c>
      <c r="L18" s="257" t="n"/>
      <c r="M18" s="257" t="n"/>
      <c r="N18" s="236" t="n"/>
      <c r="S18" s="223" t="n"/>
      <c r="T18" s="223" t="n"/>
      <c r="U18" s="223" t="n"/>
      <c r="V18" s="223" t="n"/>
      <c r="W18" s="223" t="n"/>
      <c r="X18" s="223" t="n"/>
    </row>
    <row r="19">
      <c r="A19" s="182" t="n">
        <v>928</v>
      </c>
      <c r="B19" s="224" t="inlineStr">
        <is>
          <t>Cajas x 2500 Toallas Beige 21x37</t>
        </is>
      </c>
      <c r="D19" s="230">
        <f>K19*0.93*0.98</f>
        <v/>
      </c>
      <c r="E19" s="236" t="n"/>
      <c r="F19" s="227">
        <f>D19*1.3*1.105</f>
        <v/>
      </c>
      <c r="G19" s="226">
        <f>D19*1.3*1.105/0.9</f>
        <v/>
      </c>
      <c r="H19" s="227">
        <f>G19*1.21</f>
        <v/>
      </c>
      <c r="I19" s="227">
        <f>ROUND(H19/100,0)*100</f>
        <v/>
      </c>
      <c r="J19" s="193" t="n"/>
      <c r="K19" s="230" t="n">
        <v>3284.51</v>
      </c>
      <c r="L19" s="257" t="n"/>
      <c r="M19" s="257" t="n"/>
      <c r="N19" s="236" t="n"/>
      <c r="O19" s="193" t="n"/>
      <c r="P19" s="193" t="n"/>
      <c r="Q19" s="193" t="n"/>
      <c r="R19" s="193" t="n"/>
      <c r="S19" s="224" t="n"/>
      <c r="T19" s="224" t="n"/>
      <c r="U19" s="224" t="n"/>
      <c r="V19" s="224" t="n"/>
      <c r="W19" s="224" t="n"/>
      <c r="X19" s="224" t="n"/>
      <c r="Y19" s="193" t="n"/>
    </row>
    <row r="20">
      <c r="A20" s="182" t="n">
        <v>930</v>
      </c>
      <c r="B20" s="224" t="inlineStr">
        <is>
          <t>Toalla Blanca Super 21x37 cm</t>
        </is>
      </c>
      <c r="C20" s="224" t="n"/>
      <c r="D20" s="230">
        <f>K20*0.93*0.98</f>
        <v/>
      </c>
      <c r="E20" s="236" t="n"/>
      <c r="F20" s="227">
        <f>D20*1.3*1.105</f>
        <v/>
      </c>
      <c r="G20" s="226">
        <f>D20*1.3*1.105/0.9</f>
        <v/>
      </c>
      <c r="H20" s="227">
        <f>G20*1.21</f>
        <v/>
      </c>
      <c r="I20" s="227">
        <f>ROUND(H20/100,0)*100</f>
        <v/>
      </c>
      <c r="J20" s="193" t="n"/>
      <c r="K20" s="230" t="n">
        <v>4192.02</v>
      </c>
      <c r="L20" s="257" t="n"/>
      <c r="M20" s="257" t="n"/>
      <c r="N20" s="236" t="n"/>
      <c r="O20" s="193" t="n"/>
      <c r="P20" s="193" t="n"/>
      <c r="Q20" s="193" t="n"/>
      <c r="R20" s="193" t="n"/>
      <c r="S20" s="224" t="n"/>
      <c r="T20" s="224" t="n"/>
      <c r="U20" s="224" t="n"/>
      <c r="V20" s="224" t="n"/>
      <c r="W20" s="224" t="n"/>
      <c r="X20" s="224" t="n"/>
      <c r="Y20" s="193" t="n"/>
    </row>
    <row r="21">
      <c r="A21" s="124" t="n">
        <v>931</v>
      </c>
      <c r="B21" s="223" t="inlineStr">
        <is>
          <t>Caja x 2500 Toallas Beige Unitas 17,5 cm x 25 cm</t>
        </is>
      </c>
      <c r="D21" s="230">
        <f>K21*0.93*0.98</f>
        <v/>
      </c>
      <c r="E21" s="236" t="n"/>
      <c r="F21" s="220">
        <f>D21*1.3*1.105</f>
        <v/>
      </c>
      <c r="G21" s="219">
        <f>D21*1.3*1.105/0.9</f>
        <v/>
      </c>
      <c r="H21" s="220">
        <f>G21*1.21</f>
        <v/>
      </c>
      <c r="I21" s="215">
        <f>ROUND(H21/100,0)*100</f>
        <v/>
      </c>
      <c r="K21" s="230" t="n">
        <v>2050.25</v>
      </c>
      <c r="L21" s="257" t="n"/>
      <c r="M21" s="257" t="n"/>
      <c r="N21" s="236" t="n"/>
      <c r="S21" s="223" t="n"/>
      <c r="T21" s="223" t="n"/>
      <c r="U21" s="223" t="n"/>
      <c r="V21" s="223" t="n"/>
      <c r="W21" s="223" t="n"/>
      <c r="X21" s="223" t="n"/>
    </row>
    <row r="22">
      <c r="A22" s="182" t="n">
        <v>932</v>
      </c>
      <c r="B22" s="224" t="inlineStr">
        <is>
          <t>Caja x 2500 Toallas Beige 21 cm x 25 cm simple hoja</t>
        </is>
      </c>
      <c r="D22" s="230">
        <f>K22*0.93*0.98</f>
        <v/>
      </c>
      <c r="E22" s="236" t="n"/>
      <c r="F22" s="227">
        <f>D22*1.3*1.105</f>
        <v/>
      </c>
      <c r="G22" s="227">
        <f>D22*1.3*1.105/0.9</f>
        <v/>
      </c>
      <c r="H22" s="227">
        <f>G22*1.21</f>
        <v/>
      </c>
      <c r="I22" s="227">
        <f>ROUND(H22/100,0)*100</f>
        <v/>
      </c>
      <c r="J22" s="193" t="n"/>
      <c r="K22" s="230" t="n">
        <v>2337.69</v>
      </c>
      <c r="L22" s="257" t="n"/>
      <c r="M22" s="257" t="n"/>
      <c r="N22" s="236" t="n"/>
      <c r="O22" s="193" t="n"/>
      <c r="P22" s="193" t="n"/>
      <c r="Q22" s="193" t="n"/>
      <c r="R22" s="193" t="n"/>
      <c r="S22" s="224" t="n"/>
      <c r="T22" s="224" t="n"/>
      <c r="U22" s="224" t="n"/>
      <c r="V22" s="224" t="n"/>
      <c r="W22" s="224" t="n"/>
      <c r="X22" s="224" t="n"/>
      <c r="Y22" s="193" t="n"/>
    </row>
    <row r="23">
      <c r="A23" s="124" t="n"/>
      <c r="B23" s="223" t="n"/>
      <c r="C23" s="223" t="n"/>
      <c r="D23" s="215">
        <f>K23*0.93*0.98</f>
        <v/>
      </c>
      <c r="E23" s="223" t="n"/>
      <c r="F23" s="220" t="n"/>
      <c r="G23" s="222" t="n"/>
      <c r="H23" s="222" t="n"/>
      <c r="I23" s="223" t="n"/>
      <c r="K23" s="215" t="n"/>
      <c r="L23" s="200" t="n"/>
      <c r="M23" s="200" t="n"/>
      <c r="N23" s="223" t="n"/>
      <c r="S23" s="223" t="n"/>
      <c r="T23" s="223" t="n"/>
      <c r="U23" s="223" t="n"/>
      <c r="V23" s="223" t="n"/>
      <c r="W23" s="223" t="n"/>
      <c r="X23" s="223" t="n"/>
    </row>
    <row r="24">
      <c r="A24" s="117" t="inlineStr">
        <is>
          <t>TOALLAS EN ROLLO</t>
        </is>
      </c>
      <c r="B24" s="271" t="n"/>
      <c r="C24" s="223" t="n"/>
      <c r="D24" s="215">
        <f>K24*0.93*0.98</f>
        <v/>
      </c>
      <c r="E24" s="223" t="n"/>
      <c r="F24" s="220" t="n"/>
      <c r="G24" s="222" t="n"/>
      <c r="H24" s="222" t="n"/>
      <c r="I24" s="223" t="n"/>
      <c r="K24" s="215" t="n"/>
      <c r="L24" s="200" t="n"/>
      <c r="M24" s="200" t="n"/>
      <c r="N24" s="223" t="n"/>
      <c r="S24" s="223" t="n"/>
      <c r="T24" s="223" t="n"/>
      <c r="U24" s="223" t="n"/>
      <c r="V24" s="223" t="n"/>
      <c r="W24" s="223" t="n"/>
      <c r="X24" s="223" t="n"/>
    </row>
    <row r="25">
      <c r="A25" s="131" t="n"/>
      <c r="B25" s="111" t="n"/>
      <c r="C25" s="223" t="n"/>
      <c r="D25" s="215">
        <f>K25*0.93*0.98</f>
        <v/>
      </c>
      <c r="E25" s="223" t="n"/>
      <c r="F25" s="220" t="n"/>
      <c r="G25" s="222" t="n"/>
      <c r="H25" s="222" t="n"/>
      <c r="I25" s="223" t="n"/>
      <c r="K25" s="215" t="n"/>
      <c r="L25" s="200" t="n"/>
      <c r="M25" s="200" t="n"/>
      <c r="N25" s="223" t="n"/>
      <c r="S25" s="223" t="n"/>
      <c r="T25" s="223" t="n"/>
      <c r="U25" s="223" t="n"/>
      <c r="V25" s="223" t="n"/>
      <c r="W25" s="223" t="n"/>
      <c r="X25" s="223" t="n"/>
    </row>
    <row r="26">
      <c r="A26" s="124" t="n">
        <v>204</v>
      </c>
      <c r="B26" s="223" t="inlineStr">
        <is>
          <t>Pack X 2 Rollos de toalla x 300 mts Blanca</t>
        </is>
      </c>
      <c r="D26" s="127">
        <f>K26*0.93*0.98</f>
        <v/>
      </c>
      <c r="E26" s="238" t="n"/>
      <c r="F26" s="218">
        <f>D26*1.3*1.105</f>
        <v/>
      </c>
      <c r="G26" s="219">
        <f>D26*1.3*1.105/0.9</f>
        <v/>
      </c>
      <c r="H26" s="220">
        <f>G26*1.21</f>
        <v/>
      </c>
      <c r="I26" s="215">
        <f>ROUND(H26/100,0)*100</f>
        <v/>
      </c>
      <c r="K26" s="127" t="n">
        <v>2247.94</v>
      </c>
      <c r="L26" s="256" t="n"/>
      <c r="M26" s="256" t="n"/>
      <c r="N26" s="238" t="n"/>
      <c r="S26" s="223" t="n"/>
      <c r="T26" s="223" t="n"/>
      <c r="U26" s="223" t="n"/>
      <c r="V26" s="223" t="n"/>
      <c r="W26" s="223" t="n"/>
      <c r="X26" s="223" t="n"/>
    </row>
    <row r="27">
      <c r="A27" s="124" t="n">
        <v>205</v>
      </c>
      <c r="B27" s="223" t="inlineStr">
        <is>
          <t>Pack X 2 Rollos de toalla x 240 mts Blanca</t>
        </is>
      </c>
      <c r="D27" s="230">
        <f>K27*0.93*0.98</f>
        <v/>
      </c>
      <c r="E27" s="236" t="n"/>
      <c r="F27" s="218">
        <f>D27*1.3*1.105</f>
        <v/>
      </c>
      <c r="G27" s="219">
        <f>D27*1.3*1.105/0.9</f>
        <v/>
      </c>
      <c r="H27" s="220">
        <f>G27*1.21</f>
        <v/>
      </c>
      <c r="I27" s="215">
        <f>ROUND(H27/100,0)*100</f>
        <v/>
      </c>
      <c r="K27" s="230" t="n">
        <v>1791.52</v>
      </c>
      <c r="L27" s="257" t="n"/>
      <c r="M27" s="257" t="n"/>
      <c r="N27" s="236" t="n"/>
      <c r="S27" s="223" t="n"/>
      <c r="T27" s="223" t="n"/>
      <c r="U27" s="223" t="n"/>
      <c r="V27" s="223" t="n"/>
      <c r="W27" s="223" t="n"/>
      <c r="X27" s="223" t="n"/>
    </row>
    <row r="28">
      <c r="A28" s="182" t="n">
        <v>116</v>
      </c>
      <c r="B28" s="224" t="inlineStr">
        <is>
          <t>Pack x 6 Rollos de Toallas x 200 mts. Blanca</t>
        </is>
      </c>
      <c r="D28" s="230">
        <f>K28*0.93*0.98</f>
        <v/>
      </c>
      <c r="E28" s="236" t="n"/>
      <c r="F28" s="228">
        <f>D28*1.3*1.105</f>
        <v/>
      </c>
      <c r="G28" s="226">
        <f>D28*1.3*1.105/0.9</f>
        <v/>
      </c>
      <c r="H28" s="227">
        <f>G28*1.21</f>
        <v/>
      </c>
      <c r="I28" s="227">
        <f>ROUND(H28/100,0)*100</f>
        <v/>
      </c>
      <c r="J28" s="193" t="n"/>
      <c r="K28" s="230" t="n">
        <v>4600.7</v>
      </c>
      <c r="L28" s="257" t="n"/>
      <c r="M28" s="257" t="n"/>
      <c r="N28" s="236" t="n"/>
      <c r="O28" s="193" t="n"/>
      <c r="P28" s="193" t="n"/>
      <c r="Q28" s="193" t="n"/>
      <c r="R28" s="193" t="n"/>
      <c r="S28" s="224" t="n"/>
      <c r="T28" s="224" t="n"/>
      <c r="U28" s="224" t="n"/>
      <c r="V28" s="224" t="n"/>
      <c r="W28" s="224" t="n"/>
      <c r="X28" s="224" t="n"/>
      <c r="Y28" s="193" t="n"/>
    </row>
    <row r="29">
      <c r="A29" s="124" t="n">
        <v>135</v>
      </c>
      <c r="B29" s="223" t="inlineStr">
        <is>
          <t>Recarga Original P/Dispenser Celmatic 2500 U. Dobles</t>
        </is>
      </c>
      <c r="D29" s="230">
        <f>K29*0.93*0.98</f>
        <v/>
      </c>
      <c r="E29" s="236" t="n"/>
      <c r="F29" s="218">
        <f>D29*1.3*1.105</f>
        <v/>
      </c>
      <c r="G29" s="219">
        <f>D29*1.3*1.105/0.9</f>
        <v/>
      </c>
      <c r="H29" s="220">
        <f>G29*1.21</f>
        <v/>
      </c>
      <c r="I29" s="215">
        <f>ROUND(H29/100,0)*100</f>
        <v/>
      </c>
      <c r="K29" s="230" t="n">
        <v>5913.29</v>
      </c>
      <c r="L29" s="257" t="n"/>
      <c r="M29" s="257" t="n"/>
      <c r="N29" s="236" t="n"/>
      <c r="S29" s="223" t="n"/>
      <c r="T29" s="223" t="n"/>
      <c r="U29" s="223" t="n"/>
      <c r="V29" s="223" t="n"/>
      <c r="W29" s="223" t="n"/>
      <c r="X29" s="223" t="n"/>
    </row>
    <row r="30">
      <c r="A30" s="124" t="n">
        <v>136</v>
      </c>
      <c r="B30" s="223" t="inlineStr">
        <is>
          <t>Pack x 4 Recarga Celmatic Due 2400 U. Dobles</t>
        </is>
      </c>
      <c r="D30" s="230">
        <f>K30*0.93*0.98</f>
        <v/>
      </c>
      <c r="E30" s="236" t="n"/>
      <c r="F30" s="218">
        <f>D30*1.3*1.105</f>
        <v/>
      </c>
      <c r="G30" s="219">
        <f>D30*1.3*1.105/0.9</f>
        <v/>
      </c>
      <c r="H30" s="220">
        <f>G30*1.21</f>
        <v/>
      </c>
      <c r="I30" s="215">
        <f>ROUND(H30/100,0)*100</f>
        <v/>
      </c>
      <c r="K30" s="230" t="n">
        <v>4422.86</v>
      </c>
      <c r="L30" s="257" t="n"/>
      <c r="M30" s="257" t="n"/>
      <c r="N30" s="236" t="n"/>
      <c r="S30" s="223" t="n"/>
      <c r="T30" s="223" t="n"/>
      <c r="U30" s="223" t="n"/>
      <c r="V30" s="223" t="n"/>
      <c r="W30" s="223" t="n"/>
      <c r="X30" s="223" t="n"/>
    </row>
    <row r="31">
      <c r="A31" s="124" t="n"/>
      <c r="B31" s="223" t="n"/>
      <c r="C31" s="223" t="n"/>
      <c r="D31" s="230">
        <f>K31*0.93*0.98</f>
        <v/>
      </c>
      <c r="E31" s="236" t="n"/>
      <c r="F31" s="220" t="n"/>
      <c r="G31" s="222" t="n"/>
      <c r="H31" s="222" t="n"/>
      <c r="I31" s="223" t="n"/>
      <c r="K31" s="230" t="n"/>
      <c r="L31" s="200" t="n"/>
      <c r="M31" s="200" t="n"/>
      <c r="N31" s="236" t="n"/>
      <c r="S31" s="223" t="n"/>
      <c r="T31" s="223" t="n"/>
      <c r="U31" s="223" t="n"/>
      <c r="V31" s="223" t="n"/>
      <c r="W31" s="223" t="n"/>
      <c r="X31" s="223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>
        <f>K32*0.93*0.98</f>
        <v/>
      </c>
      <c r="E32" s="190" t="n"/>
      <c r="F32" s="220" t="n"/>
      <c r="G32" s="222" t="n"/>
      <c r="H32" s="222" t="n"/>
      <c r="I32" s="223" t="n"/>
      <c r="K32" s="231" t="n"/>
      <c r="L32" s="190" t="n"/>
      <c r="M32" s="190" t="n"/>
      <c r="N32" s="190" t="n"/>
      <c r="S32" s="223" t="n"/>
      <c r="T32" s="223" t="n"/>
      <c r="U32" s="223" t="n"/>
      <c r="V32" s="223" t="n"/>
      <c r="W32" s="223" t="n"/>
      <c r="X32" s="223" t="n"/>
    </row>
    <row r="33">
      <c r="A33" s="131" t="n"/>
      <c r="B33" s="158" t="n"/>
      <c r="C33" s="223" t="n"/>
      <c r="D33" s="192">
        <f>K33*0.93*0.98</f>
        <v/>
      </c>
      <c r="E33" s="234" t="n"/>
      <c r="F33" s="220" t="n"/>
      <c r="G33" s="222" t="n"/>
      <c r="H33" s="222" t="n"/>
      <c r="I33" s="223" t="n"/>
      <c r="K33" s="233" t="n"/>
      <c r="L33" s="190" t="n"/>
      <c r="M33" s="190" t="n"/>
      <c r="N33" s="234" t="n"/>
      <c r="S33" s="223" t="n"/>
      <c r="T33" s="223" t="n"/>
      <c r="U33" s="223" t="n"/>
      <c r="V33" s="223" t="n"/>
      <c r="W33" s="223" t="n"/>
      <c r="X33" s="223" t="n"/>
    </row>
    <row r="34">
      <c r="A34" s="182" t="n">
        <v>501</v>
      </c>
      <c r="B34" s="235" t="inlineStr">
        <is>
          <t>Pack x 2 rollos Cel-Soft de 22,5 x 150 mts</t>
        </is>
      </c>
      <c r="D34" s="230">
        <f>K34*0.93*0.98</f>
        <v/>
      </c>
      <c r="E34" s="236" t="n"/>
      <c r="F34" s="228">
        <f>D34*1.3*1.105</f>
        <v/>
      </c>
      <c r="G34" s="226">
        <f>D34*1.3*1.105/0.9</f>
        <v/>
      </c>
      <c r="H34" s="227">
        <f>G34*1.21</f>
        <v/>
      </c>
      <c r="I34" s="227">
        <f>ROUND(H34/100,0)*100</f>
        <v/>
      </c>
      <c r="J34" s="193" t="n"/>
      <c r="K34" s="230" t="n">
        <v>57</v>
      </c>
      <c r="L34" s="256" t="n"/>
      <c r="M34" s="256" t="n"/>
      <c r="N34" s="236" t="n"/>
      <c r="O34" s="193" t="n"/>
      <c r="P34" s="193" t="n"/>
      <c r="Q34" s="193" t="n"/>
      <c r="R34" s="193" t="n"/>
      <c r="S34" s="224" t="n"/>
      <c r="T34" s="224" t="n"/>
      <c r="U34" s="224" t="n"/>
      <c r="V34" s="224" t="n"/>
      <c r="W34" s="224" t="n"/>
      <c r="X34" s="224" t="n"/>
      <c r="Y34" s="193" t="n"/>
    </row>
    <row r="35">
      <c r="A35" s="124" t="n">
        <v>505</v>
      </c>
      <c r="B35" s="223" t="inlineStr">
        <is>
          <t>Caja x 2000 U. Servilletas Cel-Soft 30 x 40 cm</t>
        </is>
      </c>
      <c r="D35" s="230">
        <f>K35*0.93*0.98</f>
        <v/>
      </c>
      <c r="E35" s="236" t="n"/>
      <c r="F35" s="218">
        <f>D35*1.3*1.105</f>
        <v/>
      </c>
      <c r="G35" s="219">
        <f>D35*1.3*1.105/0.9</f>
        <v/>
      </c>
      <c r="H35" s="220">
        <f>G35*1.21</f>
        <v/>
      </c>
      <c r="I35" s="215">
        <f>ROUND(H35/100,0)*100</f>
        <v/>
      </c>
      <c r="K35" s="230" t="n">
        <v>273.74</v>
      </c>
      <c r="L35" s="257" t="n"/>
      <c r="M35" s="257" t="n"/>
      <c r="N35" s="236" t="n"/>
      <c r="S35" s="223" t="n"/>
      <c r="T35" s="223" t="n"/>
      <c r="U35" s="223" t="n"/>
      <c r="V35" s="223" t="n"/>
      <c r="W35" s="223" t="n"/>
      <c r="X35" s="223" t="n"/>
    </row>
    <row r="36">
      <c r="A36" s="124" t="n">
        <v>506</v>
      </c>
      <c r="B36" s="223" t="inlineStr">
        <is>
          <t>Caja x 3500 Toallas Cel-Soft 21 x 25 cm Blancas</t>
        </is>
      </c>
      <c r="D36" s="230">
        <f>K36*0.93*0.98</f>
        <v/>
      </c>
      <c r="E36" s="236" t="n"/>
      <c r="F36" s="218">
        <f>D36*1.3*1.105</f>
        <v/>
      </c>
      <c r="G36" s="219">
        <f>D36*1.3*1.105/0.9</f>
        <v/>
      </c>
      <c r="H36" s="220">
        <f>G36*1.21</f>
        <v/>
      </c>
      <c r="I36" s="215">
        <f>ROUND(H36/100,0)*100</f>
        <v/>
      </c>
      <c r="K36" s="230" t="n">
        <v>153.22</v>
      </c>
      <c r="L36" s="257" t="n"/>
      <c r="M36" s="257" t="n"/>
      <c r="N36" s="236" t="n"/>
      <c r="S36" s="223" t="n"/>
      <c r="T36" s="223" t="n"/>
      <c r="U36" s="223" t="n"/>
      <c r="V36" s="223" t="n"/>
      <c r="W36" s="223" t="n"/>
      <c r="X36" s="223" t="n"/>
    </row>
    <row r="37">
      <c r="A37" s="182" t="n">
        <v>512</v>
      </c>
      <c r="B37" s="224" t="inlineStr">
        <is>
          <t>Caja x 2000 U. Servilletas Cel-Soft 30 x 25 cm</t>
        </is>
      </c>
      <c r="D37" s="230">
        <f>K37*0.93*0.98</f>
        <v/>
      </c>
      <c r="E37" s="236" t="n"/>
      <c r="F37" s="228">
        <f>D37*1.3*1.105</f>
        <v/>
      </c>
      <c r="G37" s="226">
        <f>D37*1.3*1.105/0.9</f>
        <v/>
      </c>
      <c r="H37" s="227">
        <f>G37*1.21</f>
        <v/>
      </c>
      <c r="I37" s="227">
        <f>ROUND(H37/100,0)*100</f>
        <v/>
      </c>
      <c r="J37" s="193" t="n"/>
      <c r="K37" s="230" t="n">
        <v>173.66</v>
      </c>
      <c r="L37" s="257" t="n"/>
      <c r="M37" s="257" t="n"/>
      <c r="N37" s="236" t="n"/>
      <c r="O37" s="193" t="n"/>
      <c r="P37" s="193" t="n"/>
      <c r="Q37" s="193" t="n"/>
      <c r="R37" s="193" t="n"/>
      <c r="S37" s="224" t="n"/>
      <c r="T37" s="224" t="n"/>
      <c r="U37" s="224" t="n"/>
      <c r="V37" s="224" t="n"/>
      <c r="W37" s="224" t="n"/>
      <c r="X37" s="224" t="n"/>
      <c r="Y37" s="193" t="n"/>
    </row>
    <row r="38">
      <c r="A38" s="124" t="n">
        <v>514</v>
      </c>
      <c r="B38" s="223" t="inlineStr">
        <is>
          <t>Caja por 600 servilletas Celsoft 40x40 Victoria Ambra</t>
        </is>
      </c>
      <c r="D38" s="230">
        <f>K38*0.93*0.98</f>
        <v/>
      </c>
      <c r="E38" s="236" t="n"/>
      <c r="F38" s="218">
        <f>D38*1.3*1.105</f>
        <v/>
      </c>
      <c r="G38" s="219">
        <f>D38*1.3*1.105/0.9</f>
        <v/>
      </c>
      <c r="H38" s="220">
        <f>G38*1.21</f>
        <v/>
      </c>
      <c r="I38" s="215">
        <f>ROUND(H38/100,0)*100</f>
        <v/>
      </c>
      <c r="K38" s="230" t="n">
        <v>187.2</v>
      </c>
      <c r="L38" s="257" t="n"/>
      <c r="M38" s="257" t="n"/>
      <c r="N38" s="236" t="n"/>
      <c r="S38" s="223" t="n"/>
      <c r="T38" s="223" t="n"/>
      <c r="U38" s="223" t="n"/>
      <c r="V38" s="223" t="n"/>
      <c r="W38" s="223" t="n"/>
      <c r="X38" s="223" t="n"/>
    </row>
    <row r="39">
      <c r="A39" s="124" t="n">
        <v>515</v>
      </c>
      <c r="B39" s="223" t="inlineStr">
        <is>
          <t>Caja por 600 servilletas Celsoft 40x40 Victoria Nero</t>
        </is>
      </c>
      <c r="D39" s="230">
        <f>K39*0.93*0.98</f>
        <v/>
      </c>
      <c r="E39" s="236" t="n"/>
      <c r="F39" s="218">
        <f>D39*1.3*1.105</f>
        <v/>
      </c>
      <c r="G39" s="219">
        <f>D39*1.3*1.105/0.9</f>
        <v/>
      </c>
      <c r="H39" s="220">
        <f>G39*1.21</f>
        <v/>
      </c>
      <c r="I39" s="215">
        <f>ROUND(H39/100,0)*100</f>
        <v/>
      </c>
      <c r="K39" s="230" t="n">
        <v>187.2</v>
      </c>
      <c r="L39" s="257" t="n"/>
      <c r="M39" s="257" t="n"/>
      <c r="N39" s="236" t="n"/>
      <c r="S39" s="223" t="n"/>
      <c r="T39" s="223" t="n"/>
      <c r="U39" s="223" t="n"/>
      <c r="V39" s="223" t="n"/>
      <c r="W39" s="223" t="n"/>
      <c r="X39" s="223" t="n"/>
    </row>
    <row r="40">
      <c r="A40" s="124" t="n">
        <v>516</v>
      </c>
      <c r="B40" s="223" t="inlineStr">
        <is>
          <t>Caja por 600 servilletas Celsoft 40x40 Tasca Bordeaux</t>
        </is>
      </c>
      <c r="D40" s="230">
        <f>K40*0.93*0.98</f>
        <v/>
      </c>
      <c r="E40" s="236" t="n"/>
      <c r="F40" s="218">
        <f>D40*1.3*1.105</f>
        <v/>
      </c>
      <c r="G40" s="219">
        <f>D40*1.3*1.105/0.9</f>
        <v/>
      </c>
      <c r="H40" s="220">
        <f>G40*1.21</f>
        <v/>
      </c>
      <c r="I40" s="215">
        <f>ROUND(H40/100,0)*100</f>
        <v/>
      </c>
      <c r="K40" s="230" t="n">
        <v>220.74</v>
      </c>
      <c r="L40" s="257" t="n"/>
      <c r="M40" s="257" t="n"/>
      <c r="N40" s="236" t="n"/>
      <c r="S40" s="223" t="n"/>
      <c r="T40" s="223" t="n"/>
      <c r="U40" s="223" t="n"/>
      <c r="V40" s="223" t="n"/>
      <c r="W40" s="223" t="n"/>
      <c r="X40" s="223" t="n"/>
    </row>
    <row r="41">
      <c r="A41" s="124" t="n">
        <v>517</v>
      </c>
      <c r="B41" s="223" t="inlineStr">
        <is>
          <t>Caja por 600 servilletas Celsoft 40x40 Tasca Nero</t>
        </is>
      </c>
      <c r="D41" s="230">
        <f>K41*0.93*0.98</f>
        <v/>
      </c>
      <c r="E41" s="236" t="n"/>
      <c r="F41" s="218">
        <f>D41*1.3*1.105</f>
        <v/>
      </c>
      <c r="G41" s="219">
        <f>D41*1.3*1.105/0.9</f>
        <v/>
      </c>
      <c r="H41" s="220">
        <f>G41*1.21</f>
        <v/>
      </c>
      <c r="I41" s="215">
        <f>ROUND(H41/100,0)*100</f>
        <v/>
      </c>
      <c r="K41" s="230" t="n">
        <v>220.74</v>
      </c>
      <c r="L41" s="257" t="n"/>
      <c r="M41" s="257" t="n"/>
      <c r="N41" s="236" t="n"/>
      <c r="S41" s="223" t="n"/>
      <c r="T41" s="223" t="n"/>
      <c r="U41" s="223" t="n"/>
      <c r="V41" s="223" t="n"/>
      <c r="W41" s="223" t="n"/>
      <c r="X41" s="223" t="n"/>
    </row>
    <row r="42">
      <c r="A42" s="124" t="n">
        <v>518</v>
      </c>
      <c r="B42" s="223" t="inlineStr">
        <is>
          <t>Caja por 600 servilletas Celsoft 40x40 Tasca Lino Avorio</t>
        </is>
      </c>
      <c r="D42" s="230">
        <f>K42*0.93*0.98</f>
        <v/>
      </c>
      <c r="E42" s="236" t="n"/>
      <c r="F42" s="218">
        <f>D42*1.3*1.105</f>
        <v/>
      </c>
      <c r="G42" s="219">
        <f>D42*1.3*1.105/0.9</f>
        <v/>
      </c>
      <c r="H42" s="220">
        <f>G42*1.21</f>
        <v/>
      </c>
      <c r="I42" s="215">
        <f>ROUND(H42/100,0)*100</f>
        <v/>
      </c>
      <c r="K42" s="230" t="n">
        <v>187.2</v>
      </c>
      <c r="L42" s="257" t="n"/>
      <c r="M42" s="257" t="n"/>
      <c r="N42" s="236" t="n"/>
      <c r="S42" s="223" t="n"/>
      <c r="T42" s="223" t="n"/>
      <c r="U42" s="223" t="n"/>
      <c r="V42" s="223" t="n"/>
      <c r="W42" s="223" t="n"/>
      <c r="X42" s="223" t="n"/>
    </row>
    <row r="43">
      <c r="A43" s="124" t="n">
        <v>519</v>
      </c>
      <c r="B43" s="223" t="inlineStr">
        <is>
          <t>Caja por 600 servilletas Celsoft 40x40 Taca Iuta Grigio</t>
        </is>
      </c>
      <c r="D43" s="230">
        <f>K43*0.93*0.98</f>
        <v/>
      </c>
      <c r="E43" s="236" t="n"/>
      <c r="F43" s="218">
        <f>D43*1.3*1.105</f>
        <v/>
      </c>
      <c r="G43" s="219">
        <f>D43*1.3*1.105/0.9</f>
        <v/>
      </c>
      <c r="H43" s="220">
        <f>G43*1.21</f>
        <v/>
      </c>
      <c r="I43" s="215">
        <f>ROUND(H43/100,0)*100</f>
        <v/>
      </c>
      <c r="K43" s="230" t="n">
        <v>187.2</v>
      </c>
      <c r="L43" s="257" t="n"/>
      <c r="M43" s="257" t="n"/>
      <c r="N43" s="236" t="n"/>
      <c r="S43" s="223" t="n"/>
      <c r="T43" s="223" t="n"/>
      <c r="U43" s="223" t="n"/>
      <c r="V43" s="223" t="n"/>
      <c r="W43" s="223" t="n"/>
      <c r="X43" s="223" t="n"/>
    </row>
    <row r="44">
      <c r="A44" s="124" t="n">
        <v>520</v>
      </c>
      <c r="B44" s="223" t="inlineStr">
        <is>
          <t>Caja de servilletas Celsoft 40 x 40 SAMPLER 300 Unid</t>
        </is>
      </c>
      <c r="D44" s="230">
        <f>K44*0.93*0.98</f>
        <v/>
      </c>
      <c r="E44" s="236" t="n"/>
      <c r="F44" s="218">
        <f>D44*1.3*1.105</f>
        <v/>
      </c>
      <c r="G44" s="219">
        <f>D44*1.3*1.105/0.9</f>
        <v/>
      </c>
      <c r="H44" s="220">
        <f>G44*1.21</f>
        <v/>
      </c>
      <c r="I44" s="215">
        <f>ROUND(H44/100,0)*100</f>
        <v/>
      </c>
      <c r="K44" s="230" t="n">
        <v>99.09</v>
      </c>
      <c r="L44" s="257" t="n"/>
      <c r="M44" s="257" t="n"/>
      <c r="N44" s="236" t="n"/>
      <c r="S44" s="223" t="n"/>
      <c r="T44" s="223" t="n"/>
      <c r="U44" s="223" t="n"/>
      <c r="V44" s="223" t="n"/>
      <c r="W44" s="223" t="n"/>
      <c r="X44" s="223" t="n"/>
    </row>
    <row r="45">
      <c r="A45" s="124" t="n"/>
      <c r="B45" s="223" t="n"/>
      <c r="C45" s="223" t="n"/>
      <c r="D45" s="237">
        <f>K45*0.93*0.98</f>
        <v/>
      </c>
      <c r="E45" s="200" t="n"/>
      <c r="F45" s="220" t="n"/>
      <c r="G45" s="222" t="n"/>
      <c r="H45" s="222" t="n"/>
      <c r="I45" s="223" t="n"/>
      <c r="K45" s="237" t="n"/>
      <c r="L45" s="200" t="n"/>
      <c r="M45" s="200" t="n"/>
      <c r="N45" s="200" t="n"/>
      <c r="S45" s="223" t="n"/>
      <c r="T45" s="223" t="n"/>
      <c r="U45" s="223" t="n"/>
      <c r="V45" s="223" t="n"/>
      <c r="W45" s="223" t="n"/>
      <c r="X45" s="223" t="n"/>
    </row>
    <row r="46">
      <c r="A46" s="142" t="inlineStr">
        <is>
          <t>PAPEL HIGIENICO</t>
        </is>
      </c>
      <c r="B46" s="271" t="n"/>
      <c r="C46" s="223" t="n"/>
      <c r="D46" s="237">
        <f>K46*0.93*0.98</f>
        <v/>
      </c>
      <c r="E46" s="200" t="n"/>
      <c r="F46" s="220" t="n"/>
      <c r="G46" s="222" t="n"/>
      <c r="H46" s="222" t="n"/>
      <c r="I46" s="223" t="n"/>
      <c r="K46" s="237" t="n"/>
      <c r="L46" s="200" t="n"/>
      <c r="M46" s="200" t="n"/>
      <c r="N46" s="200" t="n"/>
      <c r="S46" s="223" t="n"/>
      <c r="T46" s="223" t="n"/>
      <c r="U46" s="223" t="n"/>
      <c r="V46" s="223" t="n"/>
      <c r="W46" s="223" t="n"/>
      <c r="X46" s="223" t="n"/>
    </row>
    <row r="47">
      <c r="A47" s="111" t="n"/>
      <c r="B47" s="223" t="n"/>
      <c r="C47" s="223" t="n"/>
      <c r="D47" s="237">
        <f>K47*0.93*0.98</f>
        <v/>
      </c>
      <c r="E47" s="200" t="n"/>
      <c r="F47" s="220" t="n"/>
      <c r="G47" s="222" t="n"/>
      <c r="H47" s="222" t="n"/>
      <c r="I47" s="223" t="n"/>
      <c r="K47" s="237" t="n"/>
      <c r="L47" s="200" t="n"/>
      <c r="M47" s="200" t="n"/>
      <c r="N47" s="200" t="n"/>
      <c r="S47" s="223" t="n"/>
      <c r="T47" s="223" t="n"/>
      <c r="U47" s="223" t="n"/>
      <c r="V47" s="223" t="n"/>
      <c r="W47" s="223" t="n"/>
      <c r="X47" s="223" t="n"/>
    </row>
    <row r="48">
      <c r="A48" s="124" t="n">
        <v>211</v>
      </c>
      <c r="B48" s="223" t="inlineStr">
        <is>
          <t>Pack x18 Rollos Higienico Racional D/H x 60 mts</t>
        </is>
      </c>
      <c r="D48" s="127">
        <f>K48*0.93*0.98</f>
        <v/>
      </c>
      <c r="E48" s="238" t="n"/>
      <c r="F48" s="218">
        <f>D48*1.3*1.105</f>
        <v/>
      </c>
      <c r="G48" s="219">
        <f>D48*1.3*1.105/0.9</f>
        <v/>
      </c>
      <c r="H48" s="220">
        <f>G48*1.21</f>
        <v/>
      </c>
      <c r="I48" s="215">
        <f>ROUND(H48/100,0)*100</f>
        <v/>
      </c>
      <c r="K48" s="127" t="n">
        <v>3295</v>
      </c>
      <c r="L48" s="256" t="n"/>
      <c r="M48" s="256" t="n"/>
      <c r="N48" s="238" t="n"/>
      <c r="S48" s="223" t="n"/>
      <c r="T48" s="223" t="n"/>
      <c r="U48" s="223" t="n"/>
      <c r="V48" s="223" t="n"/>
      <c r="W48" s="223" t="n"/>
      <c r="X48" s="223" t="n"/>
    </row>
    <row r="49">
      <c r="A49" s="124" t="n">
        <v>213</v>
      </c>
      <c r="B49" s="223" t="inlineStr">
        <is>
          <t>Pack x 4 Rollos Higienico Racional x 500 mts Buje 7,5</t>
        </is>
      </c>
      <c r="D49" s="230">
        <f>K49*0.93*0.98</f>
        <v/>
      </c>
      <c r="E49" s="236" t="n"/>
      <c r="F49" s="218">
        <f>D49*1.3*1.105</f>
        <v/>
      </c>
      <c r="G49" s="219">
        <f>D49*1.3*1.105/0.9</f>
        <v/>
      </c>
      <c r="H49" s="220">
        <f>G49*1.21</f>
        <v/>
      </c>
      <c r="I49" s="215">
        <f>ROUND(H49/100,0)*100</f>
        <v/>
      </c>
      <c r="K49" s="230" t="n">
        <v>2553.66</v>
      </c>
      <c r="L49" s="257" t="n"/>
      <c r="M49" s="257" t="n"/>
      <c r="N49" s="236" t="n"/>
      <c r="S49" s="223" t="n"/>
      <c r="T49" s="223" t="n"/>
      <c r="U49" s="223" t="n"/>
      <c r="V49" s="223" t="n"/>
      <c r="W49" s="223" t="n"/>
      <c r="X49" s="223" t="n"/>
    </row>
    <row r="50">
      <c r="A50" s="182" t="n">
        <v>214</v>
      </c>
      <c r="B50" s="224" t="inlineStr">
        <is>
          <t>Pack x 18 rollos Papel Higienico Racional x 122 mts</t>
        </is>
      </c>
      <c r="D50" s="230">
        <f>K50*0.93*0.98</f>
        <v/>
      </c>
      <c r="E50" s="236" t="n"/>
      <c r="F50" s="228">
        <f>D50*1.3*1.105</f>
        <v/>
      </c>
      <c r="G50" s="226">
        <f>D50*1.3*1.105/0.9</f>
        <v/>
      </c>
      <c r="H50" s="227">
        <f>G50*1.21</f>
        <v/>
      </c>
      <c r="I50" s="227">
        <f>ROUND(H50/100,0)*100</f>
        <v/>
      </c>
      <c r="J50" s="193" t="n"/>
      <c r="K50" s="230" t="n">
        <v>3137.37</v>
      </c>
      <c r="L50" s="257" t="n"/>
      <c r="M50" s="257" t="n"/>
      <c r="N50" s="236" t="n"/>
      <c r="O50" s="193" t="n"/>
      <c r="P50" s="193" t="n"/>
      <c r="Q50" s="193" t="n"/>
      <c r="R50" s="193" t="n"/>
      <c r="S50" s="224" t="n"/>
      <c r="T50" s="224" t="n"/>
      <c r="U50" s="224" t="n"/>
      <c r="V50" s="224" t="n"/>
      <c r="W50" s="224" t="n"/>
      <c r="X50" s="224" t="n"/>
      <c r="Y50" s="193" t="n"/>
    </row>
    <row r="51">
      <c r="A51" s="124" t="n">
        <v>218</v>
      </c>
      <c r="B51" s="223" t="inlineStr">
        <is>
          <t>Pack x 8 rollos Higienico Racional x 265 mts buje 7,5</t>
        </is>
      </c>
      <c r="D51" s="230">
        <f>K51*0.93*0.98</f>
        <v/>
      </c>
      <c r="E51" s="236" t="n"/>
      <c r="F51" s="218">
        <f>D51*1.3*1.105</f>
        <v/>
      </c>
      <c r="G51" s="219">
        <f>D51*1.3*1.105/0.9</f>
        <v/>
      </c>
      <c r="H51" s="220">
        <f>G51*1.21</f>
        <v/>
      </c>
      <c r="I51" s="215">
        <f>ROUND(H51/100,0)*100</f>
        <v/>
      </c>
      <c r="K51" s="230" t="n">
        <v>2887.55</v>
      </c>
      <c r="L51" s="257" t="n"/>
      <c r="M51" s="257" t="n"/>
      <c r="N51" s="236" t="n"/>
      <c r="S51" s="223" t="n"/>
      <c r="T51" s="223" t="n"/>
      <c r="U51" s="223" t="n"/>
      <c r="V51" s="223" t="n"/>
      <c r="W51" s="223" t="n"/>
      <c r="X51" s="223" t="n"/>
    </row>
    <row r="52">
      <c r="A52" s="182" t="n">
        <v>220</v>
      </c>
      <c r="B52" s="224" t="inlineStr">
        <is>
          <t>Pack x 8 Rollos Papel Higienico Racional x 300 mts</t>
        </is>
      </c>
      <c r="D52" s="230">
        <f>K52*0.93*0.98</f>
        <v/>
      </c>
      <c r="E52" s="236" t="n"/>
      <c r="F52" s="228">
        <f>D52*1.3*1.105</f>
        <v/>
      </c>
      <c r="G52" s="226">
        <f>D52*1.3*1.105/0.9</f>
        <v/>
      </c>
      <c r="H52" s="227">
        <f>G52*1.21</f>
        <v/>
      </c>
      <c r="I52" s="227">
        <f>ROUND(H52/100,0)*100</f>
        <v/>
      </c>
      <c r="J52" s="193" t="n"/>
      <c r="K52" s="230" t="n">
        <v>3290.46</v>
      </c>
      <c r="L52" s="257" t="n"/>
      <c r="M52" s="257" t="n"/>
      <c r="N52" s="236" t="n"/>
      <c r="O52" s="193" t="n"/>
      <c r="P52" s="193" t="n"/>
      <c r="Q52" s="193" t="n"/>
      <c r="R52" s="193" t="n"/>
      <c r="S52" s="224" t="n"/>
      <c r="T52" s="224" t="n"/>
      <c r="U52" s="224" t="n"/>
      <c r="V52" s="224" t="n"/>
      <c r="W52" s="224" t="n"/>
      <c r="X52" s="224" t="n"/>
      <c r="Y52" s="193" t="n"/>
    </row>
    <row r="53">
      <c r="A53" s="124" t="n">
        <v>222</v>
      </c>
      <c r="B53" s="223" t="inlineStr">
        <is>
          <t>Pack x 8 Rollos Papel Higienico x 260 mts Buje4,5</t>
        </is>
      </c>
      <c r="D53" s="230">
        <f>K53*0.93*0.98</f>
        <v/>
      </c>
      <c r="E53" s="236" t="n"/>
      <c r="F53" s="218">
        <f>D53*1.3*1.105</f>
        <v/>
      </c>
      <c r="G53" s="219">
        <f>D53*1.3*1.105/0.9</f>
        <v/>
      </c>
      <c r="H53" s="220">
        <f>G53*1.21</f>
        <v/>
      </c>
      <c r="I53" s="215">
        <f>ROUND(H53/100,0)*100</f>
        <v/>
      </c>
      <c r="K53" s="230" t="n">
        <v>2795.77</v>
      </c>
      <c r="L53" s="257" t="n"/>
      <c r="M53" s="257" t="n"/>
      <c r="N53" s="236" t="n"/>
      <c r="S53" s="223" t="n"/>
      <c r="T53" s="223" t="n"/>
      <c r="U53" s="223" t="n"/>
      <c r="V53" s="223" t="n"/>
      <c r="W53" s="223" t="n"/>
      <c r="X53" s="223" t="n"/>
    </row>
    <row r="54">
      <c r="A54" s="182" t="n">
        <v>909</v>
      </c>
      <c r="B54" s="224" t="inlineStr">
        <is>
          <t>Papel Higiénico 20 x 14,5 8000 h. 4000 usos</t>
        </is>
      </c>
      <c r="D54" s="230">
        <f>K54*0.93*0.98</f>
        <v/>
      </c>
      <c r="E54" s="236" t="n"/>
      <c r="F54" s="228">
        <f>D54*1.3*1.105</f>
        <v/>
      </c>
      <c r="G54" s="226">
        <f>D54*1.3*1.105/0.9</f>
        <v/>
      </c>
      <c r="H54" s="227">
        <f>G54*1.21</f>
        <v/>
      </c>
      <c r="I54" s="227">
        <f>ROUND(H54/100,0)*100</f>
        <v/>
      </c>
      <c r="J54" s="193" t="n"/>
      <c r="K54" s="230" t="n">
        <v>4314.67</v>
      </c>
      <c r="L54" s="257" t="n"/>
      <c r="M54" s="257" t="n"/>
      <c r="N54" s="236" t="n"/>
      <c r="O54" s="193" t="n"/>
      <c r="P54" s="193" t="n"/>
      <c r="Q54" s="193" t="n"/>
      <c r="R54" s="193" t="n"/>
      <c r="S54" s="224" t="n"/>
      <c r="T54" s="224" t="n"/>
      <c r="U54" s="224" t="n"/>
      <c r="V54" s="224" t="n"/>
      <c r="W54" s="224" t="n"/>
      <c r="X54" s="224" t="n"/>
      <c r="Y54" s="193" t="n"/>
    </row>
    <row r="55">
      <c r="A55" s="124" t="n">
        <v>912</v>
      </c>
      <c r="B55" s="223" t="inlineStr">
        <is>
          <t>Papel Higienico UNITAS(18x14,5cm) 8000 h/4000 usos</t>
        </is>
      </c>
      <c r="D55" s="230">
        <f>K55*0.93*0.98</f>
        <v/>
      </c>
      <c r="E55" s="236" t="n"/>
      <c r="F55" s="218">
        <f>D55*1.3*1.105</f>
        <v/>
      </c>
      <c r="G55" s="219">
        <f>D55*1.3*1.105/0.9</f>
        <v/>
      </c>
      <c r="H55" s="220">
        <f>G55*1.21</f>
        <v/>
      </c>
      <c r="I55" s="215">
        <f>ROUND(H55/100,0)*100</f>
        <v/>
      </c>
      <c r="K55" s="230" t="n">
        <v>3466.5</v>
      </c>
      <c r="L55" s="257" t="n"/>
      <c r="M55" s="257" t="n"/>
      <c r="N55" s="236" t="n"/>
      <c r="S55" s="223" t="n"/>
      <c r="T55" s="223" t="n"/>
      <c r="U55" s="223" t="n"/>
      <c r="V55" s="223" t="n"/>
      <c r="W55" s="223" t="n"/>
      <c r="X55" s="223" t="n"/>
    </row>
    <row r="56">
      <c r="A56" s="124" t="n"/>
      <c r="B56" s="223" t="n"/>
      <c r="C56" s="223" t="n"/>
      <c r="D56" s="237">
        <f>K56*0.93*0.98</f>
        <v/>
      </c>
      <c r="E56" s="200" t="n"/>
      <c r="F56" s="220" t="n"/>
      <c r="G56" s="222" t="n"/>
      <c r="H56" s="222" t="n"/>
      <c r="I56" s="223" t="n"/>
      <c r="K56" s="237" t="n"/>
      <c r="L56" s="200" t="n"/>
      <c r="M56" s="200" t="n"/>
      <c r="N56" s="200" t="n"/>
      <c r="S56" s="223" t="n"/>
      <c r="T56" s="223" t="n"/>
      <c r="U56" s="223" t="n"/>
      <c r="V56" s="223" t="n"/>
      <c r="W56" s="223" t="n"/>
      <c r="X56" s="223" t="n"/>
    </row>
    <row r="57">
      <c r="A57" s="124" t="n"/>
      <c r="B57" s="210" t="n">
        <v>44748</v>
      </c>
      <c r="C57" s="223" t="n"/>
      <c r="D57" s="237">
        <f>K57*0.93*0.98</f>
        <v/>
      </c>
      <c r="E57" s="200" t="n"/>
      <c r="F57" s="220" t="n"/>
      <c r="G57" s="222" t="n"/>
      <c r="H57" s="222" t="n"/>
      <c r="I57" s="223" t="n"/>
      <c r="K57" s="237" t="n"/>
      <c r="L57" s="200" t="n"/>
      <c r="M57" s="200" t="n"/>
      <c r="N57" s="200" t="n"/>
      <c r="S57" s="223" t="n"/>
      <c r="T57" s="223" t="n"/>
      <c r="U57" s="223" t="n"/>
      <c r="V57" s="223" t="n"/>
      <c r="W57" s="223" t="n"/>
      <c r="X57" s="223" t="n"/>
    </row>
    <row r="58">
      <c r="A58" s="124" t="n"/>
      <c r="B58" s="223" t="n"/>
      <c r="C58" s="223" t="n"/>
      <c r="D58" s="237">
        <f>K58*0.93*0.98</f>
        <v/>
      </c>
      <c r="E58" s="200" t="n"/>
      <c r="F58" s="220" t="n"/>
      <c r="G58" s="222" t="n"/>
      <c r="H58" s="222" t="n"/>
      <c r="I58" s="223" t="n"/>
      <c r="K58" s="237" t="n"/>
      <c r="L58" s="200" t="n"/>
      <c r="M58" s="200" t="n"/>
      <c r="N58" s="200" t="n"/>
      <c r="S58" s="223" t="n"/>
      <c r="T58" s="223" t="n"/>
      <c r="U58" s="223" t="n"/>
      <c r="V58" s="223" t="n"/>
      <c r="W58" s="223" t="n"/>
      <c r="X58" s="223" t="n"/>
    </row>
    <row r="59">
      <c r="A59" s="117" t="inlineStr">
        <is>
          <t>CAMILLEROS</t>
        </is>
      </c>
      <c r="B59" s="223" t="n"/>
      <c r="C59" s="223" t="n"/>
      <c r="D59" s="237">
        <f>K59*0.93*0.98</f>
        <v/>
      </c>
      <c r="E59" s="237" t="n">
        <v>3675.45672</v>
      </c>
      <c r="F59" s="220" t="n">
        <v>1.114691401</v>
      </c>
      <c r="G59" s="222" t="n"/>
      <c r="H59" s="222" t="n"/>
      <c r="I59" s="223" t="n"/>
      <c r="K59" s="237" t="n"/>
      <c r="L59" s="200" t="n"/>
      <c r="M59" s="200" t="n"/>
      <c r="N59" s="200" t="n"/>
      <c r="S59" s="223" t="n"/>
      <c r="T59" s="223" t="n"/>
      <c r="U59" s="223" t="n"/>
      <c r="V59" s="223" t="n"/>
      <c r="W59" s="223" t="n"/>
      <c r="X59" s="223" t="n"/>
    </row>
    <row r="60">
      <c r="A60" s="131" t="n"/>
      <c r="B60" s="223" t="n"/>
      <c r="C60" s="223" t="n"/>
      <c r="D60" s="237">
        <f>K60*0.93*0.98</f>
        <v/>
      </c>
      <c r="E60" s="200" t="n"/>
      <c r="F60" s="220" t="n"/>
      <c r="G60" s="222" t="n"/>
      <c r="H60" s="222" t="n"/>
      <c r="I60" s="223" t="n"/>
      <c r="K60" s="237" t="n"/>
      <c r="L60" s="200" t="n"/>
      <c r="M60" s="200" t="n"/>
      <c r="N60" s="200" t="n"/>
      <c r="S60" s="223" t="n"/>
      <c r="T60" s="223" t="n"/>
      <c r="U60" s="223" t="n"/>
      <c r="V60" s="223" t="n"/>
      <c r="W60" s="223" t="n"/>
      <c r="X60" s="223" t="n"/>
    </row>
    <row r="61">
      <c r="A61" s="182" t="n">
        <v>301</v>
      </c>
      <c r="B61" s="224" t="inlineStr">
        <is>
          <t>Pack x 2 Rollos Camilleros bco s/h 54x100mts Prec</t>
        </is>
      </c>
      <c r="D61" s="127" t="n">
        <v>3107</v>
      </c>
      <c r="E61" s="238" t="n"/>
      <c r="F61" s="228">
        <f>D61*1.3*1.105</f>
        <v/>
      </c>
      <c r="G61" s="226">
        <f>D61*1.3*1.105/0.9</f>
        <v/>
      </c>
      <c r="H61" s="227">
        <f>G61*1.21</f>
        <v/>
      </c>
      <c r="I61" s="227">
        <f>ROUND(H61/100,0)*100</f>
        <v/>
      </c>
      <c r="J61" s="193" t="n"/>
      <c r="K61" s="127" t="n">
        <v>3475.36</v>
      </c>
      <c r="L61" s="256" t="n"/>
      <c r="M61" s="256" t="n"/>
      <c r="N61" s="238" t="n"/>
      <c r="O61" s="193" t="n"/>
      <c r="P61" s="193" t="n"/>
      <c r="Q61" s="193" t="n"/>
      <c r="R61" s="193" t="n"/>
      <c r="S61" s="227">
        <f>N61*0.93</f>
        <v/>
      </c>
      <c r="T61" s="224" t="n"/>
      <c r="U61" s="224" t="n"/>
      <c r="V61" s="224" t="n"/>
      <c r="W61" s="224" t="n"/>
      <c r="X61" s="224" t="n"/>
      <c r="Y61" s="193" t="n"/>
    </row>
    <row r="62">
      <c r="A62" s="124" t="n"/>
      <c r="B62" s="155" t="n"/>
      <c r="C62" s="223" t="n"/>
      <c r="D62" s="237">
        <f>K62*0.93*0.98</f>
        <v/>
      </c>
      <c r="E62" s="200" t="n"/>
      <c r="F62" s="220" t="n"/>
      <c r="G62" s="222" t="n"/>
      <c r="H62" s="222" t="n"/>
      <c r="I62" s="223" t="n"/>
      <c r="K62" s="237" t="n"/>
      <c r="L62" s="200" t="n"/>
      <c r="M62" s="200" t="n"/>
      <c r="N62" s="200" t="n"/>
      <c r="S62" s="223" t="n"/>
      <c r="T62" s="223" t="n"/>
      <c r="U62" s="223" t="n"/>
      <c r="V62" s="223" t="n"/>
      <c r="W62" s="223" t="n"/>
      <c r="X62" s="223" t="n"/>
    </row>
    <row r="63">
      <c r="A63" s="142" t="inlineStr">
        <is>
          <t>DISPENSERS</t>
        </is>
      </c>
      <c r="B63" s="223" t="n"/>
      <c r="C63" s="223" t="n"/>
      <c r="D63" s="237">
        <f>K63*0.93*0.98</f>
        <v/>
      </c>
      <c r="E63" s="200" t="n"/>
      <c r="F63" s="220" t="n"/>
      <c r="G63" s="222" t="n"/>
      <c r="H63" s="222" t="n"/>
      <c r="I63" s="223" t="n"/>
      <c r="K63" s="237" t="n"/>
      <c r="L63" s="200" t="n"/>
      <c r="M63" s="200" t="n"/>
      <c r="N63" s="200" t="n"/>
      <c r="S63" s="223" t="n"/>
      <c r="T63" s="223" t="n"/>
      <c r="U63" s="223" t="n"/>
      <c r="V63" s="223" t="n"/>
      <c r="W63" s="223" t="n"/>
      <c r="X63" s="223" t="n"/>
    </row>
    <row r="64">
      <c r="A64" s="111" t="n"/>
      <c r="B64" s="223" t="n"/>
      <c r="C64" s="223" t="n"/>
      <c r="D64" s="237">
        <f>K64*0.93*0.98</f>
        <v/>
      </c>
      <c r="E64" s="200" t="n"/>
      <c r="F64" s="220" t="n"/>
      <c r="G64" s="222" t="n"/>
      <c r="H64" s="222" t="n"/>
      <c r="I64" s="223" t="n"/>
      <c r="K64" s="237" t="n"/>
      <c r="L64" s="200" t="n"/>
      <c r="M64" s="200" t="n"/>
      <c r="N64" s="200" t="n"/>
      <c r="S64" s="223" t="n"/>
      <c r="T64" s="223" t="n"/>
      <c r="U64" s="223" t="n"/>
      <c r="V64" s="223" t="n"/>
      <c r="W64" s="223" t="n"/>
      <c r="X64" s="223" t="n"/>
    </row>
    <row r="65">
      <c r="A65" s="124" t="n">
        <v>403</v>
      </c>
      <c r="B65" s="223" t="inlineStr">
        <is>
          <t>Portabobina de Pared</t>
        </is>
      </c>
      <c r="C65" s="223" t="n"/>
      <c r="D65" s="127">
        <f>K65*0.93*0.98</f>
        <v/>
      </c>
      <c r="E65" s="238" t="n"/>
      <c r="F65" s="218">
        <f>D65*1.3*1.105</f>
        <v/>
      </c>
      <c r="G65" s="219">
        <f>D65*1.3*1.105/0.9</f>
        <v/>
      </c>
      <c r="H65" s="220">
        <f>G65*1.21</f>
        <v/>
      </c>
      <c r="I65" s="215">
        <f>ROUND(H65/100,0)*100</f>
        <v/>
      </c>
      <c r="K65" s="127" t="n">
        <v>5651.84</v>
      </c>
      <c r="L65" s="256" t="n"/>
      <c r="M65" s="256" t="n"/>
      <c r="N65" s="238" t="n"/>
      <c r="S65" s="223" t="n"/>
      <c r="T65" s="223" t="n"/>
      <c r="U65" s="223" t="n"/>
      <c r="V65" s="223" t="n"/>
      <c r="W65" s="223" t="n"/>
      <c r="X65" s="223" t="n"/>
    </row>
    <row r="66">
      <c r="A66" s="124" t="n">
        <v>404</v>
      </c>
      <c r="B66" s="223" t="inlineStr">
        <is>
          <t>Portarollo para Camilla</t>
        </is>
      </c>
      <c r="C66" s="223" t="n"/>
      <c r="D66" s="230">
        <f>K66*0.93*0.98</f>
        <v/>
      </c>
      <c r="E66" s="236" t="n"/>
      <c r="F66" s="218">
        <f>D66*1.3*1.105</f>
        <v/>
      </c>
      <c r="G66" s="219">
        <f>D66*1.3*1.105/0.9</f>
        <v/>
      </c>
      <c r="H66" s="220">
        <f>G66*1.21</f>
        <v/>
      </c>
      <c r="I66" s="215">
        <f>ROUND(H66/100,0)*100</f>
        <v/>
      </c>
      <c r="K66" s="230" t="n">
        <v>7799.27</v>
      </c>
      <c r="L66" s="257" t="n"/>
      <c r="M66" s="257" t="n"/>
      <c r="N66" s="236" t="n"/>
      <c r="S66" s="223" t="n"/>
      <c r="T66" s="223" t="n"/>
      <c r="U66" s="223" t="n"/>
      <c r="V66" s="223" t="n"/>
      <c r="W66" s="223" t="n"/>
      <c r="X66" s="223" t="n"/>
    </row>
    <row r="67">
      <c r="A67" s="124" t="n">
        <v>418</v>
      </c>
      <c r="B67" s="223" t="inlineStr">
        <is>
          <t>Portabobina de Piso</t>
        </is>
      </c>
      <c r="C67" s="223" t="n"/>
      <c r="D67" s="230">
        <f>K67*0.93*0.98</f>
        <v/>
      </c>
      <c r="E67" s="236" t="n"/>
      <c r="F67" s="218">
        <f>D67*1.3*1.105</f>
        <v/>
      </c>
      <c r="G67" s="219">
        <f>D67*1.3*1.105/0.9</f>
        <v/>
      </c>
      <c r="H67" s="220">
        <f>G67*1.21</f>
        <v/>
      </c>
      <c r="I67" s="215">
        <f>ROUND(H67/100,0)*100</f>
        <v/>
      </c>
      <c r="K67" s="230" t="n">
        <v>6216.86</v>
      </c>
      <c r="L67" s="257" t="n"/>
      <c r="M67" s="257" t="n"/>
      <c r="N67" s="236" t="n"/>
      <c r="S67" s="223" t="n"/>
      <c r="T67" s="223" t="n"/>
      <c r="U67" s="223" t="n"/>
      <c r="V67" s="223" t="n"/>
      <c r="W67" s="223" t="n"/>
      <c r="X67" s="223" t="n"/>
    </row>
    <row r="68">
      <c r="A68" s="124" t="n">
        <v>422</v>
      </c>
      <c r="B68" s="223" t="inlineStr">
        <is>
          <t>Dispenser Celmatic Due</t>
        </is>
      </c>
      <c r="C68" s="223" t="n"/>
      <c r="D68" s="230">
        <f>K68*0.93*0.98</f>
        <v/>
      </c>
      <c r="E68" s="236" t="n"/>
      <c r="F68" s="218">
        <f>D68*1.3*1.105</f>
        <v/>
      </c>
      <c r="G68" s="219">
        <f>D68*1.3*1.105/0.9</f>
        <v/>
      </c>
      <c r="H68" s="220">
        <f>G68*1.21</f>
        <v/>
      </c>
      <c r="I68" s="215">
        <f>ROUND(H68/100,0)*100</f>
        <v/>
      </c>
      <c r="K68" s="230" t="n">
        <v>7961.51</v>
      </c>
      <c r="L68" s="257" t="n"/>
      <c r="M68" s="257" t="n"/>
      <c r="N68" s="236" t="n"/>
      <c r="S68" s="223" t="n"/>
      <c r="T68" s="223" t="n"/>
      <c r="U68" s="223" t="n"/>
      <c r="V68" s="223" t="n"/>
      <c r="W68" s="223" t="n"/>
      <c r="X68" s="223" t="n"/>
    </row>
    <row r="69">
      <c r="A69" s="124" t="n">
        <v>425</v>
      </c>
      <c r="B69" s="223" t="inlineStr">
        <is>
          <t>Dosificador para Jabón Líquido Recargable</t>
        </is>
      </c>
      <c r="D69" s="230">
        <f>K69*0.93*0.98</f>
        <v/>
      </c>
      <c r="E69" s="236" t="n"/>
      <c r="F69" s="218">
        <f>D69*1.3*1.105</f>
        <v/>
      </c>
      <c r="G69" s="219">
        <f>D69*1.3*1.105/0.9</f>
        <v/>
      </c>
      <c r="H69" s="220">
        <f>G69*1.21</f>
        <v/>
      </c>
      <c r="I69" s="215">
        <f>ROUND(H69/100,0)*100</f>
        <v/>
      </c>
      <c r="K69" s="230" t="n">
        <v>2988.03</v>
      </c>
      <c r="L69" s="257" t="n"/>
      <c r="M69" s="257" t="n"/>
      <c r="N69" s="236" t="n"/>
      <c r="S69" s="223" t="n"/>
      <c r="T69" s="223" t="n"/>
      <c r="U69" s="223" t="n"/>
      <c r="V69" s="223" t="n"/>
      <c r="W69" s="223" t="n"/>
      <c r="X69" s="223" t="n"/>
    </row>
    <row r="70">
      <c r="A70" s="124" t="n">
        <v>427</v>
      </c>
      <c r="B70" s="223" t="inlineStr">
        <is>
          <t>Dispenser Para Papel Higienico Racional 350</t>
        </is>
      </c>
      <c r="D70" s="230">
        <f>K70*0.93*0.98</f>
        <v/>
      </c>
      <c r="E70" s="236" t="n"/>
      <c r="F70" s="218">
        <f>D70*1.3*1.105</f>
        <v/>
      </c>
      <c r="G70" s="219">
        <f>D70*1.3*1.105/0.9</f>
        <v/>
      </c>
      <c r="H70" s="220">
        <f>G70*1.21</f>
        <v/>
      </c>
      <c r="I70" s="215">
        <f>ROUND(H70/100,0)*100</f>
        <v/>
      </c>
      <c r="K70" s="230" t="n">
        <v>3649.82</v>
      </c>
      <c r="L70" s="257" t="n"/>
      <c r="M70" s="257" t="n"/>
      <c r="N70" s="236" t="n"/>
      <c r="S70" s="223" t="n"/>
      <c r="T70" s="223" t="n"/>
      <c r="U70" s="223" t="n"/>
      <c r="V70" s="223" t="n"/>
      <c r="W70" s="223" t="n"/>
      <c r="X70" s="223" t="n"/>
    </row>
    <row r="71">
      <c r="A71" s="124" t="n">
        <v>428</v>
      </c>
      <c r="B71" s="223" t="inlineStr">
        <is>
          <t>Dispenser para Papel Higiénico</t>
        </is>
      </c>
      <c r="C71" s="223" t="n"/>
      <c r="D71" s="230">
        <f>K71*0.93*0.98</f>
        <v/>
      </c>
      <c r="E71" s="236" t="n"/>
      <c r="F71" s="218">
        <f>D71*1.3*1.105</f>
        <v/>
      </c>
      <c r="G71" s="219">
        <f>D71*1.3*1.105/0.9</f>
        <v/>
      </c>
      <c r="H71" s="220">
        <f>G71*1.21</f>
        <v/>
      </c>
      <c r="I71" s="215">
        <f>ROUND(H71/100,0)*100</f>
        <v/>
      </c>
      <c r="K71" s="230" t="n">
        <v>4174.03</v>
      </c>
      <c r="L71" s="257" t="n"/>
      <c r="M71" s="257" t="n"/>
      <c r="N71" s="236" t="n"/>
      <c r="S71" s="223" t="n"/>
      <c r="T71" s="223" t="n"/>
      <c r="U71" s="223" t="n"/>
      <c r="V71" s="223" t="n"/>
      <c r="W71" s="223" t="n"/>
      <c r="X71" s="223" t="n"/>
    </row>
    <row r="72">
      <c r="A72" s="124" t="n">
        <v>429</v>
      </c>
      <c r="B72" s="223" t="inlineStr">
        <is>
          <t>Dispenser para Toallas de Papel</t>
        </is>
      </c>
      <c r="C72" s="223" t="n"/>
      <c r="D72" s="230">
        <f>K72*0.93*0.98</f>
        <v/>
      </c>
      <c r="E72" s="236" t="n"/>
      <c r="F72" s="218">
        <f>D72*1.3*1.105</f>
        <v/>
      </c>
      <c r="G72" s="219">
        <f>D72*1.3*1.105/0.9</f>
        <v/>
      </c>
      <c r="H72" s="220">
        <f>G72*1.21</f>
        <v/>
      </c>
      <c r="I72" s="215">
        <f>ROUND(H72/100,0)*100</f>
        <v/>
      </c>
      <c r="K72" s="230" t="n">
        <v>2994.58</v>
      </c>
      <c r="L72" s="257" t="n"/>
      <c r="M72" s="257" t="n"/>
      <c r="N72" s="236" t="n"/>
      <c r="S72" s="223" t="n"/>
      <c r="T72" s="223" t="n"/>
      <c r="U72" s="223" t="n"/>
      <c r="V72" s="223" t="n"/>
      <c r="W72" s="223" t="n"/>
      <c r="X72" s="223" t="n"/>
    </row>
    <row r="73">
      <c r="A73" s="124" t="n">
        <v>430</v>
      </c>
      <c r="B73" s="223" t="inlineStr">
        <is>
          <t>Dispenser Para Papel Higienico Racional 600</t>
        </is>
      </c>
      <c r="D73" s="230">
        <f>K73*0.93*0.98</f>
        <v/>
      </c>
      <c r="E73" s="236" t="n"/>
      <c r="F73" s="218">
        <f>D73*1.3*1.105</f>
        <v/>
      </c>
      <c r="G73" s="219">
        <f>D73*1.3*1.105/0.9</f>
        <v/>
      </c>
      <c r="H73" s="220">
        <f>G73*1.21</f>
        <v/>
      </c>
      <c r="I73" s="215">
        <f>ROUND(H73/100,0)*100</f>
        <v/>
      </c>
      <c r="K73" s="230" t="n">
        <v>5875.63</v>
      </c>
      <c r="L73" s="257" t="n"/>
      <c r="M73" s="257" t="n"/>
      <c r="N73" s="236" t="n"/>
      <c r="S73" s="223" t="n"/>
      <c r="T73" s="223" t="n"/>
      <c r="U73" s="223" t="n"/>
      <c r="V73" s="223" t="n"/>
      <c r="W73" s="223" t="n"/>
      <c r="X73" s="223" t="n"/>
    </row>
    <row r="74">
      <c r="A74" s="124" t="n"/>
      <c r="B74" s="223" t="n"/>
      <c r="C74" s="223" t="n"/>
      <c r="D74" s="237">
        <f>K74*0.93*0.98</f>
        <v/>
      </c>
      <c r="E74" s="200" t="n"/>
      <c r="F74" s="220" t="n"/>
      <c r="G74" s="222" t="n"/>
      <c r="H74" s="222" t="n"/>
      <c r="I74" s="223" t="n"/>
      <c r="K74" s="237" t="n"/>
      <c r="L74" s="200" t="n"/>
      <c r="M74" s="200" t="n"/>
      <c r="N74" s="200" t="n"/>
      <c r="S74" s="223" t="n"/>
      <c r="T74" s="223" t="n"/>
      <c r="U74" s="223" t="n"/>
      <c r="V74" s="223" t="n"/>
      <c r="W74" s="223" t="n"/>
      <c r="X74" s="223" t="n"/>
    </row>
    <row r="75">
      <c r="A75" s="124" t="n"/>
      <c r="B75" s="223" t="n"/>
      <c r="C75" s="223" t="n"/>
      <c r="D75" s="237">
        <f>K75*0.93*0.98</f>
        <v/>
      </c>
      <c r="E75" s="200" t="n"/>
      <c r="F75" s="220" t="n"/>
      <c r="G75" s="222" t="n"/>
      <c r="H75" s="222" t="n"/>
      <c r="I75" s="223" t="n"/>
      <c r="K75" s="237" t="n"/>
      <c r="L75" s="200" t="n"/>
      <c r="M75" s="200" t="n"/>
      <c r="N75" s="200" t="n"/>
      <c r="S75" s="223" t="n"/>
      <c r="T75" s="223" t="n"/>
      <c r="U75" s="223" t="n"/>
      <c r="V75" s="223" t="n"/>
      <c r="W75" s="223" t="n"/>
      <c r="X75" s="223" t="n"/>
    </row>
    <row r="76">
      <c r="A76" s="124" t="n"/>
      <c r="B76" s="223" t="n"/>
      <c r="C76" s="223" t="n"/>
      <c r="D76" s="237">
        <f>K76*0.93*0.98</f>
        <v/>
      </c>
      <c r="E76" s="200" t="n"/>
      <c r="F76" s="220" t="n"/>
      <c r="G76" s="222" t="n"/>
      <c r="H76" s="222" t="n"/>
      <c r="I76" s="223" t="n"/>
      <c r="K76" s="237" t="n"/>
      <c r="L76" s="200" t="n"/>
      <c r="M76" s="200" t="n"/>
      <c r="N76" s="200" t="n"/>
      <c r="S76" s="223" t="n"/>
      <c r="T76" s="223" t="n"/>
      <c r="U76" s="223" t="n"/>
      <c r="V76" s="223" t="n"/>
      <c r="W76" s="223" t="n"/>
      <c r="X76" s="223" t="n"/>
    </row>
    <row r="77">
      <c r="A77" s="117" t="inlineStr">
        <is>
          <t>LIMPIEZA INDUSTRIAL</t>
        </is>
      </c>
      <c r="B77" s="271" t="n"/>
      <c r="C77" s="223" t="n"/>
      <c r="D77" s="237">
        <f>K77*0.93*0.98</f>
        <v/>
      </c>
      <c r="E77" s="200" t="n"/>
      <c r="F77" s="220" t="n"/>
      <c r="G77" s="222" t="n"/>
      <c r="H77" s="222" t="n"/>
      <c r="I77" s="223" t="n"/>
      <c r="K77" s="237" t="n"/>
      <c r="L77" s="200" t="n"/>
      <c r="M77" s="200" t="n"/>
      <c r="N77" s="200" t="n"/>
      <c r="S77" s="223" t="n"/>
      <c r="T77" s="223" t="n"/>
      <c r="U77" s="223" t="n"/>
      <c r="V77" s="223" t="n"/>
      <c r="W77" s="223" t="n"/>
      <c r="X77" s="223" t="n"/>
    </row>
    <row r="78">
      <c r="A78" s="131" t="n"/>
      <c r="B78" s="223" t="n"/>
      <c r="C78" s="223" t="n"/>
      <c r="D78" s="237">
        <f>K78*0.93*0.98</f>
        <v/>
      </c>
      <c r="E78" s="200" t="n"/>
      <c r="F78" s="220" t="n"/>
      <c r="G78" s="222" t="n"/>
      <c r="H78" s="222" t="n"/>
      <c r="I78" s="223" t="n"/>
      <c r="K78" s="237" t="n"/>
      <c r="L78" s="200" t="n"/>
      <c r="M78" s="200" t="n"/>
      <c r="N78" s="200" t="n"/>
      <c r="S78" s="223" t="n"/>
      <c r="T78" s="223" t="n"/>
      <c r="U78" s="223" t="n"/>
      <c r="V78" s="223" t="n"/>
      <c r="W78" s="223" t="n"/>
      <c r="X78" s="223" t="n"/>
    </row>
    <row r="79">
      <c r="A79" s="182" t="n">
        <v>101</v>
      </c>
      <c r="B79" s="224" t="inlineStr">
        <is>
          <t>Pack x 6 bobinas 22,5 cm x 300 porciones</t>
        </is>
      </c>
      <c r="D79" s="127">
        <f>K79*0.93*0.98</f>
        <v/>
      </c>
      <c r="E79" s="238" t="n"/>
      <c r="F79" s="228">
        <f>D79*1.3*1.105</f>
        <v/>
      </c>
      <c r="G79" s="226">
        <f>D79*1.3*1.105/0.9</f>
        <v/>
      </c>
      <c r="H79" s="227">
        <f>G79*1.21</f>
        <v/>
      </c>
      <c r="I79" s="227">
        <f>ROUND(H79/100,0)*100</f>
        <v/>
      </c>
      <c r="J79" s="193" t="n"/>
      <c r="K79" s="127" t="n">
        <v>4491.82</v>
      </c>
      <c r="L79" s="256" t="n"/>
      <c r="M79" s="256" t="n"/>
      <c r="N79" s="238" t="n"/>
      <c r="O79" s="193" t="n"/>
      <c r="P79" s="193" t="n"/>
      <c r="Q79" s="193" t="n"/>
      <c r="R79" s="193" t="n"/>
      <c r="S79" s="224" t="n"/>
      <c r="T79" s="224" t="n"/>
      <c r="U79" s="224" t="n"/>
      <c r="V79" s="224" t="n"/>
      <c r="W79" s="224" t="n"/>
      <c r="X79" s="224" t="n"/>
      <c r="Y79" s="193" t="n"/>
    </row>
    <row r="80">
      <c r="A80" s="124" t="n">
        <v>109</v>
      </c>
      <c r="B80" s="223" t="inlineStr">
        <is>
          <t>Pack x 2 bobinas papel original 22,5 cm x 270 mts</t>
        </is>
      </c>
      <c r="D80" s="230">
        <f>K80*0.93*0.98</f>
        <v/>
      </c>
      <c r="E80" s="236" t="n"/>
      <c r="F80" s="218">
        <f>D80*1.3*1.105</f>
        <v/>
      </c>
      <c r="G80" s="219">
        <f>D80*1.3*1.105/0.9</f>
        <v/>
      </c>
      <c r="H80" s="220">
        <f>G80*1.21</f>
        <v/>
      </c>
      <c r="I80" s="215">
        <f>ROUND(H80/100,0)*100</f>
        <v/>
      </c>
      <c r="K80" s="230" t="n">
        <v>3506.01</v>
      </c>
      <c r="L80" s="257" t="n"/>
      <c r="M80" s="257" t="n"/>
      <c r="N80" s="236" t="n"/>
      <c r="S80" s="223" t="n"/>
      <c r="T80" s="223" t="n"/>
      <c r="U80" s="223" t="n"/>
      <c r="V80" s="223" t="n"/>
      <c r="W80" s="223" t="n"/>
      <c r="X80" s="223" t="n"/>
    </row>
    <row r="81">
      <c r="A81" s="182" t="n">
        <v>123</v>
      </c>
      <c r="B81" s="224" t="inlineStr">
        <is>
          <t>Pack x 2 bobinas Papel Original 900 hjs/360 mts.</t>
        </is>
      </c>
      <c r="D81" s="230">
        <f>K81*0.93*0.98</f>
        <v/>
      </c>
      <c r="E81" s="236" t="n"/>
      <c r="F81" s="228">
        <f>D81*1.3*1.105</f>
        <v/>
      </c>
      <c r="G81" s="226">
        <f>D81*1.3*1.105/0.9</f>
        <v/>
      </c>
      <c r="H81" s="227">
        <f>G81*1.21</f>
        <v/>
      </c>
      <c r="I81" s="227">
        <f>ROUND(H81/100,0)*100</f>
        <v/>
      </c>
      <c r="J81" s="193" t="n"/>
      <c r="K81" s="230" t="n">
        <v>5150.05</v>
      </c>
      <c r="L81" s="257" t="n"/>
      <c r="M81" s="257" t="n"/>
      <c r="N81" s="236" t="n"/>
      <c r="O81" s="193" t="n"/>
      <c r="P81" s="193" t="n"/>
      <c r="Q81" s="193" t="n"/>
      <c r="R81" s="193" t="n"/>
      <c r="S81" s="224" t="n"/>
      <c r="T81" s="224" t="n"/>
      <c r="U81" s="224" t="n"/>
      <c r="V81" s="224" t="n"/>
      <c r="W81" s="224" t="n"/>
      <c r="X81" s="224" t="n"/>
      <c r="Y81" s="193" t="n"/>
    </row>
    <row r="82">
      <c r="A82" s="124" t="n">
        <v>809</v>
      </c>
      <c r="B82" s="223" t="inlineStr">
        <is>
          <t>Pack x 4 Rollos 600 porc 25x25 Rep Tambo</t>
        </is>
      </c>
      <c r="D82" s="230">
        <f>K82*0.93*0.98</f>
        <v/>
      </c>
      <c r="E82" s="236" t="n"/>
      <c r="F82" s="218">
        <f>D82*1.3*1.105</f>
        <v/>
      </c>
      <c r="G82" s="219">
        <f>D82*1.3*1.105/0.9</f>
        <v/>
      </c>
      <c r="H82" s="220">
        <f>G82*1.21</f>
        <v/>
      </c>
      <c r="I82" s="215">
        <f>ROUND(H82/100,0)*100</f>
        <v/>
      </c>
      <c r="K82" s="230" t="n">
        <v>5349.97</v>
      </c>
      <c r="L82" s="257" t="n"/>
      <c r="M82" s="257" t="n"/>
      <c r="N82" s="236" t="n"/>
      <c r="S82" s="223" t="n"/>
      <c r="T82" s="223" t="n"/>
      <c r="U82" s="223" t="n"/>
      <c r="V82" s="223" t="n"/>
      <c r="W82" s="223" t="n"/>
      <c r="X82" s="223" t="n"/>
    </row>
    <row r="83">
      <c r="A83" s="124" t="n"/>
      <c r="B83" s="223" t="n"/>
      <c r="C83" s="223" t="n"/>
      <c r="D83" s="237">
        <f>K83*0.93*0.98</f>
        <v/>
      </c>
      <c r="E83" s="200" t="n"/>
      <c r="F83" s="220" t="n"/>
      <c r="G83" s="222" t="n"/>
      <c r="H83" s="222" t="n"/>
      <c r="I83" s="223" t="n"/>
      <c r="K83" s="237" t="n"/>
      <c r="L83" s="200" t="n"/>
      <c r="M83" s="200" t="n"/>
      <c r="N83" s="200" t="n"/>
      <c r="S83" s="223" t="n"/>
      <c r="T83" s="223" t="n"/>
      <c r="U83" s="223" t="n"/>
      <c r="V83" s="223" t="n"/>
      <c r="W83" s="223" t="n"/>
      <c r="X83" s="223" t="n"/>
    </row>
    <row r="84">
      <c r="A84" s="124" t="n"/>
      <c r="B84" s="223" t="n"/>
      <c r="C84" s="223" t="n"/>
      <c r="D84" s="237">
        <f>K84*0.93*0.98</f>
        <v/>
      </c>
      <c r="E84" s="200" t="n"/>
      <c r="F84" s="220" t="n"/>
      <c r="G84" s="222" t="n"/>
      <c r="H84" s="222" t="n"/>
      <c r="I84" s="223" t="n"/>
      <c r="K84" s="237" t="n"/>
      <c r="L84" s="200" t="n"/>
      <c r="M84" s="200" t="n"/>
      <c r="N84" s="200" t="n"/>
      <c r="S84" s="223" t="n"/>
      <c r="T84" s="223" t="n"/>
      <c r="U84" s="223" t="n"/>
      <c r="V84" s="223" t="n"/>
      <c r="W84" s="223" t="n"/>
      <c r="X84" s="223" t="n"/>
    </row>
    <row r="85">
      <c r="A85" s="117" t="inlineStr">
        <is>
          <t>PAÑOS DE LIMPIEZA DE ALTA PERFORMANCE</t>
        </is>
      </c>
      <c r="B85" s="223" t="n"/>
      <c r="C85" s="223" t="n"/>
      <c r="D85" s="237">
        <f>K85*0.93*0.98</f>
        <v/>
      </c>
      <c r="E85" s="200" t="n"/>
      <c r="F85" s="220" t="n"/>
      <c r="G85" s="222" t="n"/>
      <c r="H85" s="222" t="n"/>
      <c r="I85" s="223" t="n"/>
      <c r="K85" s="237" t="n"/>
      <c r="L85" s="200" t="n"/>
      <c r="M85" s="200" t="n"/>
      <c r="N85" s="200" t="n"/>
      <c r="S85" s="223" t="n"/>
      <c r="T85" s="223" t="n"/>
      <c r="U85" s="223" t="n"/>
      <c r="V85" s="223" t="n"/>
      <c r="W85" s="223" t="n"/>
      <c r="X85" s="223" t="n"/>
    </row>
    <row r="86">
      <c r="A86" s="131" t="n"/>
      <c r="B86" s="223" t="n"/>
      <c r="C86" s="223" t="n"/>
      <c r="D86" s="237">
        <f>K86*0.93*0.98</f>
        <v/>
      </c>
      <c r="E86" s="200" t="n"/>
      <c r="F86" s="220" t="n"/>
      <c r="G86" s="222" t="n"/>
      <c r="H86" s="222" t="n"/>
      <c r="I86" s="223" t="n"/>
      <c r="K86" s="237" t="n"/>
      <c r="L86" s="200" t="n"/>
      <c r="M86" s="200" t="n"/>
      <c r="N86" s="200" t="n"/>
      <c r="S86" s="223" t="n"/>
      <c r="T86" s="223" t="n"/>
      <c r="U86" s="223" t="n"/>
      <c r="V86" s="223" t="n"/>
      <c r="W86" s="223" t="n"/>
      <c r="X86" s="223" t="n"/>
    </row>
    <row r="87">
      <c r="A87" s="157" t="inlineStr">
        <is>
          <t>Linea Softclean</t>
        </is>
      </c>
      <c r="C87" s="158" t="n"/>
      <c r="D87" s="192">
        <f>K87*0.93*0.98</f>
        <v/>
      </c>
      <c r="E87" s="234" t="n"/>
      <c r="F87" s="220" t="n"/>
      <c r="G87" s="222" t="n"/>
      <c r="H87" s="222" t="n"/>
      <c r="I87" s="223" t="n"/>
      <c r="K87" s="233" t="n"/>
      <c r="L87" s="190" t="n"/>
      <c r="M87" s="190" t="n"/>
      <c r="N87" s="234" t="n"/>
      <c r="S87" s="223" t="n"/>
      <c r="T87" s="223" t="n"/>
      <c r="U87" s="223" t="n"/>
      <c r="V87" s="223" t="n"/>
      <c r="W87" s="223" t="n"/>
      <c r="X87" s="223" t="n"/>
    </row>
    <row r="88">
      <c r="A88" s="186" t="n">
        <v>601</v>
      </c>
      <c r="B88" s="223" t="inlineStr">
        <is>
          <t>Rollo precortado Maxi blanco 30 x 38 x 500 softclean</t>
        </is>
      </c>
      <c r="D88" s="240">
        <f>K88*0.93*0.98</f>
        <v/>
      </c>
      <c r="E88" s="239" t="n"/>
      <c r="F88" s="218">
        <f>D88*1.3*1.105</f>
        <v/>
      </c>
      <c r="G88" s="219">
        <f>D88*1.3*1.105/0.9</f>
        <v/>
      </c>
      <c r="H88" s="220">
        <f>G88*1.21</f>
        <v/>
      </c>
      <c r="I88" s="215">
        <f>ROUND(H88/100,0)*100</f>
        <v/>
      </c>
      <c r="K88" s="240" t="n">
        <v>54.43</v>
      </c>
      <c r="L88" s="268" t="n"/>
      <c r="M88" s="268" t="n"/>
      <c r="N88" s="239" t="n"/>
      <c r="S88" s="223" t="n"/>
      <c r="T88" s="223" t="n"/>
      <c r="U88" s="223" t="n"/>
      <c r="V88" s="223" t="n"/>
      <c r="W88" s="223" t="n"/>
      <c r="X88" s="223" t="n"/>
    </row>
    <row r="89">
      <c r="A89" s="242" t="n">
        <v>605</v>
      </c>
      <c r="B89" s="224" t="inlineStr">
        <is>
          <t>Caja x 250 Paños Ultratex de 34cm x 60cm</t>
        </is>
      </c>
      <c r="D89" s="240">
        <f>K89*0.93*0.98</f>
        <v/>
      </c>
      <c r="E89" s="239" t="n"/>
      <c r="F89" s="228">
        <f>D89*1.3*1.105</f>
        <v/>
      </c>
      <c r="G89" s="226">
        <f>D89*1.3*1.105/0.9</f>
        <v/>
      </c>
      <c r="H89" s="227">
        <f>G89*1.21</f>
        <v/>
      </c>
      <c r="I89" s="227">
        <f>ROUND(H89/100,0)*100</f>
        <v/>
      </c>
      <c r="J89" s="193" t="n"/>
      <c r="K89" s="240" t="n">
        <v>228.4</v>
      </c>
      <c r="L89" s="268" t="n"/>
      <c r="M89" s="268" t="n"/>
      <c r="N89" s="239" t="n"/>
      <c r="O89" s="193" t="n"/>
      <c r="P89" s="193" t="n"/>
      <c r="Q89" s="193" t="n"/>
      <c r="R89" s="193" t="n"/>
      <c r="S89" s="224" t="n"/>
      <c r="T89" s="224" t="n"/>
      <c r="U89" s="224" t="n"/>
      <c r="V89" s="224" t="n"/>
      <c r="W89" s="224" t="n"/>
      <c r="X89" s="224" t="n"/>
      <c r="Y89" s="193" t="n"/>
    </row>
    <row r="90">
      <c r="A90" s="186" t="n">
        <v>606</v>
      </c>
      <c r="B90" s="223" t="inlineStr">
        <is>
          <t>Caja x 300 Paños Ultratex de 45,7cm x 53,3cm</t>
        </is>
      </c>
      <c r="D90" s="240">
        <f>K90*0.93*0.98</f>
        <v/>
      </c>
      <c r="E90" s="239" t="n"/>
      <c r="F90" s="218">
        <f>D90*1.3*1.105</f>
        <v/>
      </c>
      <c r="G90" s="219">
        <f>D90*1.3*1.105/0.9</f>
        <v/>
      </c>
      <c r="H90" s="220">
        <f>G90*1.21</f>
        <v/>
      </c>
      <c r="I90" s="215">
        <f>ROUND(H90/100,0)*100</f>
        <v/>
      </c>
      <c r="K90" s="240" t="n">
        <v>323.14</v>
      </c>
      <c r="L90" s="268" t="n"/>
      <c r="M90" s="268" t="n"/>
      <c r="N90" s="239" t="n"/>
      <c r="S90" s="223" t="n"/>
      <c r="T90" s="223" t="n"/>
      <c r="U90" s="223" t="n"/>
      <c r="V90" s="223" t="n"/>
      <c r="W90" s="223" t="n"/>
      <c r="X90" s="223" t="n"/>
    </row>
    <row r="91">
      <c r="A91" s="186" t="n">
        <v>608</v>
      </c>
      <c r="B91" s="223" t="inlineStr">
        <is>
          <t>Repuesto x 2 rollos Softclean x 350 mts</t>
        </is>
      </c>
      <c r="D91" s="240">
        <f>K91*0.93*0.98</f>
        <v/>
      </c>
      <c r="E91" s="239" t="n"/>
      <c r="F91" s="218">
        <f>D91*1.3*1.105</f>
        <v/>
      </c>
      <c r="G91" s="219">
        <f>D91*1.3*1.105/0.9</f>
        <v/>
      </c>
      <c r="H91" s="220">
        <f>G91*1.21</f>
        <v/>
      </c>
      <c r="I91" s="215">
        <f>ROUND(H91/100,0)*100</f>
        <v/>
      </c>
      <c r="K91" s="240" t="n">
        <v>49.43</v>
      </c>
      <c r="L91" s="268" t="n"/>
      <c r="M91" s="268" t="n"/>
      <c r="N91" s="239" t="n"/>
      <c r="S91" s="223" t="n"/>
      <c r="T91" s="223" t="n"/>
      <c r="U91" s="223" t="n"/>
      <c r="V91" s="223" t="n"/>
      <c r="W91" s="223" t="n"/>
      <c r="X91" s="223" t="n"/>
    </row>
    <row r="92">
      <c r="A92" s="186" t="n">
        <v>612</v>
      </c>
      <c r="B92" s="223" t="inlineStr">
        <is>
          <t>Contenedor Mini Softclean x 150 porc. 13 x 26.5cm</t>
        </is>
      </c>
      <c r="D92" s="240">
        <f>K92*0.93*0.98</f>
        <v/>
      </c>
      <c r="E92" s="239" t="n"/>
      <c r="F92" s="218">
        <f>D92*1.3*1.105</f>
        <v/>
      </c>
      <c r="G92" s="219">
        <f>D92*1.3*1.105/0.9</f>
        <v/>
      </c>
      <c r="H92" s="220">
        <f>G92*1.21</f>
        <v/>
      </c>
      <c r="I92" s="215">
        <f>ROUND(H92/100,0)*100</f>
        <v/>
      </c>
      <c r="K92" s="240" t="n">
        <v>7.53</v>
      </c>
      <c r="L92" s="268" t="n"/>
      <c r="M92" s="268" t="n"/>
      <c r="N92" s="239" t="n"/>
      <c r="S92" s="223" t="n"/>
      <c r="T92" s="223" t="n"/>
      <c r="U92" s="223" t="n"/>
      <c r="V92" s="223" t="n"/>
      <c r="W92" s="223" t="n"/>
      <c r="X92" s="223" t="n"/>
    </row>
    <row r="93">
      <c r="A93" s="186" t="n">
        <v>614</v>
      </c>
      <c r="B93" s="223" t="inlineStr">
        <is>
          <t>Rollo SoftClean S 70x 875 Porciones de 30x 25</t>
        </is>
      </c>
      <c r="D93" s="240">
        <f>K93*0.93*0.98</f>
        <v/>
      </c>
      <c r="E93" s="239" t="n"/>
      <c r="F93" s="218">
        <f>D93*1.3*1.105</f>
        <v/>
      </c>
      <c r="G93" s="219">
        <f>D93*1.3*1.105/0.9</f>
        <v/>
      </c>
      <c r="H93" s="220">
        <f>G93*1.21</f>
        <v/>
      </c>
      <c r="I93" s="215">
        <f>ROUND(H93/100,0)*100</f>
        <v/>
      </c>
      <c r="K93" s="240" t="n">
        <v>59.55</v>
      </c>
      <c r="L93" s="268" t="n"/>
      <c r="M93" s="268" t="n"/>
      <c r="N93" s="239" t="n"/>
      <c r="S93" s="223" t="n"/>
      <c r="T93" s="223" t="n"/>
      <c r="U93" s="223" t="n"/>
      <c r="V93" s="223" t="n"/>
      <c r="W93" s="223" t="n"/>
      <c r="X93" s="223" t="n"/>
    </row>
    <row r="94">
      <c r="A94" s="186" t="n">
        <v>615</v>
      </c>
      <c r="B94" s="223" t="inlineStr">
        <is>
          <t>Contenedor Center Softclean x 350 22,5 x26,5</t>
        </is>
      </c>
      <c r="D94" s="240">
        <f>K94*0.93*0.98</f>
        <v/>
      </c>
      <c r="E94" s="239" t="n"/>
      <c r="F94" s="218">
        <f>D94*1.3*1.105</f>
        <v/>
      </c>
      <c r="G94" s="219">
        <f>D94*1.3*1.105/0.9</f>
        <v/>
      </c>
      <c r="H94" s="220">
        <f>G94*1.21</f>
        <v/>
      </c>
      <c r="I94" s="215">
        <f>ROUND(H94/100,0)*100</f>
        <v/>
      </c>
      <c r="K94" s="240" t="n">
        <v>25.9</v>
      </c>
      <c r="L94" s="268" t="n"/>
      <c r="M94" s="268" t="n"/>
      <c r="N94" s="239" t="n"/>
      <c r="S94" s="223" t="n"/>
      <c r="T94" s="223" t="n"/>
      <c r="U94" s="223" t="n"/>
      <c r="V94" s="223" t="n"/>
      <c r="W94" s="223" t="n"/>
      <c r="X94" s="223" t="n"/>
    </row>
    <row r="95">
      <c r="A95" s="186" t="n">
        <v>616</v>
      </c>
      <c r="B95" s="223" t="inlineStr">
        <is>
          <t>Rollo Mini Sofclean x 190 porciones de 22,5 x 26,5</t>
        </is>
      </c>
      <c r="D95" s="240">
        <f>K95*0.93*0.98</f>
        <v/>
      </c>
      <c r="E95" s="239" t="n"/>
      <c r="F95" s="218">
        <f>D95*1.3*1.105</f>
        <v/>
      </c>
      <c r="G95" s="219">
        <f>D95*1.3*1.105/0.9</f>
        <v/>
      </c>
      <c r="H95" s="220">
        <f>G95*1.21</f>
        <v/>
      </c>
      <c r="I95" s="215">
        <f>ROUND(H95/100,0)*100</f>
        <v/>
      </c>
      <c r="K95" s="240" t="n">
        <v>12.94</v>
      </c>
      <c r="L95" s="268" t="n"/>
      <c r="M95" s="268" t="n"/>
      <c r="N95" s="239" t="n"/>
      <c r="S95" s="223" t="n"/>
      <c r="T95" s="223" t="n"/>
      <c r="U95" s="223" t="n"/>
      <c r="V95" s="223" t="n"/>
      <c r="W95" s="223" t="n"/>
      <c r="X95" s="223" t="n"/>
    </row>
    <row r="96">
      <c r="A96" s="242" t="n">
        <v>617</v>
      </c>
      <c r="B96" s="224" t="inlineStr">
        <is>
          <t>Caja 1/4 Folded Softclean 500 30 x 30 cm Celeste</t>
        </is>
      </c>
      <c r="D96" s="240">
        <f>K96*0.93*0.98</f>
        <v/>
      </c>
      <c r="E96" s="239" t="n"/>
      <c r="F96" s="228">
        <f>D96*1.3*1.105</f>
        <v/>
      </c>
      <c r="G96" s="226">
        <f>D96*1.3*1.105/0.9</f>
        <v/>
      </c>
      <c r="H96" s="227">
        <f>G96*1.21</f>
        <v/>
      </c>
      <c r="I96" s="227">
        <f>ROUND(H96/100,0)*100</f>
        <v/>
      </c>
      <c r="J96" s="193" t="n"/>
      <c r="K96" s="240" t="n">
        <v>42.96</v>
      </c>
      <c r="L96" s="268" t="n"/>
      <c r="M96" s="268" t="n"/>
      <c r="N96" s="239" t="n"/>
      <c r="O96" s="193" t="n"/>
      <c r="P96" s="193" t="n"/>
      <c r="Q96" s="193" t="n"/>
      <c r="R96" s="193" t="n"/>
      <c r="S96" s="224" t="n"/>
      <c r="T96" s="224" t="n"/>
      <c r="U96" s="224" t="n"/>
      <c r="V96" s="224" t="n"/>
      <c r="W96" s="224" t="n"/>
      <c r="X96" s="224" t="n"/>
      <c r="Y96" s="193" t="n"/>
    </row>
    <row r="97">
      <c r="A97" s="186" t="n">
        <v>618</v>
      </c>
      <c r="B97" s="223" t="inlineStr">
        <is>
          <t>Rollo Precortado Softclean 600 porciones de 30x 26,5</t>
        </is>
      </c>
      <c r="D97" s="240">
        <f>K97*0.93*0.98</f>
        <v/>
      </c>
      <c r="E97" s="239" t="n"/>
      <c r="F97" s="218">
        <f>D97*1.3*1.105</f>
        <v/>
      </c>
      <c r="G97" s="219">
        <f>D97*1.3*1.105/0.9</f>
        <v/>
      </c>
      <c r="H97" s="220">
        <f>G97*1.21</f>
        <v/>
      </c>
      <c r="I97" s="215">
        <f>ROUND(H97/100,0)*100</f>
        <v/>
      </c>
      <c r="K97" s="240" t="n">
        <v>42.96</v>
      </c>
      <c r="L97" s="268" t="n"/>
      <c r="M97" s="268" t="n"/>
      <c r="N97" s="239" t="n"/>
      <c r="S97" s="223" t="n"/>
      <c r="T97" s="223" t="n"/>
      <c r="U97" s="223" t="n"/>
      <c r="V97" s="223" t="n"/>
      <c r="W97" s="223" t="n"/>
      <c r="X97" s="223" t="n"/>
    </row>
    <row r="98">
      <c r="A98" s="186" t="n"/>
      <c r="B98" s="223" t="n"/>
      <c r="C98" s="223" t="n"/>
      <c r="D98" s="244">
        <f>K98*0.93*0.98</f>
        <v/>
      </c>
      <c r="E98" s="255" t="n"/>
      <c r="F98" s="220" t="n"/>
      <c r="G98" s="222" t="n"/>
      <c r="H98" s="222" t="n"/>
      <c r="I98" s="223" t="n"/>
      <c r="K98" s="244" t="n"/>
      <c r="L98" s="195" t="n"/>
      <c r="M98" s="195" t="n"/>
      <c r="N98" s="255" t="n"/>
      <c r="S98" s="223" t="n"/>
      <c r="T98" s="223" t="n"/>
      <c r="U98" s="223" t="n"/>
      <c r="V98" s="223" t="n"/>
      <c r="W98" s="223" t="n"/>
      <c r="X98" s="223" t="n"/>
    </row>
    <row r="99">
      <c r="A99" s="168" t="inlineStr">
        <is>
          <t>Linea Sontara</t>
        </is>
      </c>
      <c r="C99" s="158" t="n"/>
      <c r="D99" s="198">
        <f>K99*0.93*0.98</f>
        <v/>
      </c>
      <c r="E99" s="245" t="n"/>
      <c r="F99" s="220" t="n"/>
      <c r="G99" s="222" t="n"/>
      <c r="H99" s="222" t="n"/>
      <c r="I99" s="223" t="n"/>
      <c r="K99" s="246" t="n"/>
      <c r="L99" s="197" t="n"/>
      <c r="M99" s="197" t="n"/>
      <c r="N99" s="245" t="n"/>
      <c r="S99" s="223" t="n"/>
      <c r="T99" s="223" t="n"/>
      <c r="U99" s="223" t="n"/>
      <c r="V99" s="223" t="n"/>
      <c r="W99" s="223" t="n"/>
      <c r="X99" s="223" t="n"/>
    </row>
    <row r="100">
      <c r="A100" s="186" t="n">
        <v>604</v>
      </c>
      <c r="B100" s="223" t="inlineStr">
        <is>
          <t>Rollo precortado Maxi de 30 x38 blanco</t>
        </is>
      </c>
      <c r="D100" s="240">
        <f>K100*0.93*0.98</f>
        <v/>
      </c>
      <c r="E100" s="239" t="n"/>
      <c r="F100" s="218">
        <f>D100*1.3*1.105</f>
        <v/>
      </c>
      <c r="G100" s="219">
        <f>D100*1.3*1.105/0.9</f>
        <v/>
      </c>
      <c r="H100" s="220">
        <f>G100*1.21</f>
        <v/>
      </c>
      <c r="I100" s="215">
        <f>ROUND(H100/100,0)*100</f>
        <v/>
      </c>
      <c r="K100" s="240" t="n">
        <v>113.44</v>
      </c>
      <c r="L100" s="247" t="n"/>
      <c r="M100" s="247" t="n"/>
      <c r="N100" s="239" t="n"/>
      <c r="S100" s="223" t="n"/>
      <c r="T100" s="223" t="n"/>
      <c r="U100" s="223" t="n"/>
      <c r="V100" s="223" t="n"/>
      <c r="W100" s="223" t="n"/>
      <c r="X100" s="223" t="n"/>
    </row>
    <row r="101">
      <c r="A101" s="186" t="n">
        <v>619</v>
      </c>
      <c r="B101" s="223" t="inlineStr">
        <is>
          <t>Centerfeed Sontara Celeste 350 porc22,5 x 26,5</t>
        </is>
      </c>
      <c r="D101" s="240">
        <f>K101*0.93*0.98</f>
        <v/>
      </c>
      <c r="E101" s="239" t="n"/>
      <c r="F101" s="218">
        <f>D101*1.3*1.105</f>
        <v/>
      </c>
      <c r="G101" s="219">
        <f>D101*1.3*1.105/0.9</f>
        <v/>
      </c>
      <c r="H101" s="220">
        <f>G101*1.21</f>
        <v/>
      </c>
      <c r="I101" s="215">
        <f>ROUND(H101/100,0)*100</f>
        <v/>
      </c>
      <c r="K101" s="240" t="n">
        <v>57.54</v>
      </c>
      <c r="L101" s="268" t="n"/>
      <c r="M101" s="268" t="n"/>
      <c r="N101" s="239" t="n"/>
      <c r="S101" s="223" t="n"/>
      <c r="T101" s="223" t="n"/>
      <c r="U101" s="223" t="n"/>
      <c r="V101" s="223" t="n"/>
      <c r="W101" s="223" t="n"/>
      <c r="X101" s="223" t="n"/>
    </row>
    <row r="102">
      <c r="A102" s="186" t="n">
        <v>620</v>
      </c>
      <c r="B102" s="223" t="inlineStr">
        <is>
          <t>Rollo prec Sontara por 600 porc 30 x26,5 celeste</t>
        </is>
      </c>
      <c r="D102" s="240">
        <f>K102*0.93*0.98</f>
        <v/>
      </c>
      <c r="E102" s="239" t="n"/>
      <c r="F102" s="218">
        <f>D102*1.3*1.105</f>
        <v/>
      </c>
      <c r="G102" s="219">
        <f>D102*1.3*1.105/0.9</f>
        <v/>
      </c>
      <c r="H102" s="220">
        <f>G102*1.21</f>
        <v/>
      </c>
      <c r="I102" s="215">
        <f>ROUND(H102/100,0)*100</f>
        <v/>
      </c>
      <c r="K102" s="240" t="n">
        <v>106.81</v>
      </c>
      <c r="L102" s="268" t="n"/>
      <c r="M102" s="268" t="n"/>
      <c r="N102" s="239" t="n"/>
      <c r="S102" s="223" t="n"/>
      <c r="T102" s="223" t="n"/>
      <c r="U102" s="223" t="n"/>
      <c r="V102" s="223" t="n"/>
      <c r="W102" s="223" t="n"/>
      <c r="X102" s="223" t="n"/>
    </row>
    <row r="103">
      <c r="A103" s="186" t="n">
        <v>621</v>
      </c>
      <c r="B103" s="223" t="inlineStr">
        <is>
          <t>Rollo Sontara Mini x 190 porc 22,5 x26,5 celeste</t>
        </is>
      </c>
      <c r="D103" s="240">
        <f>K103*0.93*0.98</f>
        <v/>
      </c>
      <c r="E103" s="239" t="n"/>
      <c r="F103" s="218">
        <f>D103*1.3*1.105</f>
        <v/>
      </c>
      <c r="G103" s="219">
        <f>D103*1.3*1.105/0.9</f>
        <v/>
      </c>
      <c r="H103" s="220">
        <f>G103*1.21</f>
        <v/>
      </c>
      <c r="I103" s="215">
        <f>ROUND(H103/100,0)*100</f>
        <v/>
      </c>
      <c r="K103" s="240" t="n">
        <v>26.14</v>
      </c>
      <c r="L103" s="268" t="n"/>
      <c r="M103" s="268" t="n"/>
      <c r="N103" s="239" t="n"/>
      <c r="S103" s="223" t="n"/>
      <c r="T103" s="223" t="n"/>
      <c r="U103" s="223" t="n"/>
      <c r="V103" s="223" t="n"/>
      <c r="W103" s="223" t="n"/>
      <c r="X103" s="223" t="n"/>
    </row>
    <row r="104">
      <c r="A104" s="186" t="n">
        <v>627</v>
      </c>
      <c r="B104" s="223" t="inlineStr">
        <is>
          <t>SMP 300 Paños de 22,5 cm x 22,5 cm</t>
        </is>
      </c>
      <c r="D104" s="240">
        <f>K104*0.93*0.98</f>
        <v/>
      </c>
      <c r="E104" s="239" t="n"/>
      <c r="F104" s="218">
        <f>D104*1.3*1.105</f>
        <v/>
      </c>
      <c r="G104" s="219">
        <f>D104*1.3*1.105/0.9</f>
        <v/>
      </c>
      <c r="H104" s="220">
        <f>G104*1.21</f>
        <v/>
      </c>
      <c r="I104" s="215">
        <f>ROUND(H104/100,0)*100</f>
        <v/>
      </c>
      <c r="K104" s="240" t="n">
        <v>69.04000000000001</v>
      </c>
      <c r="L104" s="268" t="n"/>
      <c r="M104" s="268" t="n"/>
      <c r="N104" s="239" t="n"/>
      <c r="S104" s="223" t="n"/>
      <c r="T104" s="223" t="n"/>
      <c r="U104" s="223" t="n"/>
      <c r="V104" s="223" t="n"/>
      <c r="W104" s="223" t="n"/>
      <c r="X104" s="103" t="n"/>
    </row>
    <row r="105">
      <c r="A105" s="171" t="n">
        <v>645</v>
      </c>
      <c r="B105" s="175" t="inlineStr">
        <is>
          <t>Caja por 500Paños Sontara de 30 x 30 cm celeste</t>
        </is>
      </c>
      <c r="D105" s="240">
        <f>K105*0.93*0.98</f>
        <v/>
      </c>
      <c r="E105" s="239" t="n"/>
      <c r="F105" s="218">
        <f>D105*1.3*1.105</f>
        <v/>
      </c>
      <c r="G105" s="219">
        <f>D105*1.3*1.105/0.9</f>
        <v/>
      </c>
      <c r="H105" s="220">
        <f>G105*1.21</f>
        <v/>
      </c>
      <c r="I105" s="215">
        <f>ROUND(H105/100,0)*100</f>
        <v/>
      </c>
      <c r="K105" s="240" t="n">
        <v>75.94</v>
      </c>
      <c r="L105" s="268" t="n"/>
      <c r="M105" s="268" t="n"/>
      <c r="N105" s="239" t="n"/>
      <c r="S105" s="223" t="n"/>
      <c r="T105" s="223" t="n"/>
      <c r="U105" s="223" t="n"/>
      <c r="V105" s="223" t="n"/>
      <c r="W105" s="223" t="n"/>
      <c r="X105" s="223" t="n"/>
    </row>
    <row r="106">
      <c r="A106" s="186" t="n">
        <v>656</v>
      </c>
      <c r="B106" s="175" t="inlineStr">
        <is>
          <t>Caja por 400 Paños Sontara de 30 x 30 cm Blancos</t>
        </is>
      </c>
      <c r="D106" s="240">
        <f>K106*0.93*0.98</f>
        <v/>
      </c>
      <c r="E106" s="239" t="n"/>
      <c r="F106" s="218">
        <f>D106*1.3*1.105</f>
        <v/>
      </c>
      <c r="G106" s="219">
        <f>D106*1.3*1.105/0.9</f>
        <v/>
      </c>
      <c r="H106" s="220">
        <f>G106*1.21</f>
        <v/>
      </c>
      <c r="I106" s="215">
        <f>ROUND(H106/100,0)*100</f>
        <v/>
      </c>
      <c r="K106" s="240" t="n">
        <v>73.48999999999999</v>
      </c>
      <c r="L106" s="268" t="n"/>
      <c r="M106" s="268" t="n"/>
      <c r="N106" s="239" t="n"/>
      <c r="S106" s="223" t="n"/>
      <c r="T106" s="223" t="n"/>
      <c r="U106" s="223" t="n"/>
      <c r="V106" s="223" t="n"/>
      <c r="W106" s="223" t="n"/>
      <c r="X106" s="223" t="n"/>
    </row>
    <row r="107">
      <c r="A107" s="223" t="n"/>
      <c r="B107" s="175" t="n"/>
      <c r="C107" s="175" t="n"/>
      <c r="D107" s="215" t="n"/>
      <c r="E107" s="223" t="n"/>
      <c r="F107" s="215" t="n"/>
      <c r="G107" s="223" t="n"/>
      <c r="H107" s="223" t="n"/>
      <c r="I107" s="223" t="n"/>
      <c r="K107" s="215" t="n"/>
      <c r="L107" s="223" t="n"/>
      <c r="M107" s="223" t="n"/>
      <c r="N107" s="223" t="n"/>
      <c r="S107" s="223" t="n"/>
      <c r="T107" s="223" t="n"/>
      <c r="U107" s="223" t="n"/>
      <c r="V107" s="223" t="n"/>
      <c r="W107" s="223" t="n"/>
      <c r="X107" s="223" t="n"/>
    </row>
    <row r="108">
      <c r="A108" s="223" t="n"/>
      <c r="B108" s="175" t="n"/>
      <c r="C108" s="223" t="n"/>
      <c r="D108" s="215" t="n"/>
      <c r="E108" s="223" t="n"/>
      <c r="F108" s="215" t="n"/>
      <c r="G108" s="223" t="n"/>
      <c r="H108" s="223" t="n"/>
      <c r="I108" s="223" t="n"/>
      <c r="K108" s="215" t="n"/>
      <c r="L108" s="223" t="n"/>
      <c r="M108" s="223" t="n"/>
      <c r="N108" s="223" t="n"/>
      <c r="S108" s="223" t="n"/>
      <c r="T108" s="223" t="n"/>
      <c r="U108" s="223" t="n"/>
      <c r="V108" s="223" t="n"/>
      <c r="W108" s="223" t="n"/>
      <c r="X108" s="223" t="n"/>
    </row>
    <row r="109">
      <c r="A109" s="223" t="n"/>
      <c r="B109" s="175" t="n"/>
      <c r="C109" s="223" t="n"/>
      <c r="D109" s="215" t="n"/>
      <c r="E109" s="223" t="n"/>
      <c r="F109" s="215" t="n"/>
      <c r="G109" s="223" t="n"/>
      <c r="H109" s="223" t="n"/>
      <c r="I109" s="223" t="n"/>
      <c r="K109" s="215" t="n"/>
      <c r="L109" s="223" t="n"/>
      <c r="M109" s="223" t="n"/>
      <c r="N109" s="223" t="n"/>
      <c r="S109" s="223" t="n"/>
      <c r="T109" s="223" t="n"/>
      <c r="U109" s="223" t="n"/>
      <c r="V109" s="223" t="n"/>
      <c r="W109" s="223" t="n"/>
      <c r="X109" s="223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E110" s="223" t="n"/>
      <c r="F110" s="215" t="n"/>
      <c r="G110" s="223" t="n"/>
      <c r="H110" s="223" t="n"/>
      <c r="I110" s="223" t="n"/>
      <c r="K110" s="215" t="n"/>
      <c r="L110" s="223" t="n"/>
      <c r="M110" s="223" t="n"/>
      <c r="N110" s="223" t="n"/>
      <c r="S110" s="223" t="n"/>
      <c r="T110" s="223" t="n"/>
      <c r="U110" s="223" t="n"/>
      <c r="V110" s="223" t="n"/>
      <c r="W110" s="223" t="n"/>
      <c r="X110" s="223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E111" s="223" t="n"/>
      <c r="F111" s="215" t="n"/>
      <c r="G111" s="223" t="n"/>
      <c r="H111" s="223" t="n"/>
      <c r="I111" s="223" t="n"/>
      <c r="K111" s="215" t="n"/>
      <c r="L111" s="195" t="n"/>
      <c r="M111" s="223" t="n"/>
      <c r="N111" s="223" t="n"/>
      <c r="S111" s="223" t="n"/>
      <c r="T111" s="223" t="n"/>
      <c r="U111" s="223" t="n"/>
      <c r="V111" s="223" t="n"/>
      <c r="W111" s="223" t="n"/>
      <c r="X111" s="223" t="n"/>
    </row>
    <row r="112">
      <c r="A112" s="248" t="n"/>
      <c r="B112" s="179" t="n"/>
      <c r="C112" s="179" t="n"/>
      <c r="D112" s="215" t="n"/>
      <c r="E112" s="223" t="n"/>
      <c r="F112" s="215" t="n"/>
      <c r="G112" s="223" t="n"/>
      <c r="H112" s="223" t="n"/>
      <c r="I112" s="223" t="n"/>
      <c r="K112" s="215" t="n"/>
      <c r="L112" s="223" t="n"/>
      <c r="M112" s="223" t="n"/>
      <c r="N112" s="223" t="n"/>
      <c r="S112" s="223" t="n"/>
      <c r="T112" s="223" t="n"/>
      <c r="U112" s="223" t="n"/>
      <c r="V112" s="223" t="n"/>
      <c r="W112" s="223" t="n"/>
      <c r="X112" s="223" t="n"/>
    </row>
    <row r="113">
      <c r="A113" s="223" t="n"/>
      <c r="B113" s="223" t="n"/>
      <c r="C113" s="223" t="n"/>
      <c r="D113" s="215" t="n"/>
      <c r="E113" s="223" t="n"/>
      <c r="F113" s="215" t="n"/>
      <c r="G113" s="223" t="n"/>
      <c r="H113" s="223" t="n"/>
      <c r="I113" s="223" t="n"/>
      <c r="K113" s="223" t="n"/>
      <c r="L113" s="223" t="n"/>
      <c r="M113" s="223" t="n"/>
      <c r="N113" s="223" t="n"/>
      <c r="S113" s="223" t="n"/>
      <c r="T113" s="223" t="n"/>
      <c r="U113" s="223" t="n"/>
      <c r="V113" s="223" t="n"/>
      <c r="W113" s="223" t="n"/>
      <c r="X113" s="223" t="n"/>
    </row>
    <row r="114">
      <c r="A114" s="223" t="n"/>
      <c r="B114" s="223" t="n"/>
      <c r="C114" s="223" t="n"/>
      <c r="D114" s="215" t="n"/>
      <c r="E114" s="223" t="n"/>
      <c r="F114" s="215" t="n"/>
      <c r="G114" s="223" t="n"/>
      <c r="H114" s="223" t="n"/>
      <c r="I114" s="223" t="n"/>
      <c r="K114" s="223" t="n"/>
      <c r="L114" s="223" t="n"/>
      <c r="M114" s="223" t="n"/>
      <c r="N114" s="223" t="n"/>
      <c r="S114" s="223" t="n"/>
      <c r="T114" s="223" t="n"/>
      <c r="U114" s="223" t="n"/>
      <c r="V114" s="223" t="n"/>
      <c r="W114" s="223" t="n"/>
      <c r="X114" s="223" t="n"/>
    </row>
    <row r="115">
      <c r="D115" s="87" t="n"/>
      <c r="F115" s="87" t="n"/>
    </row>
    <row r="116">
      <c r="D116" s="87" t="n"/>
      <c r="F116" s="87" t="n"/>
    </row>
    <row r="117">
      <c r="D117" s="87" t="n"/>
      <c r="F117" s="87" t="n"/>
    </row>
    <row r="118">
      <c r="D118" s="87" t="n"/>
      <c r="F118" s="87" t="n"/>
    </row>
    <row r="119">
      <c r="D119" s="87" t="n"/>
      <c r="F119" s="87" t="n"/>
    </row>
    <row r="120">
      <c r="D120" s="87" t="n"/>
      <c r="F120" s="87" t="n"/>
    </row>
    <row r="121">
      <c r="D121" s="87" t="n"/>
      <c r="F121" s="87" t="n"/>
    </row>
    <row r="122">
      <c r="D122" s="87" t="n"/>
      <c r="F122" s="87" t="n"/>
    </row>
    <row r="123">
      <c r="D123" s="87" t="n"/>
      <c r="F123" s="87" t="n"/>
    </row>
    <row r="124">
      <c r="D124" s="87" t="n"/>
      <c r="F124" s="87" t="n"/>
    </row>
    <row r="125">
      <c r="D125" s="87" t="n"/>
      <c r="F125" s="87" t="n"/>
    </row>
    <row r="126">
      <c r="D126" s="87" t="n"/>
      <c r="F126" s="87" t="n"/>
    </row>
    <row r="127">
      <c r="D127" s="87" t="n"/>
      <c r="F127" s="87" t="n"/>
    </row>
    <row r="128">
      <c r="D128" s="87" t="n"/>
      <c r="F128" s="87" t="n"/>
    </row>
    <row r="129">
      <c r="D129" s="87" t="n"/>
      <c r="F129" s="87" t="n"/>
    </row>
    <row r="130">
      <c r="D130" s="87" t="n"/>
      <c r="F130" s="87" t="n"/>
    </row>
    <row r="131">
      <c r="D131" s="87" t="n"/>
      <c r="F131" s="87" t="n"/>
    </row>
    <row r="132">
      <c r="D132" s="87" t="n"/>
      <c r="F132" s="87" t="n"/>
    </row>
    <row r="133">
      <c r="D133" s="87" t="n"/>
      <c r="F133" s="87" t="n"/>
    </row>
    <row r="134">
      <c r="D134" s="87" t="n"/>
      <c r="F134" s="87" t="n"/>
    </row>
    <row r="135">
      <c r="D135" s="87" t="n"/>
      <c r="F135" s="87" t="n"/>
    </row>
    <row r="136">
      <c r="D136" s="87" t="n"/>
      <c r="F136" s="87" t="n"/>
    </row>
    <row r="137">
      <c r="D137" s="87" t="n"/>
      <c r="F137" s="87" t="n"/>
    </row>
    <row r="138">
      <c r="D138" s="87" t="n"/>
      <c r="F138" s="87" t="n"/>
    </row>
    <row r="139">
      <c r="D139" s="87" t="n"/>
      <c r="F139" s="87" t="n"/>
    </row>
    <row r="140">
      <c r="D140" s="87" t="n"/>
      <c r="F140" s="87" t="n"/>
    </row>
    <row r="141">
      <c r="D141" s="87" t="n"/>
      <c r="F141" s="87" t="n"/>
    </row>
    <row r="142">
      <c r="D142" s="87" t="n"/>
      <c r="F142" s="87" t="n"/>
    </row>
    <row r="143">
      <c r="D143" s="87" t="n"/>
      <c r="F143" s="87" t="n"/>
    </row>
    <row r="144">
      <c r="D144" s="87" t="n"/>
      <c r="F144" s="87" t="n"/>
    </row>
    <row r="145">
      <c r="D145" s="87" t="n"/>
      <c r="F145" s="87" t="n"/>
    </row>
    <row r="146">
      <c r="D146" s="87" t="n"/>
      <c r="F146" s="87" t="n"/>
    </row>
    <row r="147">
      <c r="D147" s="87" t="n"/>
      <c r="F147" s="87" t="n"/>
    </row>
    <row r="148">
      <c r="D148" s="87" t="n"/>
      <c r="F148" s="87" t="n"/>
    </row>
    <row r="149">
      <c r="D149" s="87" t="n"/>
      <c r="F149" s="87" t="n"/>
    </row>
    <row r="150">
      <c r="D150" s="87" t="n"/>
      <c r="F150" s="87" t="n"/>
    </row>
    <row r="151">
      <c r="D151" s="87" t="n"/>
      <c r="F151" s="87" t="n"/>
    </row>
    <row r="152">
      <c r="D152" s="87" t="n"/>
      <c r="F152" s="87" t="n"/>
    </row>
    <row r="153">
      <c r="D153" s="87" t="n"/>
      <c r="F153" s="87" t="n"/>
    </row>
    <row r="154">
      <c r="D154" s="87" t="n"/>
      <c r="F154" s="87" t="n"/>
    </row>
    <row r="155">
      <c r="D155" s="87" t="n"/>
      <c r="F155" s="87" t="n"/>
    </row>
    <row r="156">
      <c r="D156" s="87" t="n"/>
      <c r="F156" s="87" t="n"/>
    </row>
    <row r="157">
      <c r="D157" s="87" t="n"/>
      <c r="F157" s="87" t="n"/>
    </row>
    <row r="158">
      <c r="D158" s="87" t="n"/>
      <c r="F158" s="87" t="n"/>
    </row>
    <row r="159">
      <c r="D159" s="87" t="n"/>
      <c r="F159" s="87" t="n"/>
    </row>
    <row r="160">
      <c r="D160" s="87" t="n"/>
      <c r="F160" s="87" t="n"/>
    </row>
    <row r="161">
      <c r="D161" s="87" t="n"/>
      <c r="F161" s="87" t="n"/>
    </row>
    <row r="162">
      <c r="D162" s="87" t="n"/>
      <c r="F162" s="87" t="n"/>
    </row>
    <row r="163">
      <c r="D163" s="87" t="n"/>
      <c r="F163" s="87" t="n"/>
    </row>
    <row r="164">
      <c r="D164" s="87" t="n"/>
      <c r="F164" s="87" t="n"/>
    </row>
    <row r="165">
      <c r="D165" s="87" t="n"/>
      <c r="F165" s="87" t="n"/>
    </row>
    <row r="166">
      <c r="D166" s="87" t="n"/>
      <c r="F166" s="87" t="n"/>
    </row>
    <row r="167">
      <c r="D167" s="87" t="n"/>
      <c r="F167" s="87" t="n"/>
    </row>
    <row r="168">
      <c r="D168" s="87" t="n"/>
      <c r="F168" s="87" t="n"/>
    </row>
    <row r="169">
      <c r="D169" s="87" t="n"/>
      <c r="F169" s="87" t="n"/>
    </row>
    <row r="170">
      <c r="D170" s="87" t="n"/>
      <c r="F170" s="87" t="n"/>
    </row>
    <row r="171">
      <c r="D171" s="87" t="n"/>
      <c r="F171" s="87" t="n"/>
    </row>
    <row r="172">
      <c r="D172" s="87" t="n"/>
      <c r="F172" s="87" t="n"/>
    </row>
    <row r="173">
      <c r="D173" s="87" t="n"/>
      <c r="F173" s="87" t="n"/>
    </row>
    <row r="174">
      <c r="D174" s="87" t="n"/>
      <c r="F174" s="87" t="n"/>
    </row>
    <row r="175">
      <c r="D175" s="87" t="n"/>
      <c r="F175" s="87" t="n"/>
    </row>
    <row r="176">
      <c r="D176" s="87" t="n"/>
      <c r="F176" s="87" t="n"/>
    </row>
    <row r="177">
      <c r="D177" s="87" t="n"/>
      <c r="F177" s="87" t="n"/>
    </row>
    <row r="178">
      <c r="D178" s="87" t="n"/>
      <c r="F178" s="87" t="n"/>
    </row>
    <row r="179">
      <c r="D179" s="87" t="n"/>
      <c r="F179" s="87" t="n"/>
    </row>
    <row r="180">
      <c r="D180" s="87" t="n"/>
      <c r="F180" s="87" t="n"/>
    </row>
    <row r="181">
      <c r="D181" s="87" t="n"/>
      <c r="F181" s="87" t="n"/>
    </row>
    <row r="182">
      <c r="D182" s="87" t="n"/>
      <c r="F182" s="87" t="n"/>
    </row>
    <row r="183">
      <c r="D183" s="87" t="n"/>
      <c r="F183" s="87" t="n"/>
    </row>
    <row r="184">
      <c r="D184" s="87" t="n"/>
      <c r="F184" s="87" t="n"/>
    </row>
    <row r="185">
      <c r="D185" s="87" t="n"/>
      <c r="F185" s="87" t="n"/>
    </row>
    <row r="186">
      <c r="D186" s="87" t="n"/>
      <c r="F186" s="87" t="n"/>
    </row>
    <row r="187">
      <c r="D187" s="87" t="n"/>
      <c r="F187" s="87" t="n"/>
    </row>
    <row r="188">
      <c r="D188" s="87" t="n"/>
      <c r="F188" s="87" t="n"/>
    </row>
    <row r="189">
      <c r="D189" s="87" t="n"/>
      <c r="F189" s="87" t="n"/>
    </row>
    <row r="190">
      <c r="D190" s="87" t="n"/>
      <c r="F190" s="87" t="n"/>
    </row>
    <row r="191">
      <c r="D191" s="87" t="n"/>
      <c r="F191" s="87" t="n"/>
    </row>
    <row r="192">
      <c r="D192" s="87" t="n"/>
      <c r="F192" s="87" t="n"/>
    </row>
    <row r="193">
      <c r="D193" s="87" t="n"/>
      <c r="F193" s="87" t="n"/>
    </row>
    <row r="194">
      <c r="D194" s="87" t="n"/>
      <c r="F194" s="87" t="n"/>
    </row>
    <row r="195">
      <c r="D195" s="87" t="n"/>
      <c r="F195" s="87" t="n"/>
    </row>
    <row r="196">
      <c r="D196" s="87" t="n"/>
      <c r="F196" s="87" t="n"/>
    </row>
    <row r="197">
      <c r="D197" s="87" t="n"/>
      <c r="F197" s="87" t="n"/>
    </row>
    <row r="198">
      <c r="D198" s="87" t="n"/>
      <c r="F198" s="87" t="n"/>
    </row>
    <row r="199">
      <c r="D199" s="87" t="n"/>
      <c r="F199" s="87" t="n"/>
    </row>
    <row r="200">
      <c r="D200" s="87" t="n"/>
      <c r="F200" s="87" t="n"/>
    </row>
    <row r="201">
      <c r="D201" s="87" t="n"/>
      <c r="F201" s="87" t="n"/>
    </row>
    <row r="202">
      <c r="D202" s="87" t="n"/>
      <c r="F202" s="87" t="n"/>
    </row>
    <row r="203">
      <c r="D203" s="87" t="n"/>
      <c r="F203" s="87" t="n"/>
    </row>
    <row r="204">
      <c r="D204" s="87" t="n"/>
      <c r="F204" s="87" t="n"/>
    </row>
    <row r="205">
      <c r="D205" s="87" t="n"/>
      <c r="F205" s="87" t="n"/>
    </row>
    <row r="206">
      <c r="D206" s="87" t="n"/>
      <c r="F206" s="87" t="n"/>
    </row>
    <row r="207">
      <c r="D207" s="87" t="n"/>
      <c r="F207" s="87" t="n"/>
    </row>
    <row r="208">
      <c r="D208" s="87" t="n"/>
      <c r="F208" s="87" t="n"/>
    </row>
    <row r="209">
      <c r="D209" s="87" t="n"/>
      <c r="F209" s="87" t="n"/>
    </row>
    <row r="210">
      <c r="D210" s="87" t="n"/>
      <c r="F210" s="87" t="n"/>
    </row>
    <row r="211">
      <c r="D211" s="87" t="n"/>
      <c r="F211" s="87" t="n"/>
    </row>
    <row r="212">
      <c r="D212" s="87" t="n"/>
      <c r="F212" s="87" t="n"/>
    </row>
    <row r="213">
      <c r="D213" s="87" t="n"/>
      <c r="F213" s="87" t="n"/>
    </row>
    <row r="214">
      <c r="D214" s="87" t="n"/>
      <c r="F214" s="87" t="n"/>
    </row>
    <row r="215">
      <c r="D215" s="87" t="n"/>
      <c r="F215" s="87" t="n"/>
    </row>
    <row r="216">
      <c r="D216" s="87" t="n"/>
      <c r="F216" s="87" t="n"/>
    </row>
    <row r="217">
      <c r="D217" s="87" t="n"/>
      <c r="F217" s="87" t="n"/>
    </row>
    <row r="218">
      <c r="D218" s="87" t="n"/>
      <c r="F218" s="87" t="n"/>
    </row>
    <row r="219">
      <c r="D219" s="87" t="n"/>
      <c r="F219" s="87" t="n"/>
    </row>
    <row r="220">
      <c r="D220" s="87" t="n"/>
      <c r="F220" s="87" t="n"/>
    </row>
    <row r="221">
      <c r="D221" s="87" t="n"/>
      <c r="F221" s="87" t="n"/>
    </row>
    <row r="222">
      <c r="D222" s="87" t="n"/>
      <c r="F222" s="87" t="n"/>
    </row>
    <row r="223">
      <c r="D223" s="87" t="n"/>
      <c r="F223" s="87" t="n"/>
    </row>
    <row r="224">
      <c r="D224" s="87" t="n"/>
      <c r="F224" s="87" t="n"/>
    </row>
    <row r="225">
      <c r="D225" s="87" t="n"/>
      <c r="F225" s="87" t="n"/>
    </row>
    <row r="226">
      <c r="D226" s="87" t="n"/>
      <c r="F226" s="87" t="n"/>
    </row>
    <row r="227">
      <c r="D227" s="87" t="n"/>
      <c r="F227" s="87" t="n"/>
    </row>
    <row r="228">
      <c r="D228" s="87" t="n"/>
      <c r="F228" s="87" t="n"/>
    </row>
    <row r="229">
      <c r="D229" s="87" t="n"/>
      <c r="F229" s="87" t="n"/>
    </row>
    <row r="230">
      <c r="D230" s="87" t="n"/>
      <c r="F230" s="87" t="n"/>
    </row>
    <row r="231">
      <c r="D231" s="87" t="n"/>
      <c r="F231" s="87" t="n"/>
    </row>
    <row r="232">
      <c r="D232" s="87" t="n"/>
      <c r="F232" s="87" t="n"/>
    </row>
    <row r="233">
      <c r="D233" s="87" t="n"/>
      <c r="F233" s="87" t="n"/>
    </row>
    <row r="234">
      <c r="D234" s="87" t="n"/>
      <c r="F234" s="87" t="n"/>
    </row>
    <row r="235">
      <c r="D235" s="87" t="n"/>
      <c r="F235" s="87" t="n"/>
    </row>
    <row r="236">
      <c r="D236" s="87" t="n"/>
      <c r="F236" s="87" t="n"/>
    </row>
    <row r="237">
      <c r="D237" s="87" t="n"/>
      <c r="F237" s="87" t="n"/>
    </row>
    <row r="238">
      <c r="D238" s="87" t="n"/>
      <c r="F238" s="87" t="n"/>
    </row>
    <row r="239">
      <c r="D239" s="87" t="n"/>
      <c r="F239" s="87" t="n"/>
    </row>
    <row r="240">
      <c r="D240" s="87" t="n"/>
      <c r="F240" s="87" t="n"/>
    </row>
    <row r="241">
      <c r="D241" s="87" t="n"/>
      <c r="F241" s="87" t="n"/>
    </row>
    <row r="242">
      <c r="D242" s="87" t="n"/>
      <c r="F242" s="87" t="n"/>
    </row>
    <row r="243">
      <c r="D243" s="87" t="n"/>
      <c r="F243" s="87" t="n"/>
    </row>
    <row r="244">
      <c r="D244" s="87" t="n"/>
      <c r="F244" s="87" t="n"/>
    </row>
    <row r="245">
      <c r="D245" s="87" t="n"/>
      <c r="F245" s="87" t="n"/>
    </row>
    <row r="246">
      <c r="D246" s="87" t="n"/>
      <c r="F246" s="87" t="n"/>
    </row>
    <row r="247">
      <c r="D247" s="87" t="n"/>
      <c r="F247" s="87" t="n"/>
    </row>
    <row r="248">
      <c r="D248" s="87" t="n"/>
      <c r="F248" s="87" t="n"/>
    </row>
    <row r="249">
      <c r="D249" s="87" t="n"/>
      <c r="F249" s="87" t="n"/>
    </row>
    <row r="250">
      <c r="D250" s="87" t="n"/>
      <c r="F250" s="87" t="n"/>
    </row>
    <row r="251">
      <c r="D251" s="87" t="n"/>
      <c r="F251" s="87" t="n"/>
    </row>
    <row r="252">
      <c r="D252" s="87" t="n"/>
      <c r="F252" s="87" t="n"/>
    </row>
    <row r="253">
      <c r="D253" s="87" t="n"/>
      <c r="F253" s="87" t="n"/>
    </row>
    <row r="254">
      <c r="D254" s="87" t="n"/>
      <c r="F254" s="87" t="n"/>
    </row>
    <row r="255">
      <c r="D255" s="87" t="n"/>
      <c r="F255" s="87" t="n"/>
    </row>
    <row r="256">
      <c r="D256" s="87" t="n"/>
      <c r="F256" s="87" t="n"/>
    </row>
    <row r="257">
      <c r="D257" s="87" t="n"/>
      <c r="F257" s="87" t="n"/>
    </row>
    <row r="258">
      <c r="D258" s="87" t="n"/>
      <c r="F258" s="87" t="n"/>
    </row>
    <row r="259">
      <c r="D259" s="87" t="n"/>
      <c r="F259" s="87" t="n"/>
    </row>
    <row r="260">
      <c r="D260" s="87" t="n"/>
      <c r="F260" s="87" t="n"/>
    </row>
    <row r="261">
      <c r="D261" s="87" t="n"/>
      <c r="F261" s="87" t="n"/>
    </row>
    <row r="262">
      <c r="D262" s="87" t="n"/>
      <c r="F262" s="87" t="n"/>
    </row>
    <row r="263">
      <c r="D263" s="87" t="n"/>
      <c r="F263" s="87" t="n"/>
    </row>
    <row r="264">
      <c r="D264" s="87" t="n"/>
      <c r="F264" s="87" t="n"/>
    </row>
    <row r="265">
      <c r="D265" s="87" t="n"/>
      <c r="F265" s="87" t="n"/>
    </row>
    <row r="266">
      <c r="D266" s="87" t="n"/>
      <c r="F266" s="87" t="n"/>
    </row>
    <row r="267">
      <c r="D267" s="87" t="n"/>
      <c r="F267" s="87" t="n"/>
    </row>
    <row r="268">
      <c r="D268" s="87" t="n"/>
      <c r="F268" s="87" t="n"/>
    </row>
    <row r="269">
      <c r="D269" s="87" t="n"/>
      <c r="F269" s="87" t="n"/>
    </row>
    <row r="270">
      <c r="D270" s="87" t="n"/>
      <c r="F270" s="87" t="n"/>
    </row>
    <row r="271">
      <c r="D271" s="87" t="n"/>
      <c r="F271" s="87" t="n"/>
    </row>
    <row r="272">
      <c r="D272" s="87" t="n"/>
      <c r="F272" s="87" t="n"/>
    </row>
    <row r="273">
      <c r="D273" s="87" t="n"/>
      <c r="F273" s="87" t="n"/>
    </row>
    <row r="274">
      <c r="D274" s="87" t="n"/>
      <c r="F274" s="87" t="n"/>
    </row>
    <row r="275">
      <c r="D275" s="87" t="n"/>
      <c r="F275" s="87" t="n"/>
    </row>
    <row r="276">
      <c r="D276" s="87" t="n"/>
      <c r="F276" s="87" t="n"/>
    </row>
    <row r="277">
      <c r="D277" s="87" t="n"/>
      <c r="F277" s="87" t="n"/>
    </row>
    <row r="278">
      <c r="D278" s="87" t="n"/>
      <c r="F278" s="87" t="n"/>
    </row>
    <row r="279">
      <c r="D279" s="87" t="n"/>
      <c r="F279" s="87" t="n"/>
    </row>
    <row r="280">
      <c r="D280" s="87" t="n"/>
      <c r="F280" s="87" t="n"/>
    </row>
    <row r="281">
      <c r="D281" s="87" t="n"/>
      <c r="F281" s="87" t="n"/>
    </row>
    <row r="282">
      <c r="D282" s="87" t="n"/>
      <c r="F282" s="87" t="n"/>
    </row>
    <row r="283">
      <c r="D283" s="87" t="n"/>
      <c r="F283" s="87" t="n"/>
    </row>
    <row r="284">
      <c r="D284" s="87" t="n"/>
      <c r="F284" s="87" t="n"/>
    </row>
    <row r="285">
      <c r="D285" s="87" t="n"/>
      <c r="F285" s="87" t="n"/>
    </row>
    <row r="286">
      <c r="D286" s="87" t="n"/>
      <c r="F286" s="87" t="n"/>
    </row>
    <row r="287">
      <c r="D287" s="87" t="n"/>
      <c r="F287" s="87" t="n"/>
    </row>
    <row r="288">
      <c r="D288" s="87" t="n"/>
      <c r="F288" s="87" t="n"/>
    </row>
    <row r="289">
      <c r="D289" s="87" t="n"/>
      <c r="F289" s="87" t="n"/>
    </row>
    <row r="290">
      <c r="D290" s="87" t="n"/>
      <c r="F290" s="87" t="n"/>
    </row>
    <row r="291">
      <c r="D291" s="87" t="n"/>
      <c r="F291" s="87" t="n"/>
    </row>
    <row r="292">
      <c r="D292" s="87" t="n"/>
      <c r="F292" s="87" t="n"/>
    </row>
    <row r="293">
      <c r="D293" s="87" t="n"/>
      <c r="F293" s="87" t="n"/>
    </row>
    <row r="294">
      <c r="D294" s="87" t="n"/>
      <c r="F294" s="87" t="n"/>
    </row>
    <row r="295">
      <c r="D295" s="87" t="n"/>
      <c r="F295" s="87" t="n"/>
    </row>
    <row r="296">
      <c r="D296" s="87" t="n"/>
      <c r="F296" s="87" t="n"/>
    </row>
    <row r="297">
      <c r="D297" s="87" t="n"/>
      <c r="F297" s="87" t="n"/>
    </row>
    <row r="298">
      <c r="D298" s="87" t="n"/>
      <c r="F298" s="87" t="n"/>
    </row>
    <row r="299">
      <c r="D299" s="87" t="n"/>
      <c r="F299" s="87" t="n"/>
    </row>
    <row r="300">
      <c r="D300" s="87" t="n"/>
      <c r="F300" s="87" t="n"/>
    </row>
    <row r="301">
      <c r="D301" s="87" t="n"/>
      <c r="F301" s="87" t="n"/>
    </row>
    <row r="302">
      <c r="D302" s="87" t="n"/>
      <c r="F302" s="87" t="n"/>
    </row>
    <row r="303">
      <c r="D303" s="87" t="n"/>
      <c r="F303" s="87" t="n"/>
    </row>
    <row r="304">
      <c r="D304" s="87" t="n"/>
      <c r="F304" s="87" t="n"/>
    </row>
    <row r="305">
      <c r="D305" s="87" t="n"/>
      <c r="F305" s="87" t="n"/>
    </row>
    <row r="306">
      <c r="D306" s="87" t="n"/>
      <c r="F306" s="87" t="n"/>
    </row>
    <row r="307">
      <c r="D307" s="87" t="n"/>
      <c r="F307" s="87" t="n"/>
    </row>
    <row r="308">
      <c r="D308" s="87" t="n"/>
      <c r="F308" s="87" t="n"/>
    </row>
    <row r="309">
      <c r="D309" s="87" t="n"/>
      <c r="F309" s="87" t="n"/>
    </row>
    <row r="310">
      <c r="D310" s="87" t="n"/>
      <c r="F310" s="87" t="n"/>
    </row>
    <row r="311">
      <c r="D311" s="87" t="n"/>
      <c r="F311" s="87" t="n"/>
    </row>
    <row r="312">
      <c r="D312" s="87" t="n"/>
      <c r="F312" s="87" t="n"/>
    </row>
    <row r="313">
      <c r="D313" s="87" t="n"/>
      <c r="F313" s="87" t="n"/>
    </row>
    <row r="314">
      <c r="D314" s="87" t="n"/>
      <c r="F314" s="87" t="n"/>
    </row>
    <row r="315">
      <c r="D315" s="87" t="n"/>
      <c r="F315" s="87" t="n"/>
    </row>
    <row r="316">
      <c r="D316" s="87" t="n"/>
      <c r="F316" s="87" t="n"/>
    </row>
    <row r="317">
      <c r="D317" s="87" t="n"/>
      <c r="F317" s="87" t="n"/>
    </row>
    <row r="318">
      <c r="D318" s="87" t="n"/>
      <c r="F318" s="87" t="n"/>
    </row>
    <row r="319">
      <c r="D319" s="87" t="n"/>
      <c r="F319" s="87" t="n"/>
    </row>
    <row r="320">
      <c r="D320" s="87" t="n"/>
      <c r="F320" s="87" t="n"/>
    </row>
    <row r="321">
      <c r="D321" s="87" t="n"/>
      <c r="F321" s="87" t="n"/>
    </row>
    <row r="322">
      <c r="D322" s="87" t="n"/>
      <c r="F322" s="87" t="n"/>
    </row>
    <row r="323">
      <c r="D323" s="87" t="n"/>
      <c r="F323" s="87" t="n"/>
    </row>
    <row r="324">
      <c r="D324" s="87" t="n"/>
      <c r="F324" s="87" t="n"/>
    </row>
    <row r="325">
      <c r="D325" s="87" t="n"/>
      <c r="F325" s="87" t="n"/>
    </row>
    <row r="326">
      <c r="D326" s="87" t="n"/>
      <c r="F326" s="87" t="n"/>
    </row>
    <row r="327">
      <c r="D327" s="87" t="n"/>
      <c r="F327" s="87" t="n"/>
    </row>
    <row r="328">
      <c r="D328" s="87" t="n"/>
      <c r="F328" s="87" t="n"/>
    </row>
    <row r="329">
      <c r="D329" s="87" t="n"/>
      <c r="F329" s="87" t="n"/>
    </row>
    <row r="330">
      <c r="D330" s="87" t="n"/>
      <c r="F330" s="87" t="n"/>
    </row>
    <row r="331">
      <c r="D331" s="87" t="n"/>
      <c r="F331" s="87" t="n"/>
    </row>
    <row r="332">
      <c r="D332" s="87" t="n"/>
      <c r="F332" s="87" t="n"/>
    </row>
    <row r="333">
      <c r="D333" s="87" t="n"/>
      <c r="F333" s="87" t="n"/>
    </row>
    <row r="334">
      <c r="D334" s="87" t="n"/>
      <c r="F334" s="87" t="n"/>
    </row>
    <row r="335">
      <c r="D335" s="87" t="n"/>
      <c r="F335" s="87" t="n"/>
    </row>
    <row r="336">
      <c r="D336" s="87" t="n"/>
      <c r="F336" s="87" t="n"/>
    </row>
    <row r="337">
      <c r="D337" s="87" t="n"/>
      <c r="F337" s="87" t="n"/>
    </row>
    <row r="338">
      <c r="D338" s="87" t="n"/>
      <c r="F338" s="87" t="n"/>
    </row>
    <row r="339">
      <c r="D339" s="87" t="n"/>
      <c r="F339" s="87" t="n"/>
    </row>
    <row r="340">
      <c r="D340" s="87" t="n"/>
      <c r="F340" s="87" t="n"/>
    </row>
    <row r="341">
      <c r="D341" s="87" t="n"/>
      <c r="F341" s="87" t="n"/>
    </row>
    <row r="342">
      <c r="D342" s="87" t="n"/>
      <c r="F342" s="87" t="n"/>
    </row>
    <row r="343">
      <c r="D343" s="87" t="n"/>
      <c r="F343" s="87" t="n"/>
    </row>
    <row r="344">
      <c r="D344" s="87" t="n"/>
      <c r="F344" s="87" t="n"/>
    </row>
    <row r="345">
      <c r="D345" s="87" t="n"/>
      <c r="F345" s="87" t="n"/>
    </row>
    <row r="346">
      <c r="D346" s="87" t="n"/>
      <c r="F346" s="87" t="n"/>
    </row>
    <row r="347">
      <c r="D347" s="87" t="n"/>
      <c r="F347" s="87" t="n"/>
    </row>
    <row r="348">
      <c r="D348" s="87" t="n"/>
      <c r="F348" s="87" t="n"/>
    </row>
    <row r="349">
      <c r="D349" s="87" t="n"/>
      <c r="F349" s="87" t="n"/>
    </row>
    <row r="350">
      <c r="D350" s="87" t="n"/>
      <c r="F350" s="87" t="n"/>
    </row>
    <row r="351">
      <c r="D351" s="87" t="n"/>
      <c r="F351" s="87" t="n"/>
    </row>
    <row r="352">
      <c r="D352" s="87" t="n"/>
      <c r="F352" s="87" t="n"/>
    </row>
    <row r="353">
      <c r="D353" s="87" t="n"/>
      <c r="F353" s="87" t="n"/>
    </row>
    <row r="354">
      <c r="D354" s="87" t="n"/>
      <c r="F354" s="87" t="n"/>
    </row>
    <row r="355">
      <c r="D355" s="87" t="n"/>
      <c r="F355" s="87" t="n"/>
    </row>
    <row r="356">
      <c r="D356" s="87" t="n"/>
      <c r="F356" s="87" t="n"/>
    </row>
    <row r="357">
      <c r="D357" s="87" t="n"/>
      <c r="F357" s="87" t="n"/>
    </row>
    <row r="358">
      <c r="D358" s="87" t="n"/>
      <c r="F358" s="87" t="n"/>
    </row>
    <row r="359">
      <c r="D359" s="87" t="n"/>
      <c r="F359" s="87" t="n"/>
    </row>
    <row r="360">
      <c r="D360" s="87" t="n"/>
      <c r="F360" s="87" t="n"/>
    </row>
    <row r="361">
      <c r="D361" s="87" t="n"/>
      <c r="F361" s="87" t="n"/>
    </row>
    <row r="362">
      <c r="D362" s="87" t="n"/>
      <c r="F362" s="87" t="n"/>
    </row>
    <row r="363">
      <c r="D363" s="87" t="n"/>
      <c r="F363" s="87" t="n"/>
    </row>
    <row r="364">
      <c r="D364" s="87" t="n"/>
      <c r="F364" s="87" t="n"/>
    </row>
    <row r="365">
      <c r="D365" s="87" t="n"/>
      <c r="F365" s="87" t="n"/>
    </row>
    <row r="366">
      <c r="D366" s="87" t="n"/>
      <c r="F366" s="87" t="n"/>
    </row>
    <row r="367">
      <c r="D367" s="87" t="n"/>
      <c r="F367" s="87" t="n"/>
    </row>
    <row r="368">
      <c r="D368" s="87" t="n"/>
      <c r="F368" s="87" t="n"/>
    </row>
    <row r="369">
      <c r="D369" s="87" t="n"/>
      <c r="F369" s="87" t="n"/>
    </row>
    <row r="370">
      <c r="D370" s="87" t="n"/>
      <c r="F370" s="87" t="n"/>
    </row>
    <row r="371">
      <c r="D371" s="87" t="n"/>
      <c r="F371" s="87" t="n"/>
    </row>
    <row r="372">
      <c r="D372" s="87" t="n"/>
      <c r="F372" s="87" t="n"/>
    </row>
    <row r="373">
      <c r="D373" s="87" t="n"/>
      <c r="F373" s="87" t="n"/>
    </row>
    <row r="374">
      <c r="D374" s="87" t="n"/>
      <c r="F374" s="87" t="n"/>
    </row>
    <row r="375">
      <c r="D375" s="87" t="n"/>
      <c r="F375" s="87" t="n"/>
    </row>
    <row r="376">
      <c r="D376" s="87" t="n"/>
      <c r="F376" s="87" t="n"/>
    </row>
    <row r="377">
      <c r="D377" s="87" t="n"/>
      <c r="F377" s="87" t="n"/>
    </row>
    <row r="378">
      <c r="D378" s="87" t="n"/>
      <c r="F378" s="87" t="n"/>
    </row>
    <row r="379">
      <c r="D379" s="87" t="n"/>
      <c r="F379" s="87" t="n"/>
    </row>
    <row r="380">
      <c r="D380" s="87" t="n"/>
      <c r="F380" s="87" t="n"/>
    </row>
    <row r="381">
      <c r="D381" s="87" t="n"/>
      <c r="F381" s="87" t="n"/>
    </row>
    <row r="382">
      <c r="D382" s="87" t="n"/>
      <c r="F382" s="87" t="n"/>
    </row>
    <row r="383">
      <c r="D383" s="87" t="n"/>
      <c r="F383" s="87" t="n"/>
    </row>
    <row r="384">
      <c r="D384" s="87" t="n"/>
      <c r="F384" s="87" t="n"/>
    </row>
    <row r="385">
      <c r="D385" s="87" t="n"/>
      <c r="F385" s="87" t="n"/>
    </row>
    <row r="386">
      <c r="D386" s="87" t="n"/>
      <c r="F386" s="87" t="n"/>
    </row>
    <row r="387">
      <c r="D387" s="87" t="n"/>
      <c r="F387" s="87" t="n"/>
    </row>
    <row r="388">
      <c r="D388" s="87" t="n"/>
      <c r="F388" s="87" t="n"/>
    </row>
    <row r="389">
      <c r="D389" s="87" t="n"/>
      <c r="F389" s="87" t="n"/>
    </row>
    <row r="390">
      <c r="D390" s="87" t="n"/>
      <c r="F390" s="87" t="n"/>
    </row>
    <row r="391">
      <c r="D391" s="87" t="n"/>
      <c r="F391" s="87" t="n"/>
    </row>
    <row r="392">
      <c r="D392" s="87" t="n"/>
      <c r="F392" s="87" t="n"/>
    </row>
    <row r="393">
      <c r="D393" s="87" t="n"/>
      <c r="F393" s="87" t="n"/>
    </row>
    <row r="394">
      <c r="D394" s="87" t="n"/>
      <c r="F394" s="87" t="n"/>
    </row>
    <row r="395">
      <c r="D395" s="87" t="n"/>
      <c r="F395" s="87" t="n"/>
    </row>
    <row r="396">
      <c r="D396" s="87" t="n"/>
      <c r="F396" s="87" t="n"/>
    </row>
    <row r="397">
      <c r="D397" s="87" t="n"/>
      <c r="F397" s="87" t="n"/>
    </row>
    <row r="398">
      <c r="D398" s="87" t="n"/>
      <c r="F398" s="87" t="n"/>
    </row>
    <row r="399">
      <c r="D399" s="87" t="n"/>
      <c r="F399" s="87" t="n"/>
    </row>
    <row r="400">
      <c r="D400" s="87" t="n"/>
      <c r="F400" s="87" t="n"/>
    </row>
    <row r="401">
      <c r="D401" s="87" t="n"/>
      <c r="F401" s="87" t="n"/>
    </row>
    <row r="402">
      <c r="D402" s="87" t="n"/>
      <c r="F402" s="87" t="n"/>
    </row>
    <row r="403">
      <c r="D403" s="87" t="n"/>
      <c r="F403" s="87" t="n"/>
    </row>
    <row r="404">
      <c r="D404" s="87" t="n"/>
      <c r="F404" s="87" t="n"/>
    </row>
    <row r="405">
      <c r="D405" s="87" t="n"/>
      <c r="F405" s="87" t="n"/>
    </row>
    <row r="406">
      <c r="D406" s="87" t="n"/>
      <c r="F406" s="87" t="n"/>
    </row>
    <row r="407">
      <c r="D407" s="87" t="n"/>
      <c r="F407" s="87" t="n"/>
    </row>
    <row r="408">
      <c r="D408" s="87" t="n"/>
      <c r="F408" s="87" t="n"/>
    </row>
    <row r="409">
      <c r="D409" s="87" t="n"/>
      <c r="F409" s="87" t="n"/>
    </row>
    <row r="410">
      <c r="D410" s="87" t="n"/>
      <c r="F410" s="87" t="n"/>
    </row>
    <row r="411">
      <c r="D411" s="87" t="n"/>
      <c r="F411" s="87" t="n"/>
    </row>
    <row r="412">
      <c r="D412" s="87" t="n"/>
      <c r="F412" s="87" t="n"/>
    </row>
    <row r="413">
      <c r="D413" s="87" t="n"/>
      <c r="F413" s="87" t="n"/>
    </row>
    <row r="414">
      <c r="D414" s="87" t="n"/>
      <c r="F414" s="87" t="n"/>
    </row>
    <row r="415">
      <c r="D415" s="87" t="n"/>
      <c r="F415" s="87" t="n"/>
    </row>
    <row r="416">
      <c r="D416" s="87" t="n"/>
      <c r="F416" s="87" t="n"/>
    </row>
    <row r="417">
      <c r="D417" s="87" t="n"/>
      <c r="F417" s="87" t="n"/>
    </row>
    <row r="418">
      <c r="D418" s="87" t="n"/>
      <c r="F418" s="87" t="n"/>
    </row>
    <row r="419">
      <c r="D419" s="87" t="n"/>
      <c r="F419" s="87" t="n"/>
    </row>
    <row r="420">
      <c r="D420" s="87" t="n"/>
      <c r="F420" s="87" t="n"/>
    </row>
    <row r="421">
      <c r="D421" s="87" t="n"/>
      <c r="F421" s="87" t="n"/>
    </row>
    <row r="422">
      <c r="D422" s="87" t="n"/>
      <c r="F422" s="87" t="n"/>
    </row>
    <row r="423">
      <c r="D423" s="87" t="n"/>
      <c r="F423" s="87" t="n"/>
    </row>
    <row r="424">
      <c r="D424" s="87" t="n"/>
      <c r="F424" s="87" t="n"/>
    </row>
    <row r="425">
      <c r="D425" s="87" t="n"/>
      <c r="F425" s="87" t="n"/>
    </row>
    <row r="426">
      <c r="D426" s="87" t="n"/>
      <c r="F426" s="87" t="n"/>
    </row>
    <row r="427">
      <c r="D427" s="87" t="n"/>
      <c r="F427" s="87" t="n"/>
    </row>
    <row r="428">
      <c r="D428" s="87" t="n"/>
      <c r="F428" s="87" t="n"/>
    </row>
    <row r="429">
      <c r="D429" s="87" t="n"/>
      <c r="F429" s="87" t="n"/>
    </row>
    <row r="430">
      <c r="D430" s="87" t="n"/>
      <c r="F430" s="87" t="n"/>
    </row>
    <row r="431">
      <c r="D431" s="87" t="n"/>
      <c r="F431" s="87" t="n"/>
    </row>
    <row r="432">
      <c r="D432" s="87" t="n"/>
      <c r="F432" s="87" t="n"/>
    </row>
    <row r="433">
      <c r="D433" s="87" t="n"/>
      <c r="F433" s="87" t="n"/>
    </row>
    <row r="434">
      <c r="D434" s="87" t="n"/>
      <c r="F434" s="87" t="n"/>
    </row>
    <row r="435">
      <c r="D435" s="87" t="n"/>
      <c r="F435" s="87" t="n"/>
    </row>
    <row r="436">
      <c r="D436" s="87" t="n"/>
      <c r="F436" s="87" t="n"/>
    </row>
    <row r="437">
      <c r="D437" s="87" t="n"/>
      <c r="F437" s="87" t="n"/>
    </row>
    <row r="438">
      <c r="D438" s="87" t="n"/>
      <c r="F438" s="87" t="n"/>
    </row>
    <row r="439">
      <c r="D439" s="87" t="n"/>
      <c r="F439" s="87" t="n"/>
    </row>
    <row r="440">
      <c r="D440" s="87" t="n"/>
      <c r="F440" s="87" t="n"/>
    </row>
    <row r="441">
      <c r="D441" s="87" t="n"/>
      <c r="F441" s="87" t="n"/>
    </row>
    <row r="442">
      <c r="D442" s="87" t="n"/>
      <c r="F442" s="87" t="n"/>
    </row>
    <row r="443">
      <c r="D443" s="87" t="n"/>
      <c r="F443" s="87" t="n"/>
    </row>
    <row r="444">
      <c r="D444" s="87" t="n"/>
      <c r="F444" s="87" t="n"/>
    </row>
    <row r="445">
      <c r="D445" s="87" t="n"/>
      <c r="F445" s="87" t="n"/>
    </row>
    <row r="446">
      <c r="D446" s="87" t="n"/>
      <c r="F446" s="87" t="n"/>
    </row>
    <row r="447">
      <c r="D447" s="87" t="n"/>
      <c r="F447" s="87" t="n"/>
    </row>
    <row r="448">
      <c r="D448" s="87" t="n"/>
      <c r="F448" s="87" t="n"/>
    </row>
    <row r="449">
      <c r="D449" s="87" t="n"/>
      <c r="F449" s="87" t="n"/>
    </row>
    <row r="450">
      <c r="D450" s="87" t="n"/>
      <c r="F450" s="87" t="n"/>
    </row>
    <row r="451">
      <c r="D451" s="87" t="n"/>
      <c r="F451" s="87" t="n"/>
    </row>
    <row r="452">
      <c r="D452" s="87" t="n"/>
      <c r="F452" s="87" t="n"/>
    </row>
    <row r="453">
      <c r="D453" s="87" t="n"/>
      <c r="F453" s="87" t="n"/>
    </row>
    <row r="454">
      <c r="D454" s="87" t="n"/>
      <c r="F454" s="87" t="n"/>
    </row>
    <row r="455">
      <c r="D455" s="87" t="n"/>
      <c r="F455" s="87" t="n"/>
    </row>
    <row r="456">
      <c r="D456" s="87" t="n"/>
      <c r="F456" s="87" t="n"/>
    </row>
    <row r="457">
      <c r="D457" s="87" t="n"/>
      <c r="F457" s="87" t="n"/>
    </row>
    <row r="458">
      <c r="D458" s="87" t="n"/>
      <c r="F458" s="87" t="n"/>
    </row>
    <row r="459">
      <c r="D459" s="87" t="n"/>
      <c r="F459" s="87" t="n"/>
    </row>
    <row r="460">
      <c r="D460" s="87" t="n"/>
      <c r="F460" s="87" t="n"/>
    </row>
    <row r="461">
      <c r="D461" s="87" t="n"/>
      <c r="F461" s="87" t="n"/>
    </row>
    <row r="462">
      <c r="D462" s="87" t="n"/>
      <c r="F462" s="87" t="n"/>
    </row>
    <row r="463">
      <c r="D463" s="87" t="n"/>
      <c r="F463" s="87" t="n"/>
    </row>
    <row r="464">
      <c r="D464" s="87" t="n"/>
      <c r="F464" s="87" t="n"/>
    </row>
    <row r="465">
      <c r="D465" s="87" t="n"/>
      <c r="F465" s="87" t="n"/>
    </row>
    <row r="466">
      <c r="D466" s="87" t="n"/>
      <c r="F466" s="87" t="n"/>
    </row>
    <row r="467">
      <c r="D467" s="87" t="n"/>
      <c r="F467" s="87" t="n"/>
    </row>
    <row r="468">
      <c r="D468" s="87" t="n"/>
      <c r="F468" s="87" t="n"/>
    </row>
    <row r="469">
      <c r="D469" s="87" t="n"/>
      <c r="F469" s="87" t="n"/>
    </row>
    <row r="470">
      <c r="D470" s="87" t="n"/>
      <c r="F470" s="87" t="n"/>
    </row>
    <row r="471">
      <c r="D471" s="87" t="n"/>
      <c r="F471" s="87" t="n"/>
    </row>
    <row r="472">
      <c r="D472" s="87" t="n"/>
      <c r="F472" s="87" t="n"/>
    </row>
    <row r="473">
      <c r="D473" s="87" t="n"/>
      <c r="F473" s="87" t="n"/>
    </row>
    <row r="474">
      <c r="D474" s="87" t="n"/>
      <c r="F474" s="87" t="n"/>
    </row>
    <row r="475">
      <c r="D475" s="87" t="n"/>
      <c r="F475" s="87" t="n"/>
    </row>
    <row r="476">
      <c r="D476" s="87" t="n"/>
      <c r="F476" s="87" t="n"/>
    </row>
    <row r="477">
      <c r="D477" s="87" t="n"/>
      <c r="F477" s="87" t="n"/>
    </row>
    <row r="478">
      <c r="D478" s="87" t="n"/>
      <c r="F478" s="87" t="n"/>
    </row>
    <row r="479">
      <c r="D479" s="87" t="n"/>
      <c r="F479" s="87" t="n"/>
    </row>
    <row r="480">
      <c r="D480" s="87" t="n"/>
      <c r="F480" s="87" t="n"/>
    </row>
    <row r="481">
      <c r="D481" s="87" t="n"/>
      <c r="F481" s="87" t="n"/>
    </row>
    <row r="482">
      <c r="D482" s="87" t="n"/>
      <c r="F482" s="87" t="n"/>
    </row>
    <row r="483">
      <c r="D483" s="87" t="n"/>
      <c r="F483" s="87" t="n"/>
    </row>
    <row r="484">
      <c r="D484" s="87" t="n"/>
      <c r="F484" s="87" t="n"/>
    </row>
    <row r="485">
      <c r="D485" s="87" t="n"/>
      <c r="F485" s="87" t="n"/>
    </row>
    <row r="486">
      <c r="D486" s="87" t="n"/>
      <c r="F486" s="87" t="n"/>
    </row>
    <row r="487">
      <c r="D487" s="87" t="n"/>
      <c r="F487" s="87" t="n"/>
    </row>
    <row r="488">
      <c r="D488" s="87" t="n"/>
      <c r="F488" s="87" t="n"/>
    </row>
    <row r="489">
      <c r="D489" s="87" t="n"/>
      <c r="F489" s="87" t="n"/>
    </row>
    <row r="490">
      <c r="D490" s="87" t="n"/>
      <c r="F490" s="87" t="n"/>
    </row>
    <row r="491">
      <c r="D491" s="87" t="n"/>
      <c r="F491" s="87" t="n"/>
    </row>
    <row r="492">
      <c r="D492" s="87" t="n"/>
      <c r="F492" s="87" t="n"/>
    </row>
    <row r="493">
      <c r="D493" s="87" t="n"/>
      <c r="F493" s="87" t="n"/>
    </row>
    <row r="494">
      <c r="D494" s="87" t="n"/>
      <c r="F494" s="87" t="n"/>
    </row>
    <row r="495">
      <c r="D495" s="87" t="n"/>
      <c r="F495" s="87" t="n"/>
    </row>
    <row r="496">
      <c r="D496" s="87" t="n"/>
      <c r="F496" s="87" t="n"/>
    </row>
    <row r="497">
      <c r="D497" s="87" t="n"/>
      <c r="F497" s="87" t="n"/>
    </row>
    <row r="498">
      <c r="D498" s="87" t="n"/>
      <c r="F498" s="87" t="n"/>
    </row>
    <row r="499">
      <c r="D499" s="87" t="n"/>
      <c r="F499" s="87" t="n"/>
    </row>
    <row r="500">
      <c r="D500" s="87" t="n"/>
      <c r="F500" s="87" t="n"/>
    </row>
    <row r="501">
      <c r="D501" s="87" t="n"/>
      <c r="F501" s="87" t="n"/>
    </row>
    <row r="502">
      <c r="D502" s="87" t="n"/>
      <c r="F502" s="87" t="n"/>
    </row>
    <row r="503">
      <c r="D503" s="87" t="n"/>
      <c r="F503" s="87" t="n"/>
    </row>
    <row r="504">
      <c r="D504" s="87" t="n"/>
      <c r="F504" s="87" t="n"/>
    </row>
    <row r="505">
      <c r="D505" s="87" t="n"/>
      <c r="F505" s="87" t="n"/>
    </row>
    <row r="506">
      <c r="D506" s="87" t="n"/>
      <c r="F506" s="87" t="n"/>
    </row>
    <row r="507">
      <c r="D507" s="87" t="n"/>
      <c r="F507" s="87" t="n"/>
    </row>
    <row r="508">
      <c r="D508" s="87" t="n"/>
      <c r="F508" s="87" t="n"/>
    </row>
    <row r="509">
      <c r="D509" s="87" t="n"/>
      <c r="F509" s="87" t="n"/>
    </row>
    <row r="510">
      <c r="D510" s="87" t="n"/>
      <c r="F510" s="87" t="n"/>
    </row>
    <row r="511">
      <c r="D511" s="87" t="n"/>
      <c r="F511" s="87" t="n"/>
    </row>
    <row r="512">
      <c r="D512" s="87" t="n"/>
      <c r="F512" s="87" t="n"/>
    </row>
    <row r="513">
      <c r="D513" s="87" t="n"/>
      <c r="F513" s="87" t="n"/>
    </row>
    <row r="514">
      <c r="D514" s="87" t="n"/>
      <c r="F514" s="87" t="n"/>
    </row>
    <row r="515">
      <c r="D515" s="87" t="n"/>
      <c r="F515" s="87" t="n"/>
    </row>
    <row r="516">
      <c r="D516" s="87" t="n"/>
      <c r="F516" s="87" t="n"/>
    </row>
    <row r="517">
      <c r="D517" s="87" t="n"/>
      <c r="F517" s="87" t="n"/>
    </row>
    <row r="518">
      <c r="D518" s="87" t="n"/>
      <c r="F518" s="87" t="n"/>
    </row>
    <row r="519">
      <c r="D519" s="87" t="n"/>
      <c r="F519" s="87" t="n"/>
    </row>
    <row r="520">
      <c r="D520" s="87" t="n"/>
      <c r="F520" s="87" t="n"/>
    </row>
    <row r="521">
      <c r="D521" s="87" t="n"/>
      <c r="F521" s="87" t="n"/>
    </row>
    <row r="522">
      <c r="D522" s="87" t="n"/>
      <c r="F522" s="87" t="n"/>
    </row>
    <row r="523">
      <c r="D523" s="87" t="n"/>
      <c r="F523" s="87" t="n"/>
    </row>
    <row r="524">
      <c r="D524" s="87" t="n"/>
      <c r="F524" s="87" t="n"/>
    </row>
    <row r="525">
      <c r="D525" s="87" t="n"/>
      <c r="F525" s="87" t="n"/>
    </row>
    <row r="526">
      <c r="D526" s="87" t="n"/>
      <c r="F526" s="87" t="n"/>
    </row>
    <row r="527">
      <c r="D527" s="87" t="n"/>
      <c r="F527" s="87" t="n"/>
    </row>
    <row r="528">
      <c r="D528" s="87" t="n"/>
      <c r="F528" s="87" t="n"/>
    </row>
    <row r="529">
      <c r="D529" s="87" t="n"/>
      <c r="F529" s="87" t="n"/>
    </row>
    <row r="530">
      <c r="D530" s="87" t="n"/>
      <c r="F530" s="87" t="n"/>
    </row>
    <row r="531">
      <c r="D531" s="87" t="n"/>
      <c r="F531" s="87" t="n"/>
    </row>
    <row r="532">
      <c r="D532" s="87" t="n"/>
      <c r="F532" s="87" t="n"/>
    </row>
    <row r="533">
      <c r="D533" s="87" t="n"/>
      <c r="F533" s="87" t="n"/>
    </row>
    <row r="534">
      <c r="D534" s="87" t="n"/>
      <c r="F534" s="87" t="n"/>
    </row>
    <row r="535">
      <c r="D535" s="87" t="n"/>
      <c r="F535" s="87" t="n"/>
    </row>
    <row r="536">
      <c r="D536" s="87" t="n"/>
      <c r="F536" s="87" t="n"/>
    </row>
    <row r="537">
      <c r="D537" s="87" t="n"/>
      <c r="F537" s="87" t="n"/>
    </row>
    <row r="538">
      <c r="D538" s="87" t="n"/>
      <c r="F538" s="87" t="n"/>
    </row>
    <row r="539">
      <c r="D539" s="87" t="n"/>
      <c r="F539" s="87" t="n"/>
    </row>
    <row r="540">
      <c r="D540" s="87" t="n"/>
      <c r="F540" s="87" t="n"/>
    </row>
    <row r="541">
      <c r="D541" s="87" t="n"/>
      <c r="F541" s="87" t="n"/>
    </row>
    <row r="542">
      <c r="D542" s="87" t="n"/>
      <c r="F542" s="87" t="n"/>
    </row>
    <row r="543">
      <c r="D543" s="87" t="n"/>
      <c r="F543" s="87" t="n"/>
    </row>
    <row r="544">
      <c r="D544" s="87" t="n"/>
      <c r="F544" s="87" t="n"/>
    </row>
    <row r="545">
      <c r="D545" s="87" t="n"/>
      <c r="F545" s="87" t="n"/>
    </row>
    <row r="546">
      <c r="D546" s="87" t="n"/>
      <c r="F546" s="87" t="n"/>
    </row>
    <row r="547">
      <c r="D547" s="87" t="n"/>
      <c r="F547" s="87" t="n"/>
    </row>
    <row r="548">
      <c r="D548" s="87" t="n"/>
      <c r="F548" s="87" t="n"/>
    </row>
    <row r="549">
      <c r="D549" s="87" t="n"/>
      <c r="F549" s="87" t="n"/>
    </row>
    <row r="550">
      <c r="D550" s="87" t="n"/>
      <c r="F550" s="87" t="n"/>
    </row>
    <row r="551">
      <c r="D551" s="87" t="n"/>
      <c r="F551" s="87" t="n"/>
    </row>
    <row r="552">
      <c r="D552" s="87" t="n"/>
      <c r="F552" s="87" t="n"/>
    </row>
    <row r="553">
      <c r="D553" s="87" t="n"/>
      <c r="F553" s="87" t="n"/>
    </row>
    <row r="554">
      <c r="D554" s="87" t="n"/>
      <c r="F554" s="87" t="n"/>
    </row>
    <row r="555">
      <c r="D555" s="87" t="n"/>
      <c r="F555" s="87" t="n"/>
    </row>
    <row r="556">
      <c r="D556" s="87" t="n"/>
      <c r="F556" s="87" t="n"/>
    </row>
    <row r="557">
      <c r="D557" s="87" t="n"/>
      <c r="F557" s="87" t="n"/>
    </row>
    <row r="558">
      <c r="D558" s="87" t="n"/>
      <c r="F558" s="87" t="n"/>
    </row>
    <row r="559">
      <c r="D559" s="87" t="n"/>
      <c r="F559" s="87" t="n"/>
    </row>
    <row r="560">
      <c r="D560" s="87" t="n"/>
      <c r="F560" s="87" t="n"/>
    </row>
    <row r="561">
      <c r="D561" s="87" t="n"/>
      <c r="F561" s="87" t="n"/>
    </row>
    <row r="562">
      <c r="D562" s="87" t="n"/>
      <c r="F562" s="87" t="n"/>
    </row>
    <row r="563">
      <c r="D563" s="87" t="n"/>
      <c r="F563" s="87" t="n"/>
    </row>
    <row r="564">
      <c r="D564" s="87" t="n"/>
      <c r="F564" s="87" t="n"/>
    </row>
    <row r="565">
      <c r="D565" s="87" t="n"/>
      <c r="F565" s="87" t="n"/>
    </row>
    <row r="566">
      <c r="D566" s="87" t="n"/>
      <c r="F566" s="87" t="n"/>
    </row>
    <row r="567">
      <c r="D567" s="87" t="n"/>
      <c r="F567" s="87" t="n"/>
    </row>
    <row r="568">
      <c r="D568" s="87" t="n"/>
      <c r="F568" s="87" t="n"/>
    </row>
    <row r="569">
      <c r="D569" s="87" t="n"/>
      <c r="F569" s="87" t="n"/>
    </row>
    <row r="570">
      <c r="D570" s="87" t="n"/>
      <c r="F570" s="87" t="n"/>
    </row>
    <row r="571">
      <c r="D571" s="87" t="n"/>
      <c r="F571" s="87" t="n"/>
    </row>
    <row r="572">
      <c r="D572" s="87" t="n"/>
      <c r="F572" s="87" t="n"/>
    </row>
    <row r="573">
      <c r="D573" s="87" t="n"/>
      <c r="F573" s="87" t="n"/>
    </row>
    <row r="574">
      <c r="D574" s="87" t="n"/>
      <c r="F574" s="87" t="n"/>
    </row>
    <row r="575">
      <c r="D575" s="87" t="n"/>
      <c r="F575" s="87" t="n"/>
    </row>
    <row r="576">
      <c r="D576" s="87" t="n"/>
      <c r="F576" s="87" t="n"/>
    </row>
    <row r="577">
      <c r="D577" s="87" t="n"/>
      <c r="F577" s="87" t="n"/>
    </row>
    <row r="578">
      <c r="D578" s="87" t="n"/>
      <c r="F578" s="87" t="n"/>
    </row>
    <row r="579">
      <c r="D579" s="87" t="n"/>
      <c r="F579" s="87" t="n"/>
    </row>
    <row r="580">
      <c r="D580" s="87" t="n"/>
      <c r="F580" s="87" t="n"/>
    </row>
    <row r="581">
      <c r="D581" s="87" t="n"/>
      <c r="F581" s="87" t="n"/>
    </row>
    <row r="582">
      <c r="D582" s="87" t="n"/>
      <c r="F582" s="87" t="n"/>
    </row>
    <row r="583">
      <c r="D583" s="87" t="n"/>
      <c r="F583" s="87" t="n"/>
    </row>
    <row r="584">
      <c r="D584" s="87" t="n"/>
      <c r="F584" s="87" t="n"/>
    </row>
    <row r="585">
      <c r="D585" s="87" t="n"/>
      <c r="F585" s="87" t="n"/>
    </row>
    <row r="586">
      <c r="D586" s="87" t="n"/>
      <c r="F586" s="87" t="n"/>
    </row>
    <row r="587">
      <c r="D587" s="87" t="n"/>
      <c r="F587" s="87" t="n"/>
    </row>
    <row r="588">
      <c r="D588" s="87" t="n"/>
      <c r="F588" s="87" t="n"/>
    </row>
    <row r="589">
      <c r="D589" s="87" t="n"/>
      <c r="F589" s="87" t="n"/>
    </row>
    <row r="590">
      <c r="D590" s="87" t="n"/>
      <c r="F590" s="87" t="n"/>
    </row>
    <row r="591">
      <c r="D591" s="87" t="n"/>
      <c r="F591" s="87" t="n"/>
    </row>
    <row r="592">
      <c r="D592" s="87" t="n"/>
      <c r="F592" s="87" t="n"/>
    </row>
    <row r="593">
      <c r="D593" s="87" t="n"/>
      <c r="F593" s="87" t="n"/>
    </row>
    <row r="594">
      <c r="D594" s="87" t="n"/>
      <c r="F594" s="87" t="n"/>
    </row>
    <row r="595">
      <c r="D595" s="87" t="n"/>
      <c r="F595" s="87" t="n"/>
    </row>
    <row r="596">
      <c r="D596" s="87" t="n"/>
      <c r="F596" s="87" t="n"/>
    </row>
    <row r="597">
      <c r="D597" s="87" t="n"/>
      <c r="F597" s="87" t="n"/>
    </row>
    <row r="598">
      <c r="D598" s="87" t="n"/>
      <c r="F598" s="87" t="n"/>
    </row>
    <row r="599">
      <c r="D599" s="87" t="n"/>
      <c r="F599" s="87" t="n"/>
    </row>
    <row r="600">
      <c r="D600" s="87" t="n"/>
      <c r="F600" s="87" t="n"/>
    </row>
    <row r="601">
      <c r="D601" s="87" t="n"/>
      <c r="F601" s="87" t="n"/>
    </row>
    <row r="602">
      <c r="D602" s="87" t="n"/>
      <c r="F602" s="87" t="n"/>
    </row>
    <row r="603">
      <c r="D603" s="87" t="n"/>
      <c r="F603" s="87" t="n"/>
    </row>
    <row r="604">
      <c r="D604" s="87" t="n"/>
      <c r="F604" s="87" t="n"/>
    </row>
    <row r="605">
      <c r="D605" s="87" t="n"/>
      <c r="F605" s="87" t="n"/>
    </row>
    <row r="606">
      <c r="D606" s="87" t="n"/>
      <c r="F606" s="87" t="n"/>
    </row>
    <row r="607">
      <c r="D607" s="87" t="n"/>
      <c r="F607" s="87" t="n"/>
    </row>
    <row r="608">
      <c r="D608" s="87" t="n"/>
      <c r="F608" s="87" t="n"/>
    </row>
    <row r="609">
      <c r="D609" s="87" t="n"/>
      <c r="F609" s="87" t="n"/>
    </row>
    <row r="610">
      <c r="D610" s="87" t="n"/>
      <c r="F610" s="87" t="n"/>
    </row>
    <row r="611">
      <c r="D611" s="87" t="n"/>
      <c r="F611" s="87" t="n"/>
    </row>
    <row r="612">
      <c r="D612" s="87" t="n"/>
      <c r="F612" s="87" t="n"/>
    </row>
    <row r="613">
      <c r="D613" s="87" t="n"/>
      <c r="F613" s="87" t="n"/>
    </row>
    <row r="614">
      <c r="D614" s="87" t="n"/>
      <c r="F614" s="87" t="n"/>
    </row>
    <row r="615">
      <c r="D615" s="87" t="n"/>
      <c r="F615" s="87" t="n"/>
    </row>
    <row r="616">
      <c r="D616" s="87" t="n"/>
      <c r="F616" s="87" t="n"/>
    </row>
    <row r="617">
      <c r="D617" s="87" t="n"/>
      <c r="F617" s="87" t="n"/>
    </row>
    <row r="618">
      <c r="D618" s="87" t="n"/>
      <c r="F618" s="87" t="n"/>
    </row>
    <row r="619">
      <c r="D619" s="87" t="n"/>
      <c r="F619" s="87" t="n"/>
    </row>
    <row r="620">
      <c r="D620" s="87" t="n"/>
      <c r="F620" s="87" t="n"/>
    </row>
    <row r="621">
      <c r="D621" s="87" t="n"/>
      <c r="F621" s="87" t="n"/>
    </row>
    <row r="622">
      <c r="D622" s="87" t="n"/>
      <c r="F622" s="87" t="n"/>
    </row>
    <row r="623">
      <c r="D623" s="87" t="n"/>
      <c r="F623" s="87" t="n"/>
    </row>
    <row r="624">
      <c r="D624" s="87" t="n"/>
      <c r="F624" s="87" t="n"/>
    </row>
    <row r="625">
      <c r="D625" s="87" t="n"/>
      <c r="F625" s="87" t="n"/>
    </row>
    <row r="626">
      <c r="D626" s="87" t="n"/>
      <c r="F626" s="87" t="n"/>
    </row>
    <row r="627">
      <c r="D627" s="87" t="n"/>
      <c r="F627" s="87" t="n"/>
    </row>
    <row r="628">
      <c r="D628" s="87" t="n"/>
      <c r="F628" s="87" t="n"/>
    </row>
    <row r="629">
      <c r="D629" s="87" t="n"/>
      <c r="F629" s="87" t="n"/>
    </row>
    <row r="630">
      <c r="D630" s="87" t="n"/>
      <c r="F630" s="87" t="n"/>
    </row>
    <row r="631">
      <c r="D631" s="87" t="n"/>
      <c r="F631" s="87" t="n"/>
    </row>
    <row r="632">
      <c r="D632" s="87" t="n"/>
      <c r="F632" s="87" t="n"/>
    </row>
    <row r="633">
      <c r="D633" s="87" t="n"/>
      <c r="F633" s="87" t="n"/>
    </row>
    <row r="634">
      <c r="D634" s="87" t="n"/>
      <c r="F634" s="87" t="n"/>
    </row>
    <row r="635">
      <c r="D635" s="87" t="n"/>
      <c r="F635" s="87" t="n"/>
    </row>
    <row r="636">
      <c r="D636" s="87" t="n"/>
      <c r="F636" s="87" t="n"/>
    </row>
    <row r="637">
      <c r="D637" s="87" t="n"/>
      <c r="F637" s="87" t="n"/>
    </row>
    <row r="638">
      <c r="D638" s="87" t="n"/>
      <c r="F638" s="87" t="n"/>
    </row>
    <row r="639">
      <c r="D639" s="87" t="n"/>
      <c r="F639" s="87" t="n"/>
    </row>
    <row r="640">
      <c r="D640" s="87" t="n"/>
      <c r="F640" s="87" t="n"/>
    </row>
    <row r="641">
      <c r="D641" s="87" t="n"/>
      <c r="F641" s="87" t="n"/>
    </row>
    <row r="642">
      <c r="D642" s="87" t="n"/>
      <c r="F642" s="87" t="n"/>
    </row>
    <row r="643">
      <c r="D643" s="87" t="n"/>
      <c r="F643" s="87" t="n"/>
    </row>
    <row r="644">
      <c r="D644" s="87" t="n"/>
      <c r="F644" s="87" t="n"/>
    </row>
    <row r="645">
      <c r="D645" s="87" t="n"/>
      <c r="F645" s="87" t="n"/>
    </row>
    <row r="646">
      <c r="D646" s="87" t="n"/>
      <c r="F646" s="87" t="n"/>
    </row>
    <row r="647">
      <c r="D647" s="87" t="n"/>
      <c r="F647" s="87" t="n"/>
    </row>
    <row r="648">
      <c r="D648" s="87" t="n"/>
      <c r="F648" s="87" t="n"/>
    </row>
    <row r="649">
      <c r="D649" s="87" t="n"/>
      <c r="F649" s="87" t="n"/>
    </row>
    <row r="650">
      <c r="D650" s="87" t="n"/>
      <c r="F650" s="87" t="n"/>
    </row>
    <row r="651">
      <c r="D651" s="87" t="n"/>
      <c r="F651" s="87" t="n"/>
    </row>
    <row r="652">
      <c r="D652" s="87" t="n"/>
      <c r="F652" s="87" t="n"/>
    </row>
    <row r="653">
      <c r="D653" s="87" t="n"/>
      <c r="F653" s="87" t="n"/>
    </row>
    <row r="654">
      <c r="D654" s="87" t="n"/>
      <c r="F654" s="87" t="n"/>
    </row>
    <row r="655">
      <c r="D655" s="87" t="n"/>
      <c r="F655" s="87" t="n"/>
    </row>
    <row r="656">
      <c r="D656" s="87" t="n"/>
      <c r="F656" s="87" t="n"/>
    </row>
    <row r="657">
      <c r="D657" s="87" t="n"/>
      <c r="F657" s="87" t="n"/>
    </row>
    <row r="658">
      <c r="D658" s="87" t="n"/>
      <c r="F658" s="87" t="n"/>
    </row>
    <row r="659">
      <c r="D659" s="87" t="n"/>
      <c r="F659" s="87" t="n"/>
    </row>
    <row r="660">
      <c r="D660" s="87" t="n"/>
      <c r="F660" s="87" t="n"/>
    </row>
    <row r="661">
      <c r="D661" s="87" t="n"/>
      <c r="F661" s="87" t="n"/>
    </row>
    <row r="662">
      <c r="D662" s="87" t="n"/>
      <c r="F662" s="87" t="n"/>
    </row>
    <row r="663">
      <c r="D663" s="87" t="n"/>
      <c r="F663" s="87" t="n"/>
    </row>
    <row r="664">
      <c r="D664" s="87" t="n"/>
      <c r="F664" s="87" t="n"/>
    </row>
    <row r="665">
      <c r="D665" s="87" t="n"/>
      <c r="F665" s="87" t="n"/>
    </row>
    <row r="666">
      <c r="D666" s="87" t="n"/>
      <c r="F666" s="87" t="n"/>
    </row>
    <row r="667">
      <c r="D667" s="87" t="n"/>
      <c r="F667" s="87" t="n"/>
    </row>
    <row r="668">
      <c r="D668" s="87" t="n"/>
      <c r="F668" s="87" t="n"/>
    </row>
    <row r="669">
      <c r="D669" s="87" t="n"/>
      <c r="F669" s="87" t="n"/>
    </row>
    <row r="670">
      <c r="D670" s="87" t="n"/>
      <c r="F670" s="87" t="n"/>
    </row>
    <row r="671">
      <c r="D671" s="87" t="n"/>
      <c r="F671" s="87" t="n"/>
    </row>
    <row r="672">
      <c r="D672" s="87" t="n"/>
      <c r="F672" s="87" t="n"/>
    </row>
    <row r="673">
      <c r="D673" s="87" t="n"/>
      <c r="F673" s="87" t="n"/>
    </row>
    <row r="674">
      <c r="D674" s="87" t="n"/>
      <c r="F674" s="87" t="n"/>
    </row>
    <row r="675">
      <c r="D675" s="87" t="n"/>
      <c r="F675" s="87" t="n"/>
    </row>
    <row r="676">
      <c r="D676" s="87" t="n"/>
      <c r="F676" s="87" t="n"/>
    </row>
    <row r="677">
      <c r="D677" s="87" t="n"/>
      <c r="F677" s="87" t="n"/>
    </row>
    <row r="678">
      <c r="D678" s="87" t="n"/>
      <c r="F678" s="87" t="n"/>
    </row>
    <row r="679">
      <c r="D679" s="87" t="n"/>
      <c r="F679" s="87" t="n"/>
    </row>
    <row r="680">
      <c r="D680" s="87" t="n"/>
      <c r="F680" s="87" t="n"/>
    </row>
    <row r="681">
      <c r="D681" s="87" t="n"/>
      <c r="F681" s="87" t="n"/>
    </row>
    <row r="682">
      <c r="D682" s="87" t="n"/>
      <c r="F682" s="87" t="n"/>
    </row>
    <row r="683">
      <c r="D683" s="87" t="n"/>
      <c r="F683" s="87" t="n"/>
    </row>
    <row r="684">
      <c r="D684" s="87" t="n"/>
      <c r="F684" s="87" t="n"/>
    </row>
    <row r="685">
      <c r="D685" s="87" t="n"/>
      <c r="F685" s="87" t="n"/>
    </row>
    <row r="686">
      <c r="D686" s="87" t="n"/>
      <c r="F686" s="87" t="n"/>
    </row>
    <row r="687">
      <c r="D687" s="87" t="n"/>
      <c r="F687" s="87" t="n"/>
    </row>
    <row r="688">
      <c r="D688" s="87" t="n"/>
      <c r="F688" s="87" t="n"/>
    </row>
    <row r="689">
      <c r="D689" s="87" t="n"/>
      <c r="F689" s="87" t="n"/>
    </row>
    <row r="690">
      <c r="D690" s="87" t="n"/>
      <c r="F690" s="87" t="n"/>
    </row>
    <row r="691">
      <c r="D691" s="87" t="n"/>
      <c r="F691" s="87" t="n"/>
    </row>
    <row r="692">
      <c r="D692" s="87" t="n"/>
      <c r="F692" s="87" t="n"/>
    </row>
    <row r="693">
      <c r="D693" s="87" t="n"/>
      <c r="F693" s="87" t="n"/>
    </row>
    <row r="694">
      <c r="D694" s="87" t="n"/>
      <c r="F694" s="87" t="n"/>
    </row>
    <row r="695">
      <c r="D695" s="87" t="n"/>
      <c r="F695" s="87" t="n"/>
    </row>
    <row r="696">
      <c r="D696" s="87" t="n"/>
      <c r="F696" s="87" t="n"/>
    </row>
    <row r="697">
      <c r="D697" s="87" t="n"/>
      <c r="F697" s="87" t="n"/>
    </row>
    <row r="698">
      <c r="D698" s="87" t="n"/>
      <c r="F698" s="87" t="n"/>
    </row>
    <row r="699">
      <c r="D699" s="87" t="n"/>
      <c r="F699" s="87" t="n"/>
    </row>
    <row r="700">
      <c r="D700" s="87" t="n"/>
      <c r="F700" s="87" t="n"/>
    </row>
    <row r="701">
      <c r="D701" s="87" t="n"/>
      <c r="F701" s="87" t="n"/>
    </row>
    <row r="702">
      <c r="D702" s="87" t="n"/>
      <c r="F702" s="87" t="n"/>
    </row>
    <row r="703">
      <c r="D703" s="87" t="n"/>
      <c r="F703" s="87" t="n"/>
    </row>
    <row r="704">
      <c r="D704" s="87" t="n"/>
      <c r="F704" s="87" t="n"/>
    </row>
    <row r="705">
      <c r="D705" s="87" t="n"/>
      <c r="F705" s="87" t="n"/>
    </row>
    <row r="706">
      <c r="D706" s="87" t="n"/>
      <c r="F706" s="87" t="n"/>
    </row>
    <row r="707">
      <c r="D707" s="87" t="n"/>
      <c r="F707" s="87" t="n"/>
    </row>
    <row r="708">
      <c r="D708" s="87" t="n"/>
      <c r="F708" s="87" t="n"/>
    </row>
    <row r="709">
      <c r="D709" s="87" t="n"/>
      <c r="F709" s="87" t="n"/>
    </row>
    <row r="710">
      <c r="D710" s="87" t="n"/>
      <c r="F710" s="87" t="n"/>
    </row>
    <row r="711">
      <c r="D711" s="87" t="n"/>
      <c r="F711" s="87" t="n"/>
    </row>
    <row r="712">
      <c r="D712" s="87" t="n"/>
      <c r="F712" s="87" t="n"/>
    </row>
    <row r="713">
      <c r="D713" s="87" t="n"/>
      <c r="F713" s="87" t="n"/>
    </row>
    <row r="714">
      <c r="D714" s="87" t="n"/>
      <c r="F714" s="87" t="n"/>
    </row>
    <row r="715">
      <c r="D715" s="87" t="n"/>
      <c r="F715" s="87" t="n"/>
    </row>
    <row r="716">
      <c r="D716" s="87" t="n"/>
      <c r="F716" s="87" t="n"/>
    </row>
    <row r="717">
      <c r="D717" s="87" t="n"/>
      <c r="F717" s="87" t="n"/>
    </row>
    <row r="718">
      <c r="D718" s="87" t="n"/>
      <c r="F718" s="87" t="n"/>
    </row>
    <row r="719">
      <c r="D719" s="87" t="n"/>
      <c r="F719" s="87" t="n"/>
    </row>
    <row r="720">
      <c r="D720" s="87" t="n"/>
      <c r="F720" s="87" t="n"/>
    </row>
    <row r="721">
      <c r="D721" s="87" t="n"/>
      <c r="F721" s="87" t="n"/>
    </row>
    <row r="722">
      <c r="D722" s="87" t="n"/>
      <c r="F722" s="87" t="n"/>
    </row>
    <row r="723">
      <c r="D723" s="87" t="n"/>
      <c r="F723" s="87" t="n"/>
    </row>
    <row r="724">
      <c r="D724" s="87" t="n"/>
      <c r="F724" s="87" t="n"/>
    </row>
    <row r="725">
      <c r="D725" s="87" t="n"/>
      <c r="F725" s="87" t="n"/>
    </row>
    <row r="726">
      <c r="D726" s="87" t="n"/>
      <c r="F726" s="87" t="n"/>
    </row>
    <row r="727">
      <c r="D727" s="87" t="n"/>
      <c r="F727" s="87" t="n"/>
    </row>
    <row r="728">
      <c r="D728" s="87" t="n"/>
      <c r="F728" s="87" t="n"/>
    </row>
    <row r="729">
      <c r="D729" s="87" t="n"/>
      <c r="F729" s="87" t="n"/>
    </row>
    <row r="730">
      <c r="D730" s="87" t="n"/>
      <c r="F730" s="87" t="n"/>
    </row>
    <row r="731">
      <c r="D731" s="87" t="n"/>
      <c r="F731" s="87" t="n"/>
    </row>
    <row r="732">
      <c r="D732" s="87" t="n"/>
      <c r="F732" s="87" t="n"/>
    </row>
    <row r="733">
      <c r="D733" s="87" t="n"/>
      <c r="F733" s="87" t="n"/>
    </row>
    <row r="734">
      <c r="D734" s="87" t="n"/>
      <c r="F734" s="87" t="n"/>
    </row>
    <row r="735">
      <c r="D735" s="87" t="n"/>
      <c r="F735" s="87" t="n"/>
    </row>
    <row r="736">
      <c r="D736" s="87" t="n"/>
      <c r="F736" s="87" t="n"/>
    </row>
    <row r="737">
      <c r="D737" s="87" t="n"/>
      <c r="F737" s="87" t="n"/>
    </row>
    <row r="738">
      <c r="D738" s="87" t="n"/>
      <c r="F738" s="87" t="n"/>
    </row>
    <row r="739">
      <c r="D739" s="87" t="n"/>
      <c r="F739" s="87" t="n"/>
    </row>
    <row r="740">
      <c r="D740" s="87" t="n"/>
      <c r="F740" s="87" t="n"/>
    </row>
    <row r="741">
      <c r="D741" s="87" t="n"/>
      <c r="F741" s="87" t="n"/>
    </row>
    <row r="742">
      <c r="D742" s="87" t="n"/>
      <c r="F742" s="87" t="n"/>
    </row>
    <row r="743">
      <c r="D743" s="87" t="n"/>
      <c r="F743" s="87" t="n"/>
    </row>
    <row r="744">
      <c r="D744" s="87" t="n"/>
      <c r="F744" s="87" t="n"/>
    </row>
    <row r="745">
      <c r="D745" s="87" t="n"/>
      <c r="F745" s="87" t="n"/>
    </row>
    <row r="746">
      <c r="D746" s="87" t="n"/>
      <c r="F746" s="87" t="n"/>
    </row>
    <row r="747">
      <c r="D747" s="87" t="n"/>
      <c r="F747" s="87" t="n"/>
    </row>
    <row r="748">
      <c r="D748" s="87" t="n"/>
      <c r="F748" s="87" t="n"/>
    </row>
    <row r="749">
      <c r="D749" s="87" t="n"/>
      <c r="F749" s="87" t="n"/>
    </row>
    <row r="750">
      <c r="D750" s="87" t="n"/>
      <c r="F750" s="87" t="n"/>
    </row>
    <row r="751">
      <c r="D751" s="87" t="n"/>
      <c r="F751" s="87" t="n"/>
    </row>
    <row r="752">
      <c r="D752" s="87" t="n"/>
      <c r="F752" s="87" t="n"/>
    </row>
    <row r="753">
      <c r="D753" s="87" t="n"/>
      <c r="F753" s="87" t="n"/>
    </row>
    <row r="754">
      <c r="D754" s="87" t="n"/>
      <c r="F754" s="87" t="n"/>
    </row>
    <row r="755">
      <c r="D755" s="87" t="n"/>
      <c r="F755" s="87" t="n"/>
    </row>
    <row r="756">
      <c r="D756" s="87" t="n"/>
      <c r="F756" s="87" t="n"/>
    </row>
    <row r="757">
      <c r="D757" s="87" t="n"/>
      <c r="F757" s="87" t="n"/>
    </row>
    <row r="758">
      <c r="D758" s="87" t="n"/>
      <c r="F758" s="87" t="n"/>
    </row>
    <row r="759">
      <c r="D759" s="87" t="n"/>
      <c r="F759" s="87" t="n"/>
    </row>
    <row r="760">
      <c r="D760" s="87" t="n"/>
      <c r="F760" s="87" t="n"/>
    </row>
    <row r="761">
      <c r="D761" s="87" t="n"/>
      <c r="F761" s="87" t="n"/>
    </row>
    <row r="762">
      <c r="D762" s="87" t="n"/>
      <c r="F762" s="87" t="n"/>
    </row>
    <row r="763">
      <c r="D763" s="87" t="n"/>
      <c r="F763" s="87" t="n"/>
    </row>
    <row r="764">
      <c r="D764" s="87" t="n"/>
      <c r="F764" s="87" t="n"/>
    </row>
    <row r="765">
      <c r="D765" s="87" t="n"/>
      <c r="F765" s="87" t="n"/>
    </row>
    <row r="766">
      <c r="D766" s="87" t="n"/>
      <c r="F766" s="87" t="n"/>
    </row>
    <row r="767">
      <c r="D767" s="87" t="n"/>
      <c r="F767" s="87" t="n"/>
    </row>
    <row r="768">
      <c r="D768" s="87" t="n"/>
      <c r="F768" s="87" t="n"/>
    </row>
    <row r="769">
      <c r="D769" s="87" t="n"/>
      <c r="F769" s="87" t="n"/>
    </row>
    <row r="770">
      <c r="D770" s="87" t="n"/>
      <c r="F770" s="87" t="n"/>
    </row>
    <row r="771">
      <c r="D771" s="87" t="n"/>
      <c r="F771" s="87" t="n"/>
    </row>
    <row r="772">
      <c r="D772" s="87" t="n"/>
      <c r="F772" s="87" t="n"/>
    </row>
    <row r="773">
      <c r="D773" s="87" t="n"/>
      <c r="F773" s="87" t="n"/>
    </row>
    <row r="774">
      <c r="D774" s="87" t="n"/>
      <c r="F774" s="87" t="n"/>
    </row>
    <row r="775">
      <c r="D775" s="87" t="n"/>
      <c r="F775" s="87" t="n"/>
    </row>
    <row r="776">
      <c r="D776" s="87" t="n"/>
      <c r="F776" s="87" t="n"/>
    </row>
    <row r="777">
      <c r="D777" s="87" t="n"/>
      <c r="F777" s="87" t="n"/>
    </row>
    <row r="778">
      <c r="D778" s="87" t="n"/>
      <c r="F778" s="87" t="n"/>
    </row>
    <row r="779">
      <c r="D779" s="87" t="n"/>
      <c r="F779" s="87" t="n"/>
    </row>
    <row r="780">
      <c r="D780" s="87" t="n"/>
      <c r="F780" s="87" t="n"/>
    </row>
    <row r="781">
      <c r="D781" s="87" t="n"/>
      <c r="F781" s="87" t="n"/>
    </row>
    <row r="782">
      <c r="D782" s="87" t="n"/>
      <c r="F782" s="87" t="n"/>
    </row>
    <row r="783">
      <c r="D783" s="87" t="n"/>
      <c r="F783" s="87" t="n"/>
    </row>
    <row r="784">
      <c r="D784" s="87" t="n"/>
      <c r="F784" s="87" t="n"/>
    </row>
    <row r="785">
      <c r="D785" s="87" t="n"/>
      <c r="F785" s="87" t="n"/>
    </row>
    <row r="786">
      <c r="D786" s="87" t="n"/>
      <c r="F786" s="87" t="n"/>
    </row>
    <row r="787">
      <c r="D787" s="87" t="n"/>
      <c r="F787" s="87" t="n"/>
    </row>
    <row r="788">
      <c r="D788" s="87" t="n"/>
      <c r="F788" s="87" t="n"/>
    </row>
    <row r="789">
      <c r="D789" s="87" t="n"/>
      <c r="F789" s="87" t="n"/>
    </row>
    <row r="790">
      <c r="D790" s="87" t="n"/>
      <c r="F790" s="87" t="n"/>
    </row>
    <row r="791">
      <c r="D791" s="87" t="n"/>
      <c r="F791" s="87" t="n"/>
    </row>
    <row r="792">
      <c r="D792" s="87" t="n"/>
      <c r="F792" s="87" t="n"/>
    </row>
    <row r="793">
      <c r="D793" s="87" t="n"/>
      <c r="F793" s="87" t="n"/>
    </row>
    <row r="794">
      <c r="D794" s="87" t="n"/>
      <c r="F794" s="87" t="n"/>
    </row>
    <row r="795">
      <c r="D795" s="87" t="n"/>
      <c r="F795" s="87" t="n"/>
    </row>
    <row r="796">
      <c r="D796" s="87" t="n"/>
      <c r="F796" s="87" t="n"/>
    </row>
    <row r="797">
      <c r="D797" s="87" t="n"/>
      <c r="F797" s="87" t="n"/>
    </row>
    <row r="798">
      <c r="D798" s="87" t="n"/>
      <c r="F798" s="87" t="n"/>
    </row>
    <row r="799">
      <c r="D799" s="87" t="n"/>
      <c r="F799" s="87" t="n"/>
    </row>
    <row r="800">
      <c r="D800" s="87" t="n"/>
      <c r="F800" s="87" t="n"/>
    </row>
    <row r="801">
      <c r="D801" s="87" t="n"/>
      <c r="F801" s="87" t="n"/>
    </row>
    <row r="802">
      <c r="D802" s="87" t="n"/>
      <c r="F802" s="87" t="n"/>
    </row>
    <row r="803">
      <c r="D803" s="87" t="n"/>
      <c r="F803" s="87" t="n"/>
    </row>
    <row r="804">
      <c r="D804" s="87" t="n"/>
      <c r="F804" s="87" t="n"/>
    </row>
    <row r="805">
      <c r="D805" s="87" t="n"/>
      <c r="F805" s="87" t="n"/>
    </row>
    <row r="806">
      <c r="D806" s="87" t="n"/>
      <c r="F806" s="87" t="n"/>
    </row>
    <row r="807">
      <c r="D807" s="87" t="n"/>
      <c r="F807" s="87" t="n"/>
    </row>
    <row r="808">
      <c r="D808" s="87" t="n"/>
      <c r="F808" s="87" t="n"/>
    </row>
    <row r="809">
      <c r="D809" s="87" t="n"/>
      <c r="F809" s="87" t="n"/>
    </row>
    <row r="810">
      <c r="D810" s="87" t="n"/>
      <c r="F810" s="87" t="n"/>
    </row>
    <row r="811">
      <c r="D811" s="87" t="n"/>
      <c r="F811" s="87" t="n"/>
    </row>
    <row r="812">
      <c r="D812" s="87" t="n"/>
      <c r="F812" s="87" t="n"/>
    </row>
    <row r="813">
      <c r="D813" s="87" t="n"/>
      <c r="F813" s="87" t="n"/>
    </row>
    <row r="814">
      <c r="D814" s="87" t="n"/>
      <c r="F814" s="87" t="n"/>
    </row>
    <row r="815">
      <c r="D815" s="87" t="n"/>
      <c r="F815" s="87" t="n"/>
    </row>
    <row r="816">
      <c r="D816" s="87" t="n"/>
      <c r="F816" s="87" t="n"/>
    </row>
    <row r="817">
      <c r="D817" s="87" t="n"/>
      <c r="F817" s="87" t="n"/>
    </row>
    <row r="818">
      <c r="D818" s="87" t="n"/>
      <c r="F818" s="87" t="n"/>
    </row>
    <row r="819">
      <c r="D819" s="87" t="n"/>
      <c r="F819" s="87" t="n"/>
    </row>
    <row r="820">
      <c r="D820" s="87" t="n"/>
      <c r="F820" s="87" t="n"/>
    </row>
    <row r="821">
      <c r="D821" s="87" t="n"/>
      <c r="F821" s="87" t="n"/>
    </row>
    <row r="822">
      <c r="D822" s="87" t="n"/>
      <c r="F822" s="87" t="n"/>
    </row>
    <row r="823">
      <c r="D823" s="87" t="n"/>
      <c r="F823" s="87" t="n"/>
    </row>
    <row r="824">
      <c r="D824" s="87" t="n"/>
      <c r="F824" s="87" t="n"/>
    </row>
    <row r="825">
      <c r="D825" s="87" t="n"/>
      <c r="F825" s="87" t="n"/>
    </row>
    <row r="826">
      <c r="D826" s="87" t="n"/>
      <c r="F826" s="87" t="n"/>
    </row>
    <row r="827">
      <c r="D827" s="87" t="n"/>
      <c r="F827" s="87" t="n"/>
    </row>
    <row r="828">
      <c r="D828" s="87" t="n"/>
      <c r="F828" s="87" t="n"/>
    </row>
    <row r="829">
      <c r="D829" s="87" t="n"/>
      <c r="F829" s="87" t="n"/>
    </row>
    <row r="830">
      <c r="D830" s="87" t="n"/>
      <c r="F830" s="87" t="n"/>
    </row>
    <row r="831">
      <c r="D831" s="87" t="n"/>
      <c r="F831" s="87" t="n"/>
    </row>
    <row r="832">
      <c r="D832" s="87" t="n"/>
      <c r="F832" s="87" t="n"/>
    </row>
    <row r="833">
      <c r="D833" s="87" t="n"/>
      <c r="F833" s="87" t="n"/>
    </row>
    <row r="834">
      <c r="D834" s="87" t="n"/>
      <c r="F834" s="87" t="n"/>
    </row>
    <row r="835">
      <c r="D835" s="87" t="n"/>
      <c r="F835" s="87" t="n"/>
    </row>
    <row r="836">
      <c r="D836" s="87" t="n"/>
      <c r="F836" s="87" t="n"/>
    </row>
    <row r="837">
      <c r="D837" s="87" t="n"/>
      <c r="F837" s="87" t="n"/>
    </row>
    <row r="838">
      <c r="D838" s="87" t="n"/>
      <c r="F838" s="87" t="n"/>
    </row>
    <row r="839">
      <c r="D839" s="87" t="n"/>
      <c r="F839" s="87" t="n"/>
    </row>
    <row r="840">
      <c r="D840" s="87" t="n"/>
      <c r="F840" s="87" t="n"/>
    </row>
    <row r="841">
      <c r="D841" s="87" t="n"/>
      <c r="F841" s="87" t="n"/>
    </row>
    <row r="842">
      <c r="D842" s="87" t="n"/>
      <c r="F842" s="87" t="n"/>
    </row>
    <row r="843">
      <c r="D843" s="87" t="n"/>
      <c r="F843" s="87" t="n"/>
    </row>
    <row r="844">
      <c r="D844" s="87" t="n"/>
      <c r="F844" s="87" t="n"/>
    </row>
    <row r="845">
      <c r="D845" s="87" t="n"/>
      <c r="F845" s="87" t="n"/>
    </row>
    <row r="846">
      <c r="D846" s="87" t="n"/>
      <c r="F846" s="87" t="n"/>
    </row>
    <row r="847">
      <c r="D847" s="87" t="n"/>
      <c r="F847" s="87" t="n"/>
    </row>
    <row r="848">
      <c r="D848" s="87" t="n"/>
      <c r="F848" s="87" t="n"/>
    </row>
    <row r="849">
      <c r="D849" s="87" t="n"/>
      <c r="F849" s="87" t="n"/>
    </row>
    <row r="850">
      <c r="D850" s="87" t="n"/>
      <c r="F850" s="87" t="n"/>
    </row>
    <row r="851">
      <c r="D851" s="87" t="n"/>
      <c r="F851" s="87" t="n"/>
    </row>
    <row r="852">
      <c r="D852" s="87" t="n"/>
      <c r="F852" s="87" t="n"/>
    </row>
    <row r="853">
      <c r="D853" s="87" t="n"/>
      <c r="F853" s="87" t="n"/>
    </row>
    <row r="854">
      <c r="D854" s="87" t="n"/>
      <c r="F854" s="87" t="n"/>
    </row>
    <row r="855">
      <c r="D855" s="87" t="n"/>
      <c r="F855" s="87" t="n"/>
    </row>
    <row r="856">
      <c r="D856" s="87" t="n"/>
      <c r="F856" s="87" t="n"/>
    </row>
    <row r="857">
      <c r="D857" s="87" t="n"/>
      <c r="F857" s="87" t="n"/>
    </row>
    <row r="858">
      <c r="D858" s="87" t="n"/>
      <c r="F858" s="87" t="n"/>
    </row>
    <row r="859">
      <c r="D859" s="87" t="n"/>
      <c r="F859" s="87" t="n"/>
    </row>
    <row r="860">
      <c r="D860" s="87" t="n"/>
      <c r="F860" s="87" t="n"/>
    </row>
    <row r="861">
      <c r="D861" s="87" t="n"/>
      <c r="F861" s="87" t="n"/>
    </row>
    <row r="862">
      <c r="D862" s="87" t="n"/>
      <c r="F862" s="87" t="n"/>
    </row>
    <row r="863">
      <c r="D863" s="87" t="n"/>
      <c r="F863" s="87" t="n"/>
    </row>
    <row r="864">
      <c r="D864" s="87" t="n"/>
      <c r="F864" s="87" t="n"/>
    </row>
    <row r="865">
      <c r="D865" s="87" t="n"/>
      <c r="F865" s="87" t="n"/>
    </row>
    <row r="866">
      <c r="D866" s="87" t="n"/>
      <c r="F866" s="87" t="n"/>
    </row>
    <row r="867">
      <c r="D867" s="87" t="n"/>
      <c r="F867" s="87" t="n"/>
    </row>
    <row r="868">
      <c r="D868" s="87" t="n"/>
      <c r="F868" s="87" t="n"/>
    </row>
    <row r="869">
      <c r="D869" s="87" t="n"/>
      <c r="F869" s="87" t="n"/>
    </row>
    <row r="870">
      <c r="D870" s="87" t="n"/>
      <c r="F870" s="87" t="n"/>
    </row>
    <row r="871">
      <c r="D871" s="87" t="n"/>
      <c r="F871" s="87" t="n"/>
    </row>
    <row r="872">
      <c r="D872" s="87" t="n"/>
      <c r="F872" s="87" t="n"/>
    </row>
    <row r="873">
      <c r="D873" s="87" t="n"/>
      <c r="F873" s="87" t="n"/>
    </row>
    <row r="874">
      <c r="D874" s="87" t="n"/>
      <c r="F874" s="87" t="n"/>
    </row>
    <row r="875">
      <c r="D875" s="87" t="n"/>
      <c r="F875" s="87" t="n"/>
    </row>
    <row r="876">
      <c r="D876" s="87" t="n"/>
      <c r="F876" s="87" t="n"/>
    </row>
    <row r="877">
      <c r="D877" s="87" t="n"/>
      <c r="F877" s="87" t="n"/>
    </row>
    <row r="878">
      <c r="D878" s="87" t="n"/>
      <c r="F878" s="87" t="n"/>
    </row>
    <row r="879">
      <c r="D879" s="87" t="n"/>
      <c r="F879" s="87" t="n"/>
    </row>
    <row r="880">
      <c r="D880" s="87" t="n"/>
      <c r="F880" s="87" t="n"/>
    </row>
    <row r="881">
      <c r="D881" s="87" t="n"/>
      <c r="F881" s="87" t="n"/>
    </row>
    <row r="882">
      <c r="D882" s="87" t="n"/>
      <c r="F882" s="87" t="n"/>
    </row>
    <row r="883">
      <c r="D883" s="87" t="n"/>
      <c r="F883" s="87" t="n"/>
    </row>
    <row r="884">
      <c r="D884" s="87" t="n"/>
      <c r="F884" s="87" t="n"/>
    </row>
    <row r="885">
      <c r="D885" s="87" t="n"/>
      <c r="F885" s="87" t="n"/>
    </row>
    <row r="886">
      <c r="D886" s="87" t="n"/>
      <c r="F886" s="87" t="n"/>
    </row>
    <row r="887">
      <c r="D887" s="87" t="n"/>
      <c r="F887" s="87" t="n"/>
    </row>
    <row r="888">
      <c r="D888" s="87" t="n"/>
      <c r="F888" s="87" t="n"/>
    </row>
    <row r="889">
      <c r="D889" s="87" t="n"/>
      <c r="F889" s="87" t="n"/>
    </row>
    <row r="890">
      <c r="D890" s="87" t="n"/>
      <c r="F890" s="87" t="n"/>
    </row>
    <row r="891">
      <c r="D891" s="87" t="n"/>
      <c r="F891" s="87" t="n"/>
    </row>
    <row r="892">
      <c r="D892" s="87" t="n"/>
      <c r="F892" s="87" t="n"/>
    </row>
    <row r="893">
      <c r="D893" s="87" t="n"/>
      <c r="F893" s="87" t="n"/>
    </row>
    <row r="894">
      <c r="D894" s="87" t="n"/>
      <c r="F894" s="87" t="n"/>
    </row>
    <row r="895">
      <c r="D895" s="87" t="n"/>
      <c r="F895" s="87" t="n"/>
    </row>
    <row r="896">
      <c r="D896" s="87" t="n"/>
      <c r="F896" s="87" t="n"/>
    </row>
    <row r="897">
      <c r="D897" s="87" t="n"/>
      <c r="F897" s="87" t="n"/>
    </row>
    <row r="898">
      <c r="D898" s="87" t="n"/>
      <c r="F898" s="87" t="n"/>
    </row>
    <row r="899">
      <c r="D899" s="87" t="n"/>
      <c r="F899" s="87" t="n"/>
    </row>
    <row r="900">
      <c r="D900" s="87" t="n"/>
      <c r="F900" s="87" t="n"/>
    </row>
    <row r="901">
      <c r="D901" s="87" t="n"/>
      <c r="F901" s="87" t="n"/>
    </row>
    <row r="902">
      <c r="D902" s="87" t="n"/>
      <c r="F902" s="87" t="n"/>
    </row>
    <row r="903">
      <c r="D903" s="87" t="n"/>
      <c r="F903" s="87" t="n"/>
    </row>
    <row r="904">
      <c r="D904" s="87" t="n"/>
      <c r="F904" s="87" t="n"/>
    </row>
    <row r="905">
      <c r="D905" s="87" t="n"/>
      <c r="F905" s="87" t="n"/>
    </row>
    <row r="906">
      <c r="D906" s="87" t="n"/>
      <c r="F906" s="87" t="n"/>
    </row>
    <row r="907">
      <c r="D907" s="87" t="n"/>
      <c r="F907" s="87" t="n"/>
    </row>
    <row r="908">
      <c r="D908" s="87" t="n"/>
      <c r="F908" s="87" t="n"/>
    </row>
    <row r="909">
      <c r="D909" s="87" t="n"/>
      <c r="F909" s="87" t="n"/>
    </row>
    <row r="910">
      <c r="D910" s="87" t="n"/>
      <c r="F910" s="87" t="n"/>
    </row>
    <row r="911">
      <c r="D911" s="87" t="n"/>
      <c r="F911" s="87" t="n"/>
    </row>
    <row r="912">
      <c r="D912" s="87" t="n"/>
      <c r="F912" s="87" t="n"/>
    </row>
    <row r="913">
      <c r="D913" s="87" t="n"/>
      <c r="F913" s="87" t="n"/>
    </row>
    <row r="914">
      <c r="D914" s="87" t="n"/>
      <c r="F914" s="87" t="n"/>
    </row>
    <row r="915">
      <c r="D915" s="87" t="n"/>
      <c r="F915" s="87" t="n"/>
    </row>
    <row r="916">
      <c r="D916" s="87" t="n"/>
      <c r="F916" s="87" t="n"/>
    </row>
    <row r="917">
      <c r="D917" s="87" t="n"/>
      <c r="F917" s="87" t="n"/>
    </row>
    <row r="918">
      <c r="D918" s="87" t="n"/>
      <c r="F918" s="87" t="n"/>
    </row>
    <row r="919">
      <c r="D919" s="87" t="n"/>
      <c r="F919" s="87" t="n"/>
    </row>
    <row r="920">
      <c r="D920" s="87" t="n"/>
      <c r="F920" s="87" t="n"/>
    </row>
    <row r="921">
      <c r="D921" s="87" t="n"/>
      <c r="F921" s="87" t="n"/>
    </row>
    <row r="922">
      <c r="D922" s="87" t="n"/>
      <c r="F922" s="87" t="n"/>
    </row>
    <row r="923">
      <c r="D923" s="87" t="n"/>
      <c r="F923" s="87" t="n"/>
    </row>
    <row r="924">
      <c r="D924" s="87" t="n"/>
      <c r="F924" s="87" t="n"/>
    </row>
    <row r="925">
      <c r="D925" s="87" t="n"/>
      <c r="F925" s="87" t="n"/>
    </row>
    <row r="926">
      <c r="D926" s="87" t="n"/>
      <c r="F926" s="87" t="n"/>
    </row>
    <row r="927">
      <c r="D927" s="87" t="n"/>
      <c r="F927" s="87" t="n"/>
    </row>
    <row r="928">
      <c r="D928" s="87" t="n"/>
      <c r="F928" s="87" t="n"/>
    </row>
    <row r="929">
      <c r="D929" s="87" t="n"/>
      <c r="F929" s="87" t="n"/>
    </row>
    <row r="930">
      <c r="D930" s="87" t="n"/>
      <c r="F930" s="87" t="n"/>
    </row>
    <row r="931">
      <c r="D931" s="87" t="n"/>
      <c r="F931" s="87" t="n"/>
    </row>
    <row r="932">
      <c r="D932" s="87" t="n"/>
      <c r="F932" s="87" t="n"/>
    </row>
    <row r="933">
      <c r="D933" s="87" t="n"/>
      <c r="F933" s="87" t="n"/>
    </row>
    <row r="934">
      <c r="D934" s="87" t="n"/>
      <c r="F934" s="87" t="n"/>
    </row>
    <row r="935">
      <c r="D935" s="87" t="n"/>
      <c r="F935" s="87" t="n"/>
    </row>
    <row r="936">
      <c r="D936" s="87" t="n"/>
      <c r="F936" s="87" t="n"/>
    </row>
    <row r="937">
      <c r="D937" s="87" t="n"/>
      <c r="F937" s="87" t="n"/>
    </row>
    <row r="938">
      <c r="D938" s="87" t="n"/>
      <c r="F938" s="87" t="n"/>
    </row>
    <row r="939">
      <c r="D939" s="87" t="n"/>
      <c r="F939" s="87" t="n"/>
    </row>
    <row r="940">
      <c r="D940" s="87" t="n"/>
      <c r="F940" s="87" t="n"/>
    </row>
    <row r="941">
      <c r="D941" s="87" t="n"/>
      <c r="F941" s="87" t="n"/>
    </row>
    <row r="942">
      <c r="D942" s="87" t="n"/>
      <c r="F942" s="87" t="n"/>
    </row>
    <row r="943">
      <c r="D943" s="87" t="n"/>
      <c r="F943" s="87" t="n"/>
    </row>
    <row r="944">
      <c r="D944" s="87" t="n"/>
      <c r="F944" s="87" t="n"/>
    </row>
    <row r="945">
      <c r="D945" s="87" t="n"/>
      <c r="F945" s="87" t="n"/>
    </row>
    <row r="946">
      <c r="D946" s="87" t="n"/>
      <c r="F946" s="87" t="n"/>
    </row>
    <row r="947">
      <c r="D947" s="87" t="n"/>
      <c r="F947" s="87" t="n"/>
    </row>
    <row r="948">
      <c r="D948" s="87" t="n"/>
      <c r="F948" s="87" t="n"/>
    </row>
    <row r="949">
      <c r="D949" s="87" t="n"/>
      <c r="F949" s="87" t="n"/>
    </row>
    <row r="950">
      <c r="D950" s="87" t="n"/>
      <c r="F950" s="87" t="n"/>
    </row>
    <row r="951">
      <c r="D951" s="87" t="n"/>
      <c r="F951" s="87" t="n"/>
    </row>
    <row r="952">
      <c r="D952" s="87" t="n"/>
      <c r="F952" s="87" t="n"/>
    </row>
    <row r="953">
      <c r="D953" s="87" t="n"/>
      <c r="F953" s="87" t="n"/>
    </row>
    <row r="954">
      <c r="D954" s="87" t="n"/>
      <c r="F954" s="87" t="n"/>
    </row>
    <row r="955">
      <c r="D955" s="87" t="n"/>
      <c r="F955" s="87" t="n"/>
    </row>
    <row r="956">
      <c r="D956" s="87" t="n"/>
      <c r="F956" s="87" t="n"/>
    </row>
    <row r="957">
      <c r="D957" s="87" t="n"/>
      <c r="F957" s="87" t="n"/>
    </row>
    <row r="958">
      <c r="D958" s="87" t="n"/>
      <c r="F958" s="87" t="n"/>
    </row>
    <row r="959">
      <c r="D959" s="87" t="n"/>
      <c r="F959" s="87" t="n"/>
    </row>
    <row r="960">
      <c r="D960" s="87" t="n"/>
      <c r="F960" s="87" t="n"/>
    </row>
    <row r="961">
      <c r="D961" s="87" t="n"/>
      <c r="F961" s="87" t="n"/>
    </row>
    <row r="962">
      <c r="D962" s="87" t="n"/>
      <c r="F962" s="87" t="n"/>
    </row>
    <row r="963">
      <c r="D963" s="87" t="n"/>
      <c r="F963" s="87" t="n"/>
    </row>
    <row r="964">
      <c r="D964" s="87" t="n"/>
      <c r="F964" s="87" t="n"/>
    </row>
    <row r="965">
      <c r="D965" s="87" t="n"/>
      <c r="F965" s="87" t="n"/>
    </row>
    <row r="966">
      <c r="D966" s="87" t="n"/>
      <c r="F966" s="87" t="n"/>
    </row>
    <row r="967">
      <c r="D967" s="87" t="n"/>
      <c r="F967" s="87" t="n"/>
    </row>
    <row r="968">
      <c r="D968" s="87" t="n"/>
      <c r="F968" s="87" t="n"/>
    </row>
    <row r="969">
      <c r="D969" s="87" t="n"/>
      <c r="F969" s="87" t="n"/>
    </row>
    <row r="970">
      <c r="D970" s="87" t="n"/>
      <c r="F970" s="87" t="n"/>
    </row>
    <row r="971">
      <c r="D971" s="87" t="n"/>
      <c r="F971" s="87" t="n"/>
    </row>
    <row r="972">
      <c r="D972" s="87" t="n"/>
      <c r="F972" s="87" t="n"/>
    </row>
    <row r="973">
      <c r="D973" s="87" t="n"/>
      <c r="F973" s="87" t="n"/>
    </row>
    <row r="974">
      <c r="D974" s="87" t="n"/>
      <c r="F974" s="87" t="n"/>
    </row>
    <row r="975">
      <c r="D975" s="87" t="n"/>
      <c r="F975" s="87" t="n"/>
    </row>
    <row r="976">
      <c r="D976" s="87" t="n"/>
      <c r="F976" s="87" t="n"/>
    </row>
    <row r="977">
      <c r="D977" s="87" t="n"/>
      <c r="F977" s="87" t="n"/>
    </row>
    <row r="978">
      <c r="D978" s="87" t="n"/>
      <c r="F978" s="87" t="n"/>
    </row>
    <row r="979">
      <c r="D979" s="87" t="n"/>
      <c r="F979" s="87" t="n"/>
    </row>
    <row r="980">
      <c r="D980" s="87" t="n"/>
      <c r="F980" s="87" t="n"/>
    </row>
    <row r="981">
      <c r="D981" s="87" t="n"/>
      <c r="F981" s="87" t="n"/>
    </row>
    <row r="982">
      <c r="D982" s="87" t="n"/>
      <c r="F982" s="87" t="n"/>
    </row>
    <row r="983">
      <c r="D983" s="87" t="n"/>
      <c r="F983" s="87" t="n"/>
    </row>
    <row r="984">
      <c r="D984" s="87" t="n"/>
      <c r="F984" s="87" t="n"/>
    </row>
    <row r="985">
      <c r="D985" s="87" t="n"/>
      <c r="F985" s="87" t="n"/>
    </row>
    <row r="986">
      <c r="D986" s="87" t="n"/>
      <c r="F986" s="87" t="n"/>
    </row>
    <row r="987">
      <c r="D987" s="87" t="n"/>
      <c r="F987" s="87" t="n"/>
    </row>
    <row r="988">
      <c r="D988" s="87" t="n"/>
      <c r="F988" s="87" t="n"/>
    </row>
    <row r="989">
      <c r="D989" s="87" t="n"/>
      <c r="F989" s="87" t="n"/>
    </row>
    <row r="990">
      <c r="D990" s="87" t="n"/>
      <c r="F990" s="87" t="n"/>
    </row>
    <row r="991">
      <c r="D991" s="87" t="n"/>
      <c r="F991" s="87" t="n"/>
    </row>
    <row r="992">
      <c r="D992" s="87" t="n"/>
      <c r="F992" s="87" t="n"/>
    </row>
    <row r="993">
      <c r="D993" s="87" t="n"/>
      <c r="F993" s="87" t="n"/>
    </row>
    <row r="994">
      <c r="D994" s="87" t="n"/>
      <c r="F994" s="87" t="n"/>
    </row>
    <row r="995">
      <c r="D995" s="87" t="n"/>
      <c r="F995" s="87" t="n"/>
    </row>
    <row r="996">
      <c r="D996" s="87" t="n"/>
      <c r="F996" s="87" t="n"/>
    </row>
    <row r="997">
      <c r="D997" s="87" t="n"/>
      <c r="F997" s="87" t="n"/>
    </row>
    <row r="998">
      <c r="D998" s="87" t="n"/>
      <c r="F998" s="87" t="n"/>
    </row>
    <row r="999">
      <c r="D999" s="87" t="n"/>
      <c r="F999" s="87" t="n"/>
    </row>
    <row r="1000">
      <c r="D1000" s="87" t="n"/>
      <c r="F1000" s="87" t="n"/>
    </row>
  </sheetData>
  <mergeCells count="66">
    <mergeCell ref="B91:C91"/>
    <mergeCell ref="B97:C97"/>
    <mergeCell ref="A24:B24"/>
    <mergeCell ref="B16:C16"/>
    <mergeCell ref="B54:C54"/>
    <mergeCell ref="B100:C100"/>
    <mergeCell ref="B7:C7"/>
    <mergeCell ref="B90:C90"/>
    <mergeCell ref="B81:C8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B52:C52"/>
    <mergeCell ref="B21:C21"/>
    <mergeCell ref="B48:C48"/>
    <mergeCell ref="B70:C70"/>
    <mergeCell ref="A99:B99"/>
    <mergeCell ref="B42:C42"/>
    <mergeCell ref="A46:B46"/>
    <mergeCell ref="B61:C61"/>
    <mergeCell ref="B101:C101"/>
    <mergeCell ref="B17:C17"/>
    <mergeCell ref="B88:C88"/>
    <mergeCell ref="B8:C8"/>
    <mergeCell ref="B82:C82"/>
    <mergeCell ref="B53:C53"/>
    <mergeCell ref="B73:C73"/>
    <mergeCell ref="B69:C69"/>
    <mergeCell ref="B38:C38"/>
    <mergeCell ref="B44:C44"/>
    <mergeCell ref="B29:C29"/>
    <mergeCell ref="A77:B77"/>
    <mergeCell ref="B19:C19"/>
    <mergeCell ref="B34:C34"/>
    <mergeCell ref="B37:C37"/>
    <mergeCell ref="A111:C111"/>
    <mergeCell ref="B28:C28"/>
    <mergeCell ref="B103:C103"/>
    <mergeCell ref="B41:C41"/>
    <mergeCell ref="B40:C40"/>
    <mergeCell ref="B49:C49"/>
    <mergeCell ref="B92:C92"/>
    <mergeCell ref="B55:C55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79:C79"/>
    <mergeCell ref="B35:C35"/>
    <mergeCell ref="B106:C10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33" customWidth="1" style="270" min="3" max="3"/>
    <col width="15.13" customWidth="1" style="270" min="8" max="8"/>
  </cols>
  <sheetData>
    <row r="1">
      <c r="A1" s="111" t="inlineStr">
        <is>
          <t>LISTA DE PRECIOS DE PRODUCTOS CELTRAP/JABOCON</t>
        </is>
      </c>
      <c r="D1" s="215" t="n"/>
      <c r="E1" s="223" t="n"/>
      <c r="F1" s="215" t="n"/>
      <c r="G1" s="223" t="n"/>
      <c r="H1" s="223" t="n"/>
      <c r="I1" s="223" t="n"/>
      <c r="K1" s="103" t="n"/>
      <c r="L1" s="103" t="n"/>
      <c r="M1" s="223" t="n"/>
      <c r="N1" s="223" t="n"/>
      <c r="S1" s="223" t="n"/>
      <c r="T1" s="223" t="n"/>
      <c r="U1" s="223" t="n"/>
      <c r="V1" s="223" t="n"/>
      <c r="W1" s="223" t="n"/>
      <c r="X1" s="223" t="n"/>
    </row>
    <row r="2">
      <c r="A2" s="186" t="inlineStr">
        <is>
          <t>VIGENCIA:</t>
        </is>
      </c>
      <c r="B2" s="210" t="n">
        <v>44851</v>
      </c>
      <c r="C2" s="223" t="n"/>
      <c r="D2" s="215" t="n"/>
      <c r="E2" s="223" t="n"/>
      <c r="F2" s="215" t="n"/>
      <c r="G2" s="223" t="n"/>
      <c r="H2" s="223" t="n"/>
      <c r="I2" s="223" t="n"/>
      <c r="K2" s="111" t="n"/>
      <c r="L2" s="103" t="n"/>
      <c r="M2" s="223" t="n"/>
      <c r="N2" s="223" t="n"/>
      <c r="S2" s="223" t="n"/>
      <c r="T2" s="223" t="n"/>
      <c r="U2" s="223" t="n"/>
      <c r="V2" s="223" t="n"/>
      <c r="W2" s="223" t="n"/>
      <c r="X2" s="223" t="n"/>
    </row>
    <row r="3">
      <c r="A3" s="223" t="n"/>
      <c r="B3" s="223" t="n"/>
      <c r="C3" s="223" t="n"/>
      <c r="D3" s="215" t="n"/>
      <c r="E3" s="223" t="n"/>
      <c r="F3" s="215" t="n"/>
      <c r="G3" s="223" t="n"/>
      <c r="H3" s="223" t="n"/>
      <c r="I3" s="223" t="n"/>
      <c r="K3" s="223" t="n"/>
      <c r="L3" s="223" t="n"/>
      <c r="M3" s="223" t="n"/>
      <c r="N3" s="223" t="n"/>
      <c r="S3" s="223" t="n"/>
      <c r="T3" s="223" t="n"/>
      <c r="U3" s="223" t="n"/>
      <c r="V3" s="223" t="n"/>
      <c r="W3" s="223" t="n"/>
      <c r="X3" s="223" t="n"/>
    </row>
    <row r="4">
      <c r="A4" s="211" t="inlineStr">
        <is>
          <t>Artículos</t>
        </is>
      </c>
      <c r="B4" s="223" t="n"/>
      <c r="C4" s="223" t="n"/>
      <c r="D4" s="215" t="inlineStr">
        <is>
          <t>Lista 20% con 7% y 2%</t>
        </is>
      </c>
      <c r="E4" s="223" t="n"/>
      <c r="F4" s="213" t="inlineStr">
        <is>
          <t xml:space="preserve">Mayorista </t>
        </is>
      </c>
      <c r="G4" s="186" t="inlineStr">
        <is>
          <t xml:space="preserve">Minorista </t>
        </is>
      </c>
      <c r="H4" s="111" t="inlineStr">
        <is>
          <t>Minorista con IVA</t>
        </is>
      </c>
      <c r="I4" s="111" t="inlineStr">
        <is>
          <t>Redondeado</t>
        </is>
      </c>
      <c r="K4" s="188" t="inlineStr">
        <is>
          <t>Lista con el 20%</t>
        </is>
      </c>
      <c r="L4" s="201" t="n"/>
      <c r="M4" s="201" t="n"/>
      <c r="N4" s="201" t="n"/>
      <c r="S4" s="223" t="n"/>
      <c r="T4" s="223" t="n"/>
      <c r="U4" s="223" t="n"/>
      <c r="V4" s="223" t="n"/>
      <c r="W4" s="223" t="n"/>
      <c r="X4" s="103" t="n"/>
    </row>
    <row r="5">
      <c r="A5" s="131" t="n"/>
      <c r="B5" s="223" t="n"/>
      <c r="C5" s="223" t="n"/>
      <c r="D5" s="215" t="n"/>
      <c r="E5" s="223" t="n"/>
      <c r="F5" s="215" t="n"/>
      <c r="G5" s="223" t="n"/>
      <c r="H5" s="223" t="n"/>
      <c r="I5" s="223" t="n"/>
      <c r="K5" s="188" t="n"/>
      <c r="L5" s="188" t="n"/>
      <c r="M5" s="188" t="n"/>
      <c r="N5" s="188" t="n"/>
      <c r="S5" s="223" t="n"/>
      <c r="T5" s="223" t="n"/>
      <c r="U5" s="223" t="n"/>
      <c r="V5" s="223" t="n"/>
      <c r="W5" s="223" t="n"/>
      <c r="X5" s="103" t="n"/>
    </row>
    <row r="6">
      <c r="A6" s="117" t="inlineStr">
        <is>
          <t>JABONES</t>
        </is>
      </c>
      <c r="B6" s="223" t="n"/>
      <c r="C6" s="223" t="n"/>
      <c r="D6" s="215" t="n"/>
      <c r="E6" s="223" t="n"/>
      <c r="F6" s="215" t="n"/>
      <c r="G6" s="223" t="n"/>
      <c r="H6" s="223" t="n"/>
      <c r="I6" s="223" t="n"/>
      <c r="K6" s="200" t="n"/>
      <c r="L6" s="200" t="n"/>
      <c r="M6" s="200" t="n"/>
      <c r="N6" s="200" t="n"/>
      <c r="S6" s="223" t="n"/>
      <c r="T6" s="223" t="n"/>
      <c r="U6" s="223" t="n"/>
      <c r="V6" s="223" t="n"/>
      <c r="W6" s="223" t="n"/>
      <c r="X6" s="223" t="n"/>
    </row>
    <row r="7">
      <c r="A7" s="124" t="n">
        <v>701</v>
      </c>
      <c r="B7" s="223" t="inlineStr">
        <is>
          <t>Botella 1 lt. Servicio Dilución DMQ</t>
        </is>
      </c>
      <c r="D7" s="127">
        <f>K7*0.93*0.98</f>
        <v/>
      </c>
      <c r="E7" s="238" t="n"/>
      <c r="F7" s="215">
        <f>D7*1.3*1.105</f>
        <v/>
      </c>
      <c r="G7" s="215">
        <f>D7*1.3*1.105/0.9</f>
        <v/>
      </c>
      <c r="H7" s="215">
        <f>G7*1.21</f>
        <v/>
      </c>
      <c r="I7" s="215">
        <f>ROUND(H7/100,0)*100</f>
        <v/>
      </c>
      <c r="K7" s="127" t="n">
        <v>819.08</v>
      </c>
      <c r="L7" s="256" t="n"/>
      <c r="M7" s="256" t="n"/>
      <c r="N7" s="238" t="n"/>
      <c r="S7" s="223" t="n"/>
      <c r="T7" s="223" t="n"/>
      <c r="U7" s="223" t="n"/>
      <c r="V7" s="223" t="n"/>
      <c r="W7" s="223" t="n"/>
      <c r="X7" s="223" t="n"/>
    </row>
    <row r="8">
      <c r="A8" s="124" t="n">
        <v>720</v>
      </c>
      <c r="B8" s="223" t="inlineStr">
        <is>
          <t>Bidon x 5 lts. Jabón Líquido Tocador</t>
        </is>
      </c>
      <c r="D8" s="230">
        <f>K8*0.93*0.98</f>
        <v/>
      </c>
      <c r="E8" s="236" t="n"/>
      <c r="F8" s="218">
        <f>D8*1.3*1.105</f>
        <v/>
      </c>
      <c r="G8" s="219">
        <f>D8*1.3*1.105/0.9</f>
        <v/>
      </c>
      <c r="H8" s="220">
        <f>G8*1.21</f>
        <v/>
      </c>
      <c r="I8" s="215">
        <f>ROUND(H8/100,0)*100</f>
        <v/>
      </c>
      <c r="K8" s="230" t="n">
        <v>2568.94</v>
      </c>
      <c r="L8" s="257" t="n"/>
      <c r="M8" s="257" t="n"/>
      <c r="N8" s="236" t="n"/>
      <c r="S8" s="223" t="n"/>
      <c r="T8" s="223" t="n"/>
      <c r="U8" s="223" t="n"/>
      <c r="V8" s="223" t="n"/>
      <c r="W8" s="223" t="n"/>
      <c r="X8" s="223" t="n"/>
    </row>
    <row r="9">
      <c r="A9" s="124" t="n"/>
      <c r="B9" s="223" t="n"/>
      <c r="C9" s="223" t="n"/>
      <c r="D9" s="215">
        <f>K9*0.93*0.98</f>
        <v/>
      </c>
      <c r="E9" s="223" t="n"/>
      <c r="F9" s="220" t="n"/>
      <c r="G9" s="222" t="n"/>
      <c r="H9" s="222" t="n"/>
      <c r="I9" s="223" t="n"/>
      <c r="K9" s="215" t="n"/>
      <c r="L9" s="200" t="n"/>
      <c r="M9" s="200" t="n"/>
      <c r="N9" s="223" t="n"/>
      <c r="S9" s="223" t="n"/>
      <c r="T9" s="223" t="n"/>
      <c r="U9" s="223" t="n"/>
      <c r="V9" s="223" t="n"/>
      <c r="W9" s="223" t="n"/>
      <c r="X9" s="223" t="n"/>
    </row>
    <row r="10">
      <c r="A10" s="117" t="inlineStr">
        <is>
          <t>TOALLAS</t>
        </is>
      </c>
      <c r="B10" s="223" t="n"/>
      <c r="C10" s="223" t="n"/>
      <c r="D10" s="215">
        <f>K10*0.93*0.98</f>
        <v/>
      </c>
      <c r="E10" s="223" t="n"/>
      <c r="F10" s="220" t="n"/>
      <c r="G10" s="222" t="n"/>
      <c r="H10" s="222" t="n"/>
      <c r="I10" s="223" t="n"/>
      <c r="K10" s="215" t="n"/>
      <c r="L10" s="200" t="n"/>
      <c r="M10" s="200" t="n"/>
      <c r="N10" s="223" t="n"/>
      <c r="S10" s="223" t="n"/>
      <c r="T10" s="223" t="n"/>
      <c r="U10" s="223" t="n"/>
      <c r="V10" s="223" t="n"/>
      <c r="W10" s="223" t="n"/>
      <c r="X10" s="223" t="n"/>
    </row>
    <row r="11">
      <c r="A11" s="131" t="n"/>
      <c r="B11" s="223" t="n"/>
      <c r="C11" s="223" t="n"/>
      <c r="D11" s="215">
        <f>K11*0.93*0.98</f>
        <v/>
      </c>
      <c r="E11" s="223" t="n"/>
      <c r="F11" s="220" t="n"/>
      <c r="G11" s="222" t="n"/>
      <c r="H11" s="222" t="n"/>
      <c r="I11" s="223" t="n"/>
      <c r="K11" s="215" t="n"/>
      <c r="L11" s="200" t="n"/>
      <c r="M11" s="200" t="n"/>
      <c r="N11" s="223" t="n"/>
      <c r="S11" s="223" t="n"/>
      <c r="T11" s="223" t="n"/>
      <c r="U11" s="223" t="n"/>
      <c r="V11" s="223" t="n"/>
      <c r="W11" s="223" t="n"/>
      <c r="X11" s="223" t="n"/>
    </row>
    <row r="12">
      <c r="A12" s="182" t="n">
        <v>901</v>
      </c>
      <c r="B12" s="224" t="inlineStr">
        <is>
          <t>Toallas Blancas Super 21x25</t>
        </is>
      </c>
      <c r="C12" s="224" t="n"/>
      <c r="D12" s="127">
        <f>K12*0.93*0.98</f>
        <v/>
      </c>
      <c r="E12" s="238" t="n"/>
      <c r="F12" s="227">
        <f>D12*1.3*1.105</f>
        <v/>
      </c>
      <c r="G12" s="226">
        <f>D12*1.3*1.105/0.9</f>
        <v/>
      </c>
      <c r="H12" s="227">
        <f>G12*1.21</f>
        <v/>
      </c>
      <c r="I12" s="227">
        <f>ROUND(H12/100,0)*100</f>
        <v/>
      </c>
      <c r="J12" s="193" t="n"/>
      <c r="K12" s="127" t="n">
        <v>2848.96</v>
      </c>
      <c r="L12" s="256" t="n"/>
      <c r="M12" s="256" t="n"/>
      <c r="N12" s="238" t="n"/>
      <c r="O12" s="193" t="n"/>
      <c r="P12" s="193" t="n"/>
      <c r="Q12" s="193" t="n"/>
      <c r="R12" s="193" t="n"/>
      <c r="S12" s="224" t="n"/>
      <c r="T12" s="224" t="n"/>
      <c r="U12" s="224" t="n"/>
      <c r="V12" s="224" t="n"/>
      <c r="W12" s="224" t="n"/>
      <c r="X12" s="224" t="n"/>
      <c r="Y12" s="193" t="n"/>
    </row>
    <row r="13">
      <c r="A13" s="124" t="n">
        <v>902</v>
      </c>
      <c r="B13" s="223" t="inlineStr">
        <is>
          <t>Toallas Blancas Pura Simple</t>
        </is>
      </c>
      <c r="C13" s="223" t="n"/>
      <c r="D13" s="230">
        <f>K13*0.93*0.98</f>
        <v/>
      </c>
      <c r="E13" s="236" t="n"/>
      <c r="F13" s="220">
        <f>D13*1.3*1.105</f>
        <v/>
      </c>
      <c r="G13" s="219">
        <f>D13*1.3*1.105/0.9</f>
        <v/>
      </c>
      <c r="H13" s="220">
        <f>G13*1.21</f>
        <v/>
      </c>
      <c r="I13" s="215">
        <f>ROUND(H13/100,0)*100</f>
        <v/>
      </c>
      <c r="K13" s="230" t="n">
        <v>3158.87</v>
      </c>
      <c r="L13" s="257" t="n"/>
      <c r="M13" s="257" t="n"/>
      <c r="N13" s="236" t="n"/>
      <c r="S13" s="223" t="n"/>
      <c r="T13" s="223" t="n"/>
      <c r="U13" s="223" t="n"/>
      <c r="V13" s="223" t="n"/>
      <c r="W13" s="223" t="n"/>
      <c r="X13" s="223" t="n"/>
    </row>
    <row r="14">
      <c r="A14" s="124" t="n">
        <v>903</v>
      </c>
      <c r="B14" s="223" t="inlineStr">
        <is>
          <t>Toallas Blancas Pura Doble</t>
        </is>
      </c>
      <c r="C14" s="223" t="n"/>
      <c r="D14" s="230">
        <f>K14*0.93*0.98</f>
        <v/>
      </c>
      <c r="E14" s="236" t="n"/>
      <c r="F14" s="220">
        <f>D14*1.3*1.105</f>
        <v/>
      </c>
      <c r="G14" s="219">
        <f>D14*1.3*1.105/0.9</f>
        <v/>
      </c>
      <c r="H14" s="220">
        <f>G14*1.21</f>
        <v/>
      </c>
      <c r="I14" s="215">
        <f>ROUND(H14/100,0)*100</f>
        <v/>
      </c>
      <c r="K14" s="230" t="n">
        <v>3936.7</v>
      </c>
      <c r="L14" s="257" t="n"/>
      <c r="M14" s="257" t="n"/>
      <c r="N14" s="236" t="n"/>
      <c r="S14" s="223" t="n"/>
      <c r="T14" s="223" t="n"/>
      <c r="U14" s="223" t="n"/>
      <c r="V14" s="223" t="n"/>
      <c r="W14" s="223" t="n"/>
      <c r="X14" s="223" t="n"/>
    </row>
    <row r="15">
      <c r="A15" s="124" t="n">
        <v>914</v>
      </c>
      <c r="B15" s="223" t="inlineStr">
        <is>
          <t>Toalla Blanca Unitas (17,5x25 cm)</t>
        </is>
      </c>
      <c r="D15" s="230">
        <f>K15*0.93*0.98</f>
        <v/>
      </c>
      <c r="E15" s="236" t="n"/>
      <c r="F15" s="220">
        <f>D15*1.3*1.105</f>
        <v/>
      </c>
      <c r="G15" s="219">
        <f>D15*1.3*1.105/0.9</f>
        <v/>
      </c>
      <c r="H15" s="220">
        <f>G15*1.21</f>
        <v/>
      </c>
      <c r="I15" s="215">
        <f>ROUND(H15/100,0)*100</f>
        <v/>
      </c>
      <c r="K15" s="230" t="n">
        <v>2170.82</v>
      </c>
      <c r="L15" s="257" t="n"/>
      <c r="M15" s="257" t="n"/>
      <c r="N15" s="236" t="n"/>
      <c r="S15" s="223" t="n"/>
      <c r="T15" s="223" t="n"/>
      <c r="U15" s="223" t="n"/>
      <c r="V15" s="223" t="n"/>
      <c r="W15" s="223" t="n"/>
      <c r="X15" s="223" t="n"/>
    </row>
    <row r="16">
      <c r="A16" s="124" t="n">
        <v>916</v>
      </c>
      <c r="B16" s="223" t="inlineStr">
        <is>
          <t>Toalla Blanca Especial 21 x 25 ( tiza )</t>
        </is>
      </c>
      <c r="D16" s="230">
        <f>K16*0.93*0.98</f>
        <v/>
      </c>
      <c r="E16" s="236" t="n"/>
      <c r="F16" s="220">
        <f>D16*1.3*1.105</f>
        <v/>
      </c>
      <c r="G16" s="219">
        <f>D16*1.3*1.105/0.9</f>
        <v/>
      </c>
      <c r="H16" s="220">
        <f>G16*1.21</f>
        <v/>
      </c>
      <c r="I16" s="215">
        <f>ROUND(H16/100,0)*100</f>
        <v/>
      </c>
      <c r="K16" s="230" t="n">
        <v>2656.96</v>
      </c>
      <c r="L16" s="257" t="n"/>
      <c r="M16" s="257" t="n"/>
      <c r="N16" s="236" t="n"/>
      <c r="S16" s="223" t="n"/>
      <c r="T16" s="223" t="n"/>
      <c r="U16" s="223" t="n"/>
      <c r="V16" s="223" t="n"/>
      <c r="W16" s="223" t="n"/>
      <c r="X16" s="223" t="n"/>
    </row>
    <row r="17">
      <c r="A17" s="124" t="n">
        <v>920</v>
      </c>
      <c r="B17" s="223" t="inlineStr">
        <is>
          <t>Toalla Blanca Especial 21 x 37 ( tiza )</t>
        </is>
      </c>
      <c r="D17" s="230">
        <f>K17*0.93*0.98</f>
        <v/>
      </c>
      <c r="E17" s="236" t="n"/>
      <c r="F17" s="220">
        <f>D17*1.3*1.105</f>
        <v/>
      </c>
      <c r="G17" s="219">
        <f>D17*1.3*1.105/0.9</f>
        <v/>
      </c>
      <c r="H17" s="220">
        <f>G17*1.21</f>
        <v/>
      </c>
      <c r="I17" s="215">
        <f>ROUND(H17/100,0)*100</f>
        <v/>
      </c>
      <c r="K17" s="230" t="n">
        <v>3624.48</v>
      </c>
      <c r="L17" s="257" t="n"/>
      <c r="M17" s="257" t="n"/>
      <c r="N17" s="236" t="n"/>
      <c r="S17" s="223" t="n"/>
      <c r="T17" s="223" t="n"/>
      <c r="U17" s="223" t="n"/>
      <c r="V17" s="223" t="n"/>
      <c r="W17" s="223" t="n"/>
      <c r="X17" s="223" t="n"/>
    </row>
    <row r="18">
      <c r="A18" s="124" t="n">
        <v>927</v>
      </c>
      <c r="B18" s="223" t="inlineStr">
        <is>
          <t>Toalla Blanca Especial 17,5 x 25 ( tiza ) Unita</t>
        </is>
      </c>
      <c r="D18" s="230">
        <f>K18*0.93*0.98</f>
        <v/>
      </c>
      <c r="E18" s="236" t="n"/>
      <c r="F18" s="220">
        <f>D18*1.3*1.105</f>
        <v/>
      </c>
      <c r="G18" s="219">
        <f>D18*1.3*1.105/0.9</f>
        <v/>
      </c>
      <c r="H18" s="220">
        <f>G18*1.21</f>
        <v/>
      </c>
      <c r="I18" s="215">
        <f>ROUND(H18/100,0)*100</f>
        <v/>
      </c>
      <c r="K18" s="230" t="n">
        <v>2082.74</v>
      </c>
      <c r="L18" s="257" t="n"/>
      <c r="M18" s="257" t="n"/>
      <c r="N18" s="236" t="n"/>
      <c r="S18" s="223" t="n"/>
      <c r="T18" s="223" t="n"/>
      <c r="U18" s="223" t="n"/>
      <c r="V18" s="223" t="n"/>
      <c r="W18" s="223" t="n"/>
      <c r="X18" s="223" t="n"/>
    </row>
    <row r="19">
      <c r="A19" s="182" t="n">
        <v>928</v>
      </c>
      <c r="B19" s="224" t="inlineStr">
        <is>
          <t>Cajas x 2500 Toallas Beige 21x37</t>
        </is>
      </c>
      <c r="D19" s="230">
        <f>K19*0.93*0.98</f>
        <v/>
      </c>
      <c r="E19" s="236" t="n"/>
      <c r="F19" s="227">
        <f>D19*1.3*1.105</f>
        <v/>
      </c>
      <c r="G19" s="226">
        <f>D19*1.3*1.105/0.9</f>
        <v/>
      </c>
      <c r="H19" s="227">
        <f>G19*1.21</f>
        <v/>
      </c>
      <c r="I19" s="227">
        <f>ROUND(H19/100,0)*100</f>
        <v/>
      </c>
      <c r="J19" s="193" t="n"/>
      <c r="K19" s="230" t="n">
        <v>3069.64</v>
      </c>
      <c r="L19" s="257" t="n"/>
      <c r="M19" s="257" t="n"/>
      <c r="N19" s="236" t="n"/>
      <c r="O19" s="193" t="n"/>
      <c r="P19" s="193" t="n"/>
      <c r="Q19" s="193" t="n"/>
      <c r="R19" s="193" t="n"/>
      <c r="S19" s="224" t="n"/>
      <c r="T19" s="224" t="n"/>
      <c r="U19" s="224" t="n"/>
      <c r="V19" s="224" t="n"/>
      <c r="W19" s="224" t="n"/>
      <c r="X19" s="224" t="n"/>
      <c r="Y19" s="193" t="n"/>
    </row>
    <row r="20">
      <c r="A20" s="182" t="n">
        <v>930</v>
      </c>
      <c r="B20" s="224" t="inlineStr">
        <is>
          <t>Toalla Blanca Super 21x37 cm</t>
        </is>
      </c>
      <c r="C20" s="224" t="n"/>
      <c r="D20" s="230">
        <f>K20*0.93*0.98</f>
        <v/>
      </c>
      <c r="E20" s="236" t="n"/>
      <c r="F20" s="227">
        <f>D20*1.3*1.105</f>
        <v/>
      </c>
      <c r="G20" s="226">
        <f>D20*1.3*1.105/0.9</f>
        <v/>
      </c>
      <c r="H20" s="227">
        <f>G20*1.21</f>
        <v/>
      </c>
      <c r="I20" s="227">
        <f>ROUND(H20/100,0)*100</f>
        <v/>
      </c>
      <c r="J20" s="193" t="n"/>
      <c r="K20" s="230" t="n">
        <v>3917.78</v>
      </c>
      <c r="L20" s="257" t="n"/>
      <c r="M20" s="257" t="n"/>
      <c r="N20" s="236" t="n"/>
      <c r="O20" s="193" t="n"/>
      <c r="P20" s="193" t="n"/>
      <c r="Q20" s="193" t="n"/>
      <c r="R20" s="193" t="n"/>
      <c r="S20" s="224" t="n"/>
      <c r="T20" s="224" t="n"/>
      <c r="U20" s="224" t="n"/>
      <c r="V20" s="224" t="n"/>
      <c r="W20" s="224" t="n"/>
      <c r="X20" s="224" t="n"/>
      <c r="Y20" s="193" t="n"/>
    </row>
    <row r="21">
      <c r="A21" s="124" t="n">
        <v>931</v>
      </c>
      <c r="B21" s="223" t="inlineStr">
        <is>
          <t>Caja x 2500 Toallas Beige Unitas 17,5 cm x 25 cm</t>
        </is>
      </c>
      <c r="D21" s="230">
        <f>K21*0.93*0.98</f>
        <v/>
      </c>
      <c r="E21" s="236" t="n"/>
      <c r="F21" s="220">
        <f>D21*1.3*1.105</f>
        <v/>
      </c>
      <c r="G21" s="219">
        <f>D21*1.3*1.105/0.9</f>
        <v/>
      </c>
      <c r="H21" s="220">
        <f>G21*1.21</f>
        <v/>
      </c>
      <c r="I21" s="215">
        <f>ROUND(H21/100,0)*100</f>
        <v/>
      </c>
      <c r="K21" s="230" t="n">
        <v>1916.12</v>
      </c>
      <c r="L21" s="257" t="n"/>
      <c r="M21" s="257" t="n"/>
      <c r="N21" s="236" t="n"/>
      <c r="S21" s="223" t="n"/>
      <c r="T21" s="223" t="n"/>
      <c r="U21" s="223" t="n"/>
      <c r="V21" s="223" t="n"/>
      <c r="W21" s="223" t="n"/>
      <c r="X21" s="223" t="n"/>
    </row>
    <row r="22">
      <c r="A22" s="182" t="n">
        <v>932</v>
      </c>
      <c r="B22" s="224" t="inlineStr">
        <is>
          <t>Caja x 2500 Toallas Beige 21 cm x 25 cm simple hoja</t>
        </is>
      </c>
      <c r="D22" s="230">
        <f>K22*0.93*0.98</f>
        <v/>
      </c>
      <c r="E22" s="236" t="n"/>
      <c r="F22" s="227">
        <f>D22*1.3*1.105</f>
        <v/>
      </c>
      <c r="G22" s="227">
        <f>D22*1.3*1.105/0.9</f>
        <v/>
      </c>
      <c r="H22" s="227">
        <f>G22*1.21</f>
        <v/>
      </c>
      <c r="I22" s="227">
        <f>ROUND(H22/100,0)*100</f>
        <v/>
      </c>
      <c r="J22" s="193" t="n"/>
      <c r="K22" s="230" t="n">
        <v>2184.76</v>
      </c>
      <c r="L22" s="257" t="n"/>
      <c r="M22" s="257" t="n"/>
      <c r="N22" s="236" t="n"/>
      <c r="O22" s="193" t="n"/>
      <c r="P22" s="193" t="n"/>
      <c r="Q22" s="193" t="n"/>
      <c r="R22" s="193" t="n"/>
      <c r="S22" s="224" t="n"/>
      <c r="T22" s="224" t="n"/>
      <c r="U22" s="224" t="n"/>
      <c r="V22" s="224" t="n"/>
      <c r="W22" s="224" t="n"/>
      <c r="X22" s="224" t="n"/>
      <c r="Y22" s="193" t="n"/>
    </row>
    <row r="23">
      <c r="A23" s="124" t="n"/>
      <c r="B23" s="223" t="n"/>
      <c r="C23" s="223" t="n"/>
      <c r="D23" s="215">
        <f>K23*0.93*0.98</f>
        <v/>
      </c>
      <c r="E23" s="223" t="n"/>
      <c r="F23" s="220" t="n"/>
      <c r="G23" s="222" t="n"/>
      <c r="H23" s="222" t="n"/>
      <c r="I23" s="223" t="n"/>
      <c r="K23" s="215" t="n"/>
      <c r="L23" s="200" t="n"/>
      <c r="M23" s="200" t="n"/>
      <c r="N23" s="223" t="n"/>
      <c r="S23" s="223" t="n"/>
      <c r="T23" s="223" t="n"/>
      <c r="U23" s="223" t="n"/>
      <c r="V23" s="223" t="n"/>
      <c r="W23" s="223" t="n"/>
      <c r="X23" s="223" t="n"/>
    </row>
    <row r="24">
      <c r="A24" s="117" t="inlineStr">
        <is>
          <t>TOALLAS EN ROLLO</t>
        </is>
      </c>
      <c r="B24" s="271" t="n"/>
      <c r="C24" s="223" t="n"/>
      <c r="D24" s="215">
        <f>K24*0.93*0.98</f>
        <v/>
      </c>
      <c r="E24" s="223" t="n"/>
      <c r="F24" s="220" t="n"/>
      <c r="G24" s="222" t="n"/>
      <c r="H24" s="222" t="n"/>
      <c r="I24" s="223" t="n"/>
      <c r="K24" s="215" t="n"/>
      <c r="L24" s="200" t="n"/>
      <c r="M24" s="200" t="n"/>
      <c r="N24" s="223" t="n"/>
      <c r="S24" s="223" t="n"/>
      <c r="T24" s="223" t="n"/>
      <c r="U24" s="223" t="n"/>
      <c r="V24" s="223" t="n"/>
      <c r="W24" s="223" t="n"/>
      <c r="X24" s="223" t="n"/>
    </row>
    <row r="25">
      <c r="A25" s="131" t="n"/>
      <c r="B25" s="111" t="n"/>
      <c r="C25" s="223" t="n"/>
      <c r="D25" s="215">
        <f>K25*0.93*0.98</f>
        <v/>
      </c>
      <c r="E25" s="223" t="n"/>
      <c r="F25" s="220" t="n"/>
      <c r="G25" s="222" t="n"/>
      <c r="H25" s="222" t="n"/>
      <c r="I25" s="223" t="n"/>
      <c r="K25" s="215" t="n"/>
      <c r="L25" s="200" t="n"/>
      <c r="M25" s="200" t="n"/>
      <c r="N25" s="223" t="n"/>
      <c r="S25" s="223" t="n"/>
      <c r="T25" s="223" t="n"/>
      <c r="U25" s="223" t="n"/>
      <c r="V25" s="223" t="n"/>
      <c r="W25" s="223" t="n"/>
      <c r="X25" s="223" t="n"/>
    </row>
    <row r="26">
      <c r="A26" s="124" t="n">
        <v>204</v>
      </c>
      <c r="B26" s="223" t="inlineStr">
        <is>
          <t>Pack X 2 Rollos de toalla x 300 mts Blanca</t>
        </is>
      </c>
      <c r="D26" s="127">
        <f>K26*0.93*0.98</f>
        <v/>
      </c>
      <c r="E26" s="238" t="n"/>
      <c r="F26" s="218">
        <f>D26*1.3*1.105</f>
        <v/>
      </c>
      <c r="G26" s="219">
        <f>D26*1.3*1.105/0.9</f>
        <v/>
      </c>
      <c r="H26" s="220">
        <f>G26*1.21</f>
        <v/>
      </c>
      <c r="I26" s="215">
        <f>ROUND(H26/100,0)*100</f>
        <v/>
      </c>
      <c r="K26" s="127" t="n">
        <v>2247.94</v>
      </c>
      <c r="L26" s="256" t="n"/>
      <c r="M26" s="256" t="n"/>
      <c r="N26" s="238" t="n"/>
      <c r="S26" s="223" t="n"/>
      <c r="T26" s="223" t="n"/>
      <c r="U26" s="223" t="n"/>
      <c r="V26" s="223" t="n"/>
      <c r="W26" s="223" t="n"/>
      <c r="X26" s="223" t="n"/>
    </row>
    <row r="27">
      <c r="A27" s="124" t="n">
        <v>205</v>
      </c>
      <c r="B27" s="223" t="inlineStr">
        <is>
          <t>Pack X 2 Rollos de toalla x 240 mts Blanca</t>
        </is>
      </c>
      <c r="D27" s="230">
        <f>K27*0.93*0.98</f>
        <v/>
      </c>
      <c r="E27" s="236" t="n"/>
      <c r="F27" s="218">
        <f>D27*1.3*1.105</f>
        <v/>
      </c>
      <c r="G27" s="219">
        <f>D27*1.3*1.105/0.9</f>
        <v/>
      </c>
      <c r="H27" s="220">
        <f>G27*1.21</f>
        <v/>
      </c>
      <c r="I27" s="215">
        <f>ROUND(H27/100,0)*100</f>
        <v/>
      </c>
      <c r="K27" s="230" t="n">
        <v>1791.52</v>
      </c>
      <c r="L27" s="257" t="n"/>
      <c r="M27" s="257" t="n"/>
      <c r="N27" s="236" t="n"/>
      <c r="S27" s="223" t="n"/>
      <c r="T27" s="223" t="n"/>
      <c r="U27" s="223" t="n"/>
      <c r="V27" s="223" t="n"/>
      <c r="W27" s="223" t="n"/>
      <c r="X27" s="223" t="n"/>
    </row>
    <row r="28">
      <c r="A28" s="182" t="n">
        <v>116</v>
      </c>
      <c r="B28" s="224" t="inlineStr">
        <is>
          <t>Pack x 6 Rollos de Toallas x 200 mts. Blanca</t>
        </is>
      </c>
      <c r="D28" s="230">
        <f>K28*0.93*0.98</f>
        <v/>
      </c>
      <c r="E28" s="236" t="n"/>
      <c r="F28" s="228">
        <f>D28*1.3*1.105</f>
        <v/>
      </c>
      <c r="G28" s="226">
        <f>D28*1.3*1.105/0.9</f>
        <v/>
      </c>
      <c r="H28" s="227">
        <f>G28*1.21</f>
        <v/>
      </c>
      <c r="I28" s="227">
        <f>ROUND(H28/100,0)*100</f>
        <v/>
      </c>
      <c r="J28" s="193" t="n"/>
      <c r="K28" s="230" t="n">
        <v>4600.7</v>
      </c>
      <c r="L28" s="257" t="n"/>
      <c r="M28" s="257" t="n"/>
      <c r="N28" s="236" t="n"/>
      <c r="O28" s="193" t="n"/>
      <c r="P28" s="193" t="n"/>
      <c r="Q28" s="193" t="n"/>
      <c r="R28" s="193" t="n"/>
      <c r="S28" s="224" t="n"/>
      <c r="T28" s="224" t="n"/>
      <c r="U28" s="224" t="n"/>
      <c r="V28" s="224" t="n"/>
      <c r="W28" s="224" t="n"/>
      <c r="X28" s="224" t="n"/>
      <c r="Y28" s="193" t="n"/>
    </row>
    <row r="29">
      <c r="A29" s="124" t="n">
        <v>135</v>
      </c>
      <c r="B29" s="223" t="inlineStr">
        <is>
          <t>Recarga Original P/Dispenser Celmatic 2500 U. Dobles</t>
        </is>
      </c>
      <c r="D29" s="230">
        <f>K29*0.93*0.98</f>
        <v/>
      </c>
      <c r="E29" s="236" t="n"/>
      <c r="F29" s="218">
        <f>D29*1.3*1.105</f>
        <v/>
      </c>
      <c r="G29" s="219">
        <f>D29*1.3*1.105/0.9</f>
        <v/>
      </c>
      <c r="H29" s="220">
        <f>G29*1.21</f>
        <v/>
      </c>
      <c r="I29" s="215">
        <f>ROUND(H29/100,0)*100</f>
        <v/>
      </c>
      <c r="K29" s="230" t="n">
        <v>5913.29</v>
      </c>
      <c r="L29" s="257" t="n"/>
      <c r="M29" s="257" t="n"/>
      <c r="N29" s="236" t="n"/>
      <c r="S29" s="223" t="n"/>
      <c r="T29" s="223" t="n"/>
      <c r="U29" s="223" t="n"/>
      <c r="V29" s="223" t="n"/>
      <c r="W29" s="223" t="n"/>
      <c r="X29" s="223" t="n"/>
    </row>
    <row r="30">
      <c r="A30" s="124" t="n">
        <v>136</v>
      </c>
      <c r="B30" s="223" t="inlineStr">
        <is>
          <t>Pack x 4 Recarga Celmatic Due 2400 U. Dobles</t>
        </is>
      </c>
      <c r="D30" s="230">
        <f>K30*0.93*0.98</f>
        <v/>
      </c>
      <c r="E30" s="236" t="n"/>
      <c r="F30" s="218">
        <f>D30*1.3*1.105</f>
        <v/>
      </c>
      <c r="G30" s="219">
        <f>D30*1.3*1.105/0.9</f>
        <v/>
      </c>
      <c r="H30" s="220">
        <f>G30*1.21</f>
        <v/>
      </c>
      <c r="I30" s="215">
        <f>ROUND(H30/100,0)*100</f>
        <v/>
      </c>
      <c r="K30" s="230" t="n">
        <v>4422.86</v>
      </c>
      <c r="L30" s="257" t="n"/>
      <c r="M30" s="257" t="n"/>
      <c r="N30" s="236" t="n"/>
      <c r="S30" s="223" t="n"/>
      <c r="T30" s="223" t="n"/>
      <c r="U30" s="223" t="n"/>
      <c r="V30" s="223" t="n"/>
      <c r="W30" s="223" t="n"/>
      <c r="X30" s="223" t="n"/>
    </row>
    <row r="31">
      <c r="A31" s="124" t="n"/>
      <c r="B31" s="223" t="n"/>
      <c r="C31" s="223" t="n"/>
      <c r="D31" s="230">
        <f>K31*0.93*0.98</f>
        <v/>
      </c>
      <c r="E31" s="236" t="n"/>
      <c r="F31" s="220" t="n"/>
      <c r="G31" s="222" t="n"/>
      <c r="H31" s="222" t="n"/>
      <c r="I31" s="223" t="n"/>
      <c r="K31" s="230" t="n"/>
      <c r="L31" s="200" t="n"/>
      <c r="M31" s="200" t="n"/>
      <c r="N31" s="236" t="n"/>
      <c r="S31" s="223" t="n"/>
      <c r="T31" s="223" t="n"/>
      <c r="U31" s="223" t="n"/>
      <c r="V31" s="223" t="n"/>
      <c r="W31" s="223" t="n"/>
      <c r="X31" s="223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>
        <f>K32*0.93*0.98</f>
        <v/>
      </c>
      <c r="E32" s="190" t="n"/>
      <c r="F32" s="220" t="n"/>
      <c r="G32" s="222" t="n"/>
      <c r="H32" s="222" t="n"/>
      <c r="I32" s="223" t="n"/>
      <c r="K32" s="137" t="n"/>
      <c r="L32" s="190" t="n"/>
      <c r="M32" s="190" t="n"/>
      <c r="N32" s="190" t="n"/>
      <c r="S32" s="223" t="n"/>
      <c r="T32" s="223" t="n"/>
      <c r="U32" s="223" t="n"/>
      <c r="V32" s="223" t="n"/>
      <c r="W32" s="223" t="n"/>
      <c r="X32" s="223" t="n"/>
    </row>
    <row r="33">
      <c r="A33" s="131" t="n"/>
      <c r="B33" s="158" t="n"/>
      <c r="C33" s="223" t="n"/>
      <c r="D33" s="192">
        <f>K33*0.93*0.98</f>
        <v/>
      </c>
      <c r="E33" s="234" t="n"/>
      <c r="F33" s="220" t="n"/>
      <c r="G33" s="222" t="n"/>
      <c r="H33" s="222" t="n"/>
      <c r="I33" s="223" t="n"/>
      <c r="K33" s="192" t="n"/>
      <c r="L33" s="190" t="n"/>
      <c r="M33" s="190" t="n"/>
      <c r="N33" s="234" t="n"/>
      <c r="S33" s="223" t="n"/>
      <c r="T33" s="223" t="n"/>
      <c r="U33" s="223" t="n"/>
      <c r="V33" s="223" t="n"/>
      <c r="W33" s="223" t="n"/>
      <c r="X33" s="223" t="n"/>
    </row>
    <row r="34">
      <c r="A34" s="182" t="n">
        <v>501</v>
      </c>
      <c r="B34" s="235" t="inlineStr">
        <is>
          <t>Pack x 2 rollos Cel-Soft de 22,5 x 150 mts</t>
        </is>
      </c>
      <c r="D34" s="230">
        <f>K34*0.93*0.98</f>
        <v/>
      </c>
      <c r="E34" s="236" t="n"/>
      <c r="F34" s="228">
        <f>D34*1.3*1.105</f>
        <v/>
      </c>
      <c r="G34" s="226">
        <f>D34*1.3*1.105/0.9</f>
        <v/>
      </c>
      <c r="H34" s="227">
        <f>G34*1.21</f>
        <v/>
      </c>
      <c r="I34" s="227">
        <f>ROUND(H34/100,0)*100</f>
        <v/>
      </c>
      <c r="J34" s="193" t="n"/>
      <c r="K34" s="230" t="n">
        <v>57</v>
      </c>
      <c r="L34" s="256" t="n"/>
      <c r="M34" s="256" t="n"/>
      <c r="N34" s="236" t="n"/>
      <c r="O34" s="193" t="n"/>
      <c r="P34" s="193" t="n"/>
      <c r="Q34" s="193" t="n"/>
      <c r="R34" s="193" t="n"/>
      <c r="S34" s="224" t="n"/>
      <c r="T34" s="224" t="n"/>
      <c r="U34" s="224" t="n"/>
      <c r="V34" s="224" t="n"/>
      <c r="W34" s="224" t="n"/>
      <c r="X34" s="224" t="n"/>
      <c r="Y34" s="193" t="n"/>
    </row>
    <row r="35">
      <c r="A35" s="124" t="n">
        <v>505</v>
      </c>
      <c r="B35" s="223" t="inlineStr">
        <is>
          <t>Caja x 2000 U. Servilletas Cel-Soft 30 x 40 cm</t>
        </is>
      </c>
      <c r="D35" s="230">
        <f>K35*0.93*0.98</f>
        <v/>
      </c>
      <c r="E35" s="236" t="n"/>
      <c r="F35" s="218">
        <f>D35*1.3*1.105</f>
        <v/>
      </c>
      <c r="G35" s="219">
        <f>D35*1.3*1.105/0.9</f>
        <v/>
      </c>
      <c r="H35" s="220">
        <f>G35*1.21</f>
        <v/>
      </c>
      <c r="I35" s="215">
        <f>ROUND(H35/100,0)*100</f>
        <v/>
      </c>
      <c r="K35" s="230" t="n">
        <v>273.74</v>
      </c>
      <c r="L35" s="257" t="n"/>
      <c r="M35" s="257" t="n"/>
      <c r="N35" s="236" t="n"/>
      <c r="S35" s="223" t="n"/>
      <c r="T35" s="223" t="n"/>
      <c r="U35" s="223" t="n"/>
      <c r="V35" s="223" t="n"/>
      <c r="W35" s="223" t="n"/>
      <c r="X35" s="223" t="n"/>
    </row>
    <row r="36">
      <c r="A36" s="124" t="n">
        <v>506</v>
      </c>
      <c r="B36" s="223" t="inlineStr">
        <is>
          <t>Caja x 3500 Toallas Cel-Soft 21 x 25 cm Blancas</t>
        </is>
      </c>
      <c r="D36" s="230">
        <f>K36*0.93*0.98</f>
        <v/>
      </c>
      <c r="E36" s="236" t="n"/>
      <c r="F36" s="218">
        <f>D36*1.3*1.105</f>
        <v/>
      </c>
      <c r="G36" s="219">
        <f>D36*1.3*1.105/0.9</f>
        <v/>
      </c>
      <c r="H36" s="220">
        <f>G36*1.21</f>
        <v/>
      </c>
      <c r="I36" s="215">
        <f>ROUND(H36/100,0)*100</f>
        <v/>
      </c>
      <c r="K36" s="230" t="n">
        <v>153.22</v>
      </c>
      <c r="L36" s="257" t="n"/>
      <c r="M36" s="257" t="n"/>
      <c r="N36" s="236" t="n"/>
      <c r="S36" s="223" t="n"/>
      <c r="T36" s="223" t="n"/>
      <c r="U36" s="223" t="n"/>
      <c r="V36" s="223" t="n"/>
      <c r="W36" s="223" t="n"/>
      <c r="X36" s="223" t="n"/>
    </row>
    <row r="37">
      <c r="A37" s="182" t="n">
        <v>512</v>
      </c>
      <c r="B37" s="224" t="inlineStr">
        <is>
          <t>Caja x 2000 U. Servilletas Cel-Soft 30 x 25 cm</t>
        </is>
      </c>
      <c r="D37" s="230">
        <f>K37*0.93*0.98</f>
        <v/>
      </c>
      <c r="E37" s="236" t="n"/>
      <c r="F37" s="228">
        <f>D37*1.3*1.105</f>
        <v/>
      </c>
      <c r="G37" s="226">
        <f>D37*1.3*1.105/0.9</f>
        <v/>
      </c>
      <c r="H37" s="227">
        <f>G37*1.21</f>
        <v/>
      </c>
      <c r="I37" s="227">
        <f>ROUND(H37/100,0)*100</f>
        <v/>
      </c>
      <c r="J37" s="193" t="n"/>
      <c r="K37" s="230" t="n">
        <v>173.66</v>
      </c>
      <c r="L37" s="257" t="n"/>
      <c r="M37" s="257" t="n"/>
      <c r="N37" s="236" t="n"/>
      <c r="O37" s="193" t="n"/>
      <c r="P37" s="193" t="n"/>
      <c r="Q37" s="193" t="n"/>
      <c r="R37" s="193" t="n"/>
      <c r="S37" s="224" t="n"/>
      <c r="T37" s="224" t="n"/>
      <c r="U37" s="224" t="n"/>
      <c r="V37" s="224" t="n"/>
      <c r="W37" s="224" t="n"/>
      <c r="X37" s="224" t="n"/>
      <c r="Y37" s="193" t="n"/>
    </row>
    <row r="38">
      <c r="A38" s="124" t="n">
        <v>514</v>
      </c>
      <c r="B38" s="223" t="inlineStr">
        <is>
          <t>Caja por 600 servilletas Celsoft 40x40 Victoria Ambra</t>
        </is>
      </c>
      <c r="D38" s="230">
        <f>K38*0.93*0.98</f>
        <v/>
      </c>
      <c r="E38" s="236" t="n"/>
      <c r="F38" s="218">
        <f>D38*1.3*1.105</f>
        <v/>
      </c>
      <c r="G38" s="219">
        <f>D38*1.3*1.105/0.9</f>
        <v/>
      </c>
      <c r="H38" s="220">
        <f>G38*1.21</f>
        <v/>
      </c>
      <c r="I38" s="215">
        <f>ROUND(H38/100,0)*100</f>
        <v/>
      </c>
      <c r="K38" s="230" t="n">
        <v>187.2</v>
      </c>
      <c r="L38" s="257" t="n"/>
      <c r="M38" s="257" t="n"/>
      <c r="N38" s="236" t="n"/>
      <c r="S38" s="223" t="n"/>
      <c r="T38" s="223" t="n"/>
      <c r="U38" s="223" t="n"/>
      <c r="V38" s="223" t="n"/>
      <c r="W38" s="223" t="n"/>
      <c r="X38" s="223" t="n"/>
    </row>
    <row r="39">
      <c r="A39" s="124" t="n">
        <v>515</v>
      </c>
      <c r="B39" s="223" t="inlineStr">
        <is>
          <t>Caja por 600 servilletas Celsoft 40x40 Victoria Nero</t>
        </is>
      </c>
      <c r="D39" s="230">
        <f>K39*0.93*0.98</f>
        <v/>
      </c>
      <c r="E39" s="236" t="n"/>
      <c r="F39" s="218">
        <f>D39*1.3*1.105</f>
        <v/>
      </c>
      <c r="G39" s="219">
        <f>D39*1.3*1.105/0.9</f>
        <v/>
      </c>
      <c r="H39" s="220">
        <f>G39*1.21</f>
        <v/>
      </c>
      <c r="I39" s="215">
        <f>ROUND(H39/100,0)*100</f>
        <v/>
      </c>
      <c r="K39" s="230" t="n">
        <v>187.2</v>
      </c>
      <c r="L39" s="257" t="n"/>
      <c r="M39" s="257" t="n"/>
      <c r="N39" s="236" t="n"/>
      <c r="S39" s="223" t="n"/>
      <c r="T39" s="223" t="n"/>
      <c r="U39" s="223" t="n"/>
      <c r="V39" s="223" t="n"/>
      <c r="W39" s="223" t="n"/>
      <c r="X39" s="223" t="n"/>
    </row>
    <row r="40">
      <c r="A40" s="124" t="n">
        <v>516</v>
      </c>
      <c r="B40" s="223" t="inlineStr">
        <is>
          <t>Caja por 600 servilletas Celsoft 40x40 Tasca Bordeaux</t>
        </is>
      </c>
      <c r="D40" s="230">
        <f>K40*0.93*0.98</f>
        <v/>
      </c>
      <c r="E40" s="236" t="n"/>
      <c r="F40" s="218">
        <f>D40*1.3*1.105</f>
        <v/>
      </c>
      <c r="G40" s="219">
        <f>D40*1.3*1.105/0.9</f>
        <v/>
      </c>
      <c r="H40" s="220">
        <f>G40*1.21</f>
        <v/>
      </c>
      <c r="I40" s="215">
        <f>ROUND(H40/100,0)*100</f>
        <v/>
      </c>
      <c r="K40" s="230" t="n">
        <v>220.74</v>
      </c>
      <c r="L40" s="257" t="n"/>
      <c r="M40" s="257" t="n"/>
      <c r="N40" s="236" t="n"/>
      <c r="S40" s="223" t="n"/>
      <c r="T40" s="223" t="n"/>
      <c r="U40" s="223" t="n"/>
      <c r="V40" s="223" t="n"/>
      <c r="W40" s="223" t="n"/>
      <c r="X40" s="223" t="n"/>
    </row>
    <row r="41">
      <c r="A41" s="124" t="n">
        <v>517</v>
      </c>
      <c r="B41" s="223" t="inlineStr">
        <is>
          <t>Caja por 600 servilletas Celsoft 40x40 Tasca Nero</t>
        </is>
      </c>
      <c r="D41" s="230">
        <f>K41*0.93*0.98</f>
        <v/>
      </c>
      <c r="E41" s="236" t="n"/>
      <c r="F41" s="218">
        <f>D41*1.3*1.105</f>
        <v/>
      </c>
      <c r="G41" s="219">
        <f>D41*1.3*1.105/0.9</f>
        <v/>
      </c>
      <c r="H41" s="220">
        <f>G41*1.21</f>
        <v/>
      </c>
      <c r="I41" s="215">
        <f>ROUND(H41/100,0)*100</f>
        <v/>
      </c>
      <c r="K41" s="230" t="n">
        <v>220.74</v>
      </c>
      <c r="L41" s="257" t="n"/>
      <c r="M41" s="257" t="n"/>
      <c r="N41" s="236" t="n"/>
      <c r="S41" s="223" t="n"/>
      <c r="T41" s="223" t="n"/>
      <c r="U41" s="223" t="n"/>
      <c r="V41" s="223" t="n"/>
      <c r="W41" s="223" t="n"/>
      <c r="X41" s="223" t="n"/>
    </row>
    <row r="42">
      <c r="A42" s="124" t="n">
        <v>518</v>
      </c>
      <c r="B42" s="223" t="inlineStr">
        <is>
          <t>Caja por 600 servilletas Celsoft 40x40 Tasca Lino Avorio</t>
        </is>
      </c>
      <c r="D42" s="230">
        <f>K42*0.93*0.98</f>
        <v/>
      </c>
      <c r="E42" s="236" t="n"/>
      <c r="F42" s="218">
        <f>D42*1.3*1.105</f>
        <v/>
      </c>
      <c r="G42" s="219">
        <f>D42*1.3*1.105/0.9</f>
        <v/>
      </c>
      <c r="H42" s="220">
        <f>G42*1.21</f>
        <v/>
      </c>
      <c r="I42" s="215">
        <f>ROUND(H42/100,0)*100</f>
        <v/>
      </c>
      <c r="K42" s="230" t="n">
        <v>187.2</v>
      </c>
      <c r="L42" s="257" t="n"/>
      <c r="M42" s="257" t="n"/>
      <c r="N42" s="236" t="n"/>
      <c r="S42" s="223" t="n"/>
      <c r="T42" s="223" t="n"/>
      <c r="U42" s="223" t="n"/>
      <c r="V42" s="223" t="n"/>
      <c r="W42" s="223" t="n"/>
      <c r="X42" s="223" t="n"/>
    </row>
    <row r="43">
      <c r="A43" s="124" t="n">
        <v>519</v>
      </c>
      <c r="B43" s="223" t="inlineStr">
        <is>
          <t>Caja por 600 servilletas Celsoft 40x40 Taca Iuta Grigio</t>
        </is>
      </c>
      <c r="D43" s="230">
        <f>K43*0.93*0.98</f>
        <v/>
      </c>
      <c r="E43" s="236" t="n"/>
      <c r="F43" s="218">
        <f>D43*1.3*1.105</f>
        <v/>
      </c>
      <c r="G43" s="219">
        <f>D43*1.3*1.105/0.9</f>
        <v/>
      </c>
      <c r="H43" s="220">
        <f>G43*1.21</f>
        <v/>
      </c>
      <c r="I43" s="215">
        <f>ROUND(H43/100,0)*100</f>
        <v/>
      </c>
      <c r="K43" s="230" t="n">
        <v>187.2</v>
      </c>
      <c r="L43" s="257" t="n"/>
      <c r="M43" s="257" t="n"/>
      <c r="N43" s="236" t="n"/>
      <c r="S43" s="223" t="n"/>
      <c r="T43" s="223" t="n"/>
      <c r="U43" s="223" t="n"/>
      <c r="V43" s="223" t="n"/>
      <c r="W43" s="223" t="n"/>
      <c r="X43" s="223" t="n"/>
    </row>
    <row r="44">
      <c r="A44" s="124" t="n">
        <v>520</v>
      </c>
      <c r="B44" s="223" t="inlineStr">
        <is>
          <t>Caja de servilletas Celsoft 40 x 40 SAMPLER 300 Unid</t>
        </is>
      </c>
      <c r="D44" s="230">
        <f>K44*0.93*0.98</f>
        <v/>
      </c>
      <c r="E44" s="236" t="n"/>
      <c r="F44" s="218">
        <f>D44*1.3*1.105</f>
        <v/>
      </c>
      <c r="G44" s="219">
        <f>D44*1.3*1.105/0.9</f>
        <v/>
      </c>
      <c r="H44" s="220">
        <f>G44*1.21</f>
        <v/>
      </c>
      <c r="I44" s="215">
        <f>ROUND(H44/100,0)*100</f>
        <v/>
      </c>
      <c r="K44" s="230" t="n">
        <v>99.09</v>
      </c>
      <c r="L44" s="257" t="n"/>
      <c r="M44" s="257" t="n"/>
      <c r="N44" s="236" t="n"/>
      <c r="S44" s="223" t="n"/>
      <c r="T44" s="223" t="n"/>
      <c r="U44" s="223" t="n"/>
      <c r="V44" s="223" t="n"/>
      <c r="W44" s="223" t="n"/>
      <c r="X44" s="223" t="n"/>
    </row>
    <row r="45">
      <c r="A45" s="124" t="n"/>
      <c r="B45" s="223" t="n"/>
      <c r="C45" s="223" t="n"/>
      <c r="D45" s="237">
        <f>K45*0.93*0.98</f>
        <v/>
      </c>
      <c r="E45" s="200" t="n"/>
      <c r="F45" s="220" t="n"/>
      <c r="G45" s="222" t="n"/>
      <c r="H45" s="222" t="n"/>
      <c r="I45" s="223" t="n"/>
      <c r="K45" s="237" t="n"/>
      <c r="L45" s="200" t="n"/>
      <c r="M45" s="200" t="n"/>
      <c r="N45" s="200" t="n"/>
      <c r="S45" s="223" t="n"/>
      <c r="T45" s="223" t="n"/>
      <c r="U45" s="223" t="n"/>
      <c r="V45" s="223" t="n"/>
      <c r="W45" s="223" t="n"/>
      <c r="X45" s="223" t="n"/>
    </row>
    <row r="46">
      <c r="A46" s="142" t="inlineStr">
        <is>
          <t>PAPEL HIGIENICO</t>
        </is>
      </c>
      <c r="B46" s="271" t="n"/>
      <c r="C46" s="223" t="n"/>
      <c r="D46" s="237">
        <f>K46*0.93*0.98</f>
        <v/>
      </c>
      <c r="E46" s="200" t="n"/>
      <c r="F46" s="220" t="n"/>
      <c r="G46" s="222" t="n"/>
      <c r="H46" s="222" t="n"/>
      <c r="I46" s="223" t="n"/>
      <c r="K46" s="237" t="n"/>
      <c r="L46" s="200" t="n"/>
      <c r="M46" s="200" t="n"/>
      <c r="N46" s="200" t="n"/>
      <c r="S46" s="223" t="n"/>
      <c r="T46" s="223" t="n"/>
      <c r="U46" s="223" t="n"/>
      <c r="V46" s="223" t="n"/>
      <c r="W46" s="223" t="n"/>
      <c r="X46" s="223" t="n"/>
    </row>
    <row r="47">
      <c r="A47" s="111" t="n"/>
      <c r="B47" s="223" t="n"/>
      <c r="C47" s="223" t="n"/>
      <c r="D47" s="237">
        <f>K47*0.93*0.98</f>
        <v/>
      </c>
      <c r="E47" s="200" t="n"/>
      <c r="F47" s="220" t="n"/>
      <c r="G47" s="222" t="n"/>
      <c r="H47" s="222" t="n"/>
      <c r="I47" s="223" t="n"/>
      <c r="K47" s="237" t="n"/>
      <c r="L47" s="200" t="n"/>
      <c r="M47" s="200" t="n"/>
      <c r="N47" s="200" t="n"/>
      <c r="S47" s="223" t="n"/>
      <c r="T47" s="223" t="n"/>
      <c r="U47" s="223" t="n"/>
      <c r="V47" s="223" t="n"/>
      <c r="W47" s="223" t="n"/>
      <c r="X47" s="223" t="n"/>
    </row>
    <row r="48">
      <c r="A48" s="124" t="n">
        <v>211</v>
      </c>
      <c r="B48" s="223" t="inlineStr">
        <is>
          <t>Pack x18 Rollos Higienico Racional D/H x 60 mts</t>
        </is>
      </c>
      <c r="D48" s="127">
        <f>K48*0.93*0.98</f>
        <v/>
      </c>
      <c r="E48" s="238" t="n"/>
      <c r="F48" s="218">
        <f>D48*1.3*1.105</f>
        <v/>
      </c>
      <c r="G48" s="219">
        <f>D48*1.3*1.105/0.9</f>
        <v/>
      </c>
      <c r="H48" s="220">
        <f>G48*1.21</f>
        <v/>
      </c>
      <c r="I48" s="215">
        <f>ROUND(H48/100,0)*100</f>
        <v/>
      </c>
      <c r="K48" s="127" t="n">
        <v>3295</v>
      </c>
      <c r="L48" s="256" t="n"/>
      <c r="M48" s="256" t="n"/>
      <c r="N48" s="238" t="n"/>
      <c r="S48" s="223" t="n"/>
      <c r="T48" s="223" t="n"/>
      <c r="U48" s="223" t="n"/>
      <c r="V48" s="223" t="n"/>
      <c r="W48" s="223" t="n"/>
      <c r="X48" s="223" t="n"/>
    </row>
    <row r="49">
      <c r="A49" s="124" t="n">
        <v>213</v>
      </c>
      <c r="B49" s="223" t="inlineStr">
        <is>
          <t>Pack x 4 Rollos Higienico Racional x 500 mts Buje 7,5</t>
        </is>
      </c>
      <c r="D49" s="230">
        <f>K49*0.93*0.98</f>
        <v/>
      </c>
      <c r="E49" s="236" t="n"/>
      <c r="F49" s="218">
        <f>D49*1.3*1.105</f>
        <v/>
      </c>
      <c r="G49" s="219">
        <f>D49*1.3*1.105/0.9</f>
        <v/>
      </c>
      <c r="H49" s="220">
        <f>G49*1.21</f>
        <v/>
      </c>
      <c r="I49" s="215">
        <f>ROUND(H49/100,0)*100</f>
        <v/>
      </c>
      <c r="K49" s="230" t="n">
        <v>2553.66</v>
      </c>
      <c r="L49" s="257" t="n"/>
      <c r="M49" s="257" t="n"/>
      <c r="N49" s="236" t="n"/>
      <c r="S49" s="223" t="n"/>
      <c r="T49" s="223" t="n"/>
      <c r="U49" s="223" t="n"/>
      <c r="V49" s="223" t="n"/>
      <c r="W49" s="223" t="n"/>
      <c r="X49" s="223" t="n"/>
    </row>
    <row r="50">
      <c r="A50" s="182" t="n">
        <v>214</v>
      </c>
      <c r="B50" s="224" t="inlineStr">
        <is>
          <t>Pack x 18 rollos Papel Higienico Racional x 122 mts</t>
        </is>
      </c>
      <c r="D50" s="230">
        <f>K50*0.93*0.98</f>
        <v/>
      </c>
      <c r="E50" s="236" t="n"/>
      <c r="F50" s="228">
        <f>D50*1.3*1.105</f>
        <v/>
      </c>
      <c r="G50" s="226">
        <f>D50*1.3*1.105/0.9</f>
        <v/>
      </c>
      <c r="H50" s="227">
        <f>G50*1.21</f>
        <v/>
      </c>
      <c r="I50" s="227">
        <f>ROUND(H50/100,0)*100</f>
        <v/>
      </c>
      <c r="J50" s="193" t="n"/>
      <c r="K50" s="230" t="n">
        <v>3137.37</v>
      </c>
      <c r="L50" s="257" t="n"/>
      <c r="M50" s="257" t="n"/>
      <c r="N50" s="236" t="n"/>
      <c r="O50" s="193" t="n"/>
      <c r="P50" s="193" t="n"/>
      <c r="Q50" s="193" t="n"/>
      <c r="R50" s="193" t="n"/>
      <c r="S50" s="224" t="n"/>
      <c r="T50" s="224" t="n"/>
      <c r="U50" s="224" t="n"/>
      <c r="V50" s="224" t="n"/>
      <c r="W50" s="224" t="n"/>
      <c r="X50" s="224" t="n"/>
      <c r="Y50" s="193" t="n"/>
    </row>
    <row r="51">
      <c r="A51" s="124" t="n">
        <v>218</v>
      </c>
      <c r="B51" s="223" t="inlineStr">
        <is>
          <t>Pack x 8 rollos Higienico Racional x 265 mts buje 7,5</t>
        </is>
      </c>
      <c r="D51" s="230">
        <f>K51*0.93*0.98</f>
        <v/>
      </c>
      <c r="E51" s="236" t="n"/>
      <c r="F51" s="218">
        <f>D51*1.3*1.105</f>
        <v/>
      </c>
      <c r="G51" s="219">
        <f>D51*1.3*1.105/0.9</f>
        <v/>
      </c>
      <c r="H51" s="220">
        <f>G51*1.21</f>
        <v/>
      </c>
      <c r="I51" s="215">
        <f>ROUND(H51/100,0)*100</f>
        <v/>
      </c>
      <c r="K51" s="230" t="n">
        <v>2887.55</v>
      </c>
      <c r="L51" s="257" t="n"/>
      <c r="M51" s="257" t="n"/>
      <c r="N51" s="236" t="n"/>
      <c r="S51" s="223" t="n"/>
      <c r="T51" s="223" t="n"/>
      <c r="U51" s="223" t="n"/>
      <c r="V51" s="223" t="n"/>
      <c r="W51" s="223" t="n"/>
      <c r="X51" s="223" t="n"/>
    </row>
    <row r="52">
      <c r="A52" s="182" t="n">
        <v>220</v>
      </c>
      <c r="B52" s="224" t="inlineStr">
        <is>
          <t>Pack x 8 Rollos Papel Higienico Racional x 300 mts</t>
        </is>
      </c>
      <c r="D52" s="230">
        <f>K52*0.93*0.98</f>
        <v/>
      </c>
      <c r="E52" s="236" t="n"/>
      <c r="F52" s="228">
        <f>D52*1.3*1.105</f>
        <v/>
      </c>
      <c r="G52" s="226">
        <f>D52*1.3*1.105/0.9</f>
        <v/>
      </c>
      <c r="H52" s="227">
        <f>G52*1.21</f>
        <v/>
      </c>
      <c r="I52" s="227">
        <f>ROUND(H52/100,0)*100</f>
        <v/>
      </c>
      <c r="J52" s="193" t="n"/>
      <c r="K52" s="230" t="n">
        <v>3290.46</v>
      </c>
      <c r="L52" s="257" t="n"/>
      <c r="M52" s="257" t="n"/>
      <c r="N52" s="236" t="n"/>
      <c r="O52" s="193" t="n"/>
      <c r="P52" s="193" t="n"/>
      <c r="Q52" s="193" t="n"/>
      <c r="R52" s="193" t="n"/>
      <c r="S52" s="224" t="n"/>
      <c r="T52" s="224" t="n"/>
      <c r="U52" s="224" t="n"/>
      <c r="V52" s="224" t="n"/>
      <c r="W52" s="224" t="n"/>
      <c r="X52" s="224" t="n"/>
      <c r="Y52" s="193" t="n"/>
    </row>
    <row r="53">
      <c r="A53" s="124" t="n">
        <v>222</v>
      </c>
      <c r="B53" s="223" t="inlineStr">
        <is>
          <t>Pack x 8 Rollos Papel Higienico x 260 mts Buje4,5</t>
        </is>
      </c>
      <c r="D53" s="230">
        <f>K53*0.93*0.98</f>
        <v/>
      </c>
      <c r="E53" s="236" t="n"/>
      <c r="F53" s="218">
        <f>D53*1.3*1.105</f>
        <v/>
      </c>
      <c r="G53" s="219">
        <f>D53*1.3*1.105/0.9</f>
        <v/>
      </c>
      <c r="H53" s="220">
        <f>G53*1.21</f>
        <v/>
      </c>
      <c r="I53" s="215">
        <f>ROUND(H53/100,0)*100</f>
        <v/>
      </c>
      <c r="K53" s="230" t="n">
        <v>2795.77</v>
      </c>
      <c r="L53" s="257" t="n"/>
      <c r="M53" s="257" t="n"/>
      <c r="N53" s="236" t="n"/>
      <c r="S53" s="223" t="n"/>
      <c r="T53" s="223" t="n"/>
      <c r="U53" s="223" t="n"/>
      <c r="V53" s="223" t="n"/>
      <c r="W53" s="223" t="n"/>
      <c r="X53" s="223" t="n"/>
    </row>
    <row r="54">
      <c r="A54" s="182" t="n">
        <v>909</v>
      </c>
      <c r="B54" s="224" t="inlineStr">
        <is>
          <t>Papel Higiénico 20 x 14,5 8000 h. 4000 usos</t>
        </is>
      </c>
      <c r="D54" s="230">
        <f>K54*0.93*0.98</f>
        <v/>
      </c>
      <c r="E54" s="236" t="n"/>
      <c r="F54" s="228">
        <f>D54*1.3*1.105</f>
        <v/>
      </c>
      <c r="G54" s="226">
        <f>D54*1.3*1.105/0.9</f>
        <v/>
      </c>
      <c r="H54" s="227">
        <f>G54*1.21</f>
        <v/>
      </c>
      <c r="I54" s="227">
        <f>ROUND(H54/100,0)*100</f>
        <v/>
      </c>
      <c r="J54" s="193" t="n"/>
      <c r="K54" s="230" t="n">
        <v>4314.67</v>
      </c>
      <c r="L54" s="257" t="n"/>
      <c r="M54" s="257" t="n"/>
      <c r="N54" s="236" t="n"/>
      <c r="O54" s="193" t="n"/>
      <c r="P54" s="193" t="n"/>
      <c r="Q54" s="193" t="n"/>
      <c r="R54" s="193" t="n"/>
      <c r="S54" s="224" t="n"/>
      <c r="T54" s="224" t="n"/>
      <c r="U54" s="224" t="n"/>
      <c r="V54" s="224" t="n"/>
      <c r="W54" s="224" t="n"/>
      <c r="X54" s="224" t="n"/>
      <c r="Y54" s="193" t="n"/>
    </row>
    <row r="55">
      <c r="A55" s="124" t="n">
        <v>912</v>
      </c>
      <c r="B55" s="223" t="inlineStr">
        <is>
          <t>Papel Higienico UNITAS(18x14,5cm) 8000 h/4000 usos</t>
        </is>
      </c>
      <c r="D55" s="230">
        <f>K55*0.93*0.98</f>
        <v/>
      </c>
      <c r="E55" s="236" t="n"/>
      <c r="F55" s="218">
        <f>D55*1.3*1.105</f>
        <v/>
      </c>
      <c r="G55" s="219">
        <f>D55*1.3*1.105/0.9</f>
        <v/>
      </c>
      <c r="H55" s="220">
        <f>G55*1.21</f>
        <v/>
      </c>
      <c r="I55" s="215">
        <f>ROUND(H55/100,0)*100</f>
        <v/>
      </c>
      <c r="K55" s="230" t="n">
        <v>3466.5</v>
      </c>
      <c r="L55" s="257" t="n"/>
      <c r="M55" s="257" t="n"/>
      <c r="N55" s="236" t="n"/>
      <c r="S55" s="223" t="n"/>
      <c r="T55" s="223" t="n"/>
      <c r="U55" s="223" t="n"/>
      <c r="V55" s="223" t="n"/>
      <c r="W55" s="223" t="n"/>
      <c r="X55" s="223" t="n"/>
    </row>
    <row r="56">
      <c r="A56" s="124" t="n"/>
      <c r="B56" s="223" t="n"/>
      <c r="C56" s="223" t="n"/>
      <c r="D56" s="237">
        <f>K56*0.93*0.98</f>
        <v/>
      </c>
      <c r="E56" s="200" t="n"/>
      <c r="F56" s="220" t="n"/>
      <c r="G56" s="222" t="n"/>
      <c r="H56" s="222" t="n"/>
      <c r="I56" s="223" t="n"/>
      <c r="K56" s="237" t="n"/>
      <c r="L56" s="200" t="n"/>
      <c r="M56" s="200" t="n"/>
      <c r="N56" s="200" t="n"/>
      <c r="S56" s="223" t="n"/>
      <c r="T56" s="223" t="n"/>
      <c r="U56" s="223" t="n"/>
      <c r="V56" s="223" t="n"/>
      <c r="W56" s="223" t="n"/>
      <c r="X56" s="223" t="n"/>
    </row>
    <row r="57">
      <c r="A57" s="124" t="n"/>
      <c r="B57" s="210" t="n">
        <v>44748</v>
      </c>
      <c r="C57" s="223" t="n"/>
      <c r="D57" s="237">
        <f>K57*0.93*0.98</f>
        <v/>
      </c>
      <c r="E57" s="200" t="n"/>
      <c r="F57" s="220" t="n"/>
      <c r="G57" s="222" t="n"/>
      <c r="H57" s="222" t="n"/>
      <c r="I57" s="223" t="n"/>
      <c r="K57" s="237" t="n"/>
      <c r="L57" s="200" t="n"/>
      <c r="M57" s="200" t="n"/>
      <c r="N57" s="200" t="n"/>
      <c r="S57" s="223" t="n"/>
      <c r="T57" s="223" t="n"/>
      <c r="U57" s="223" t="n"/>
      <c r="V57" s="223" t="n"/>
      <c r="W57" s="223" t="n"/>
      <c r="X57" s="223" t="n"/>
    </row>
    <row r="58">
      <c r="A58" s="124" t="n"/>
      <c r="B58" s="223" t="n"/>
      <c r="C58" s="223" t="n"/>
      <c r="D58" s="237">
        <f>K58*0.93*0.98</f>
        <v/>
      </c>
      <c r="E58" s="200" t="n"/>
      <c r="F58" s="220" t="n"/>
      <c r="G58" s="222" t="n"/>
      <c r="H58" s="222" t="n"/>
      <c r="I58" s="223" t="n"/>
      <c r="K58" s="237" t="n"/>
      <c r="L58" s="200" t="n"/>
      <c r="M58" s="200" t="n"/>
      <c r="N58" s="200" t="n"/>
      <c r="S58" s="223" t="n"/>
      <c r="T58" s="223" t="n"/>
      <c r="U58" s="223" t="n"/>
      <c r="V58" s="223" t="n"/>
      <c r="W58" s="223" t="n"/>
      <c r="X58" s="223" t="n"/>
    </row>
    <row r="59">
      <c r="A59" s="117" t="inlineStr">
        <is>
          <t>CAMILLEROS</t>
        </is>
      </c>
      <c r="B59" s="223" t="n"/>
      <c r="C59" s="223" t="n"/>
      <c r="D59" s="237">
        <f>K59*0.93*0.98</f>
        <v/>
      </c>
      <c r="E59" s="200" t="n"/>
      <c r="F59" s="220" t="n"/>
      <c r="G59" s="222" t="n"/>
      <c r="H59" s="222" t="n"/>
      <c r="I59" s="223" t="n"/>
      <c r="K59" s="237" t="n"/>
      <c r="L59" s="200" t="n"/>
      <c r="M59" s="200" t="n"/>
      <c r="N59" s="200" t="n"/>
      <c r="S59" s="223" t="n"/>
      <c r="T59" s="223" t="n"/>
      <c r="U59" s="223" t="n"/>
      <c r="V59" s="223" t="n"/>
      <c r="W59" s="223" t="n"/>
      <c r="X59" s="223" t="n"/>
    </row>
    <row r="60">
      <c r="A60" s="131" t="n"/>
      <c r="B60" s="223" t="n"/>
      <c r="C60" s="223" t="n"/>
      <c r="D60" s="237">
        <f>K60*0.93*0.98</f>
        <v/>
      </c>
      <c r="E60" s="200" t="n"/>
      <c r="F60" s="220" t="n"/>
      <c r="G60" s="222" t="n"/>
      <c r="H60" s="222" t="n"/>
      <c r="I60" s="223" t="n"/>
      <c r="K60" s="237" t="n"/>
      <c r="L60" s="200" t="n"/>
      <c r="M60" s="200" t="n"/>
      <c r="N60" s="200" t="n"/>
      <c r="S60" s="223" t="n"/>
      <c r="T60" s="223" t="n"/>
      <c r="U60" s="223" t="n"/>
      <c r="V60" s="223" t="n"/>
      <c r="W60" s="223" t="n"/>
      <c r="X60" s="223" t="n"/>
    </row>
    <row r="61">
      <c r="A61" s="182" t="n">
        <v>301</v>
      </c>
      <c r="B61" s="224" t="inlineStr">
        <is>
          <t>Pack x 2 Rollos Camilleros bco s/h 54x100mts Prec</t>
        </is>
      </c>
      <c r="D61" s="127">
        <f>K61*0.93*0.98</f>
        <v/>
      </c>
      <c r="E61" s="238" t="n"/>
      <c r="F61" s="228">
        <f>D61*1.3*1.105</f>
        <v/>
      </c>
      <c r="G61" s="226">
        <f>D61*1.3*1.105/0.9</f>
        <v/>
      </c>
      <c r="H61" s="227">
        <f>G61*1.21</f>
        <v/>
      </c>
      <c r="I61" s="227">
        <f>ROUND(H61/100,0)*100</f>
        <v/>
      </c>
      <c r="J61" s="193" t="n"/>
      <c r="K61" s="127" t="n">
        <v>3475.36</v>
      </c>
      <c r="L61" s="256" t="n"/>
      <c r="M61" s="256" t="n"/>
      <c r="N61" s="238" t="n"/>
      <c r="O61" s="193" t="n"/>
      <c r="P61" s="193" t="n"/>
      <c r="Q61" s="193" t="n"/>
      <c r="R61" s="193" t="n"/>
      <c r="S61" s="227">
        <f>N61*0.93</f>
        <v/>
      </c>
      <c r="T61" s="224" t="n"/>
      <c r="U61" s="224" t="n"/>
      <c r="V61" s="224" t="n"/>
      <c r="W61" s="224" t="n"/>
      <c r="X61" s="224" t="n"/>
      <c r="Y61" s="193" t="n"/>
    </row>
    <row r="62">
      <c r="A62" s="124" t="n"/>
      <c r="B62" s="155" t="n"/>
      <c r="C62" s="223" t="n"/>
      <c r="D62" s="237">
        <f>K62*0.93*0.98</f>
        <v/>
      </c>
      <c r="E62" s="200" t="n"/>
      <c r="F62" s="220" t="n"/>
      <c r="G62" s="222" t="n"/>
      <c r="H62" s="222" t="n"/>
      <c r="I62" s="223" t="n"/>
      <c r="K62" s="237" t="n"/>
      <c r="L62" s="200" t="n"/>
      <c r="M62" s="200" t="n"/>
      <c r="N62" s="200" t="n"/>
      <c r="S62" s="223" t="n"/>
      <c r="T62" s="223" t="n"/>
      <c r="U62" s="223" t="n"/>
      <c r="V62" s="223" t="n"/>
      <c r="W62" s="223" t="n"/>
      <c r="X62" s="223" t="n"/>
    </row>
    <row r="63">
      <c r="A63" s="142" t="inlineStr">
        <is>
          <t>DISPENSERS</t>
        </is>
      </c>
      <c r="B63" s="223" t="n"/>
      <c r="C63" s="223" t="n"/>
      <c r="D63" s="237">
        <f>K63*0.93*0.98</f>
        <v/>
      </c>
      <c r="E63" s="200" t="n"/>
      <c r="F63" s="220" t="n"/>
      <c r="G63" s="222" t="n"/>
      <c r="H63" s="222" t="n"/>
      <c r="I63" s="223" t="n"/>
      <c r="K63" s="237" t="n"/>
      <c r="L63" s="200" t="n"/>
      <c r="M63" s="200" t="n"/>
      <c r="N63" s="200" t="n"/>
      <c r="S63" s="223" t="n"/>
      <c r="T63" s="223" t="n"/>
      <c r="U63" s="223" t="n"/>
      <c r="V63" s="223" t="n"/>
      <c r="W63" s="223" t="n"/>
      <c r="X63" s="223" t="n"/>
    </row>
    <row r="64">
      <c r="A64" s="111" t="n"/>
      <c r="B64" s="223" t="n"/>
      <c r="C64" s="223" t="n"/>
      <c r="D64" s="237">
        <f>K64*0.93*0.98</f>
        <v/>
      </c>
      <c r="E64" s="200" t="n"/>
      <c r="F64" s="220" t="n"/>
      <c r="G64" s="222" t="n"/>
      <c r="H64" s="222" t="n"/>
      <c r="I64" s="223" t="n"/>
      <c r="K64" s="237" t="n"/>
      <c r="L64" s="200" t="n"/>
      <c r="M64" s="200" t="n"/>
      <c r="N64" s="200" t="n"/>
      <c r="S64" s="223" t="n"/>
      <c r="T64" s="223" t="n"/>
      <c r="U64" s="223" t="n"/>
      <c r="V64" s="223" t="n"/>
      <c r="W64" s="223" t="n"/>
      <c r="X64" s="223" t="n"/>
    </row>
    <row r="65">
      <c r="A65" s="124" t="n">
        <v>403</v>
      </c>
      <c r="B65" s="223" t="inlineStr">
        <is>
          <t>Portabobina de Pared</t>
        </is>
      </c>
      <c r="C65" s="223" t="n"/>
      <c r="D65" s="127">
        <f>K65*0.93*0.98</f>
        <v/>
      </c>
      <c r="E65" s="238" t="n"/>
      <c r="F65" s="218">
        <f>D65*1.3*1.105</f>
        <v/>
      </c>
      <c r="G65" s="219">
        <f>D65*1.3*1.105/0.9</f>
        <v/>
      </c>
      <c r="H65" s="220">
        <f>G65*1.21</f>
        <v/>
      </c>
      <c r="I65" s="215">
        <f>ROUND(H65/100,0)*100</f>
        <v/>
      </c>
      <c r="K65" s="127" t="n">
        <v>5651.84</v>
      </c>
      <c r="L65" s="256" t="n"/>
      <c r="M65" s="256" t="n"/>
      <c r="N65" s="238" t="n"/>
      <c r="S65" s="223" t="n"/>
      <c r="T65" s="223" t="n"/>
      <c r="U65" s="223" t="n"/>
      <c r="V65" s="223" t="n"/>
      <c r="W65" s="223" t="n"/>
      <c r="X65" s="223" t="n"/>
    </row>
    <row r="66">
      <c r="A66" s="124" t="n">
        <v>404</v>
      </c>
      <c r="B66" s="223" t="inlineStr">
        <is>
          <t>Portarollo para Camilla</t>
        </is>
      </c>
      <c r="C66" s="223" t="n"/>
      <c r="D66" s="230">
        <f>K66*0.93*0.98</f>
        <v/>
      </c>
      <c r="E66" s="236" t="n"/>
      <c r="F66" s="218">
        <f>D66*1.3*1.105</f>
        <v/>
      </c>
      <c r="G66" s="219">
        <f>D66*1.3*1.105/0.9</f>
        <v/>
      </c>
      <c r="H66" s="220">
        <f>G66*1.21</f>
        <v/>
      </c>
      <c r="I66" s="215">
        <f>ROUND(H66/100,0)*100</f>
        <v/>
      </c>
      <c r="K66" s="230" t="n">
        <v>7799.27</v>
      </c>
      <c r="L66" s="257" t="n"/>
      <c r="M66" s="257" t="n"/>
      <c r="N66" s="236" t="n"/>
      <c r="S66" s="223" t="n"/>
      <c r="T66" s="223" t="n"/>
      <c r="U66" s="223" t="n"/>
      <c r="V66" s="223" t="n"/>
      <c r="W66" s="223" t="n"/>
      <c r="X66" s="223" t="n"/>
    </row>
    <row r="67">
      <c r="A67" s="124" t="n">
        <v>418</v>
      </c>
      <c r="B67" s="223" t="inlineStr">
        <is>
          <t>Portabobina de Piso</t>
        </is>
      </c>
      <c r="C67" s="223" t="n"/>
      <c r="D67" s="230">
        <f>K67*0.93*0.98</f>
        <v/>
      </c>
      <c r="E67" s="236" t="n"/>
      <c r="F67" s="218">
        <f>D67*1.3*1.105</f>
        <v/>
      </c>
      <c r="G67" s="219">
        <f>D67*1.3*1.105/0.9</f>
        <v/>
      </c>
      <c r="H67" s="220">
        <f>G67*1.21</f>
        <v/>
      </c>
      <c r="I67" s="215">
        <f>ROUND(H67/100,0)*100</f>
        <v/>
      </c>
      <c r="K67" s="230" t="n">
        <v>6216.86</v>
      </c>
      <c r="L67" s="257" t="n"/>
      <c r="M67" s="257" t="n"/>
      <c r="N67" s="236" t="n"/>
      <c r="S67" s="223" t="n"/>
      <c r="T67" s="223" t="n"/>
      <c r="U67" s="223" t="n"/>
      <c r="V67" s="223" t="n"/>
      <c r="W67" s="223" t="n"/>
      <c r="X67" s="223" t="n"/>
    </row>
    <row r="68">
      <c r="A68" s="124" t="n">
        <v>422</v>
      </c>
      <c r="B68" s="223" t="inlineStr">
        <is>
          <t>Dispenser Celmatic Due</t>
        </is>
      </c>
      <c r="C68" s="223" t="n"/>
      <c r="D68" s="230">
        <f>K68*0.93*0.98</f>
        <v/>
      </c>
      <c r="E68" s="236" t="n"/>
      <c r="F68" s="218">
        <f>D68*1.3*1.105</f>
        <v/>
      </c>
      <c r="G68" s="219">
        <f>D68*1.3*1.105/0.9</f>
        <v/>
      </c>
      <c r="H68" s="220">
        <f>G68*1.21</f>
        <v/>
      </c>
      <c r="I68" s="215">
        <f>ROUND(H68/100,0)*100</f>
        <v/>
      </c>
      <c r="K68" s="230" t="n">
        <v>7961.51</v>
      </c>
      <c r="L68" s="257" t="n"/>
      <c r="M68" s="257" t="n"/>
      <c r="N68" s="236" t="n"/>
      <c r="S68" s="223" t="n"/>
      <c r="T68" s="223" t="n"/>
      <c r="U68" s="223" t="n"/>
      <c r="V68" s="223" t="n"/>
      <c r="W68" s="223" t="n"/>
      <c r="X68" s="223" t="n"/>
    </row>
    <row r="69">
      <c r="A69" s="124" t="n">
        <v>425</v>
      </c>
      <c r="B69" s="223" t="inlineStr">
        <is>
          <t>Dosificador para Jabón Líquido Recargable</t>
        </is>
      </c>
      <c r="D69" s="230">
        <f>K69*0.93*0.98</f>
        <v/>
      </c>
      <c r="E69" s="236" t="n"/>
      <c r="F69" s="218">
        <f>D69*1.3*1.105</f>
        <v/>
      </c>
      <c r="G69" s="219">
        <f>D69*1.3*1.105/0.9</f>
        <v/>
      </c>
      <c r="H69" s="220">
        <f>G69*1.21</f>
        <v/>
      </c>
      <c r="I69" s="215">
        <f>ROUND(H69/100,0)*100</f>
        <v/>
      </c>
      <c r="K69" s="230" t="n">
        <v>2988.03</v>
      </c>
      <c r="L69" s="257" t="n"/>
      <c r="M69" s="257" t="n"/>
      <c r="N69" s="236" t="n"/>
      <c r="S69" s="223" t="n"/>
      <c r="T69" s="223" t="n"/>
      <c r="U69" s="223" t="n"/>
      <c r="V69" s="223" t="n"/>
      <c r="W69" s="223" t="n"/>
      <c r="X69" s="223" t="n"/>
    </row>
    <row r="70">
      <c r="A70" s="124" t="n">
        <v>427</v>
      </c>
      <c r="B70" s="223" t="inlineStr">
        <is>
          <t>Dispenser Para Papel Higienico Racional 350</t>
        </is>
      </c>
      <c r="D70" s="230">
        <f>K70*0.93*0.98</f>
        <v/>
      </c>
      <c r="E70" s="236" t="n"/>
      <c r="F70" s="218">
        <f>D70*1.3*1.105</f>
        <v/>
      </c>
      <c r="G70" s="219">
        <f>D70*1.3*1.105/0.9</f>
        <v/>
      </c>
      <c r="H70" s="220">
        <f>G70*1.21</f>
        <v/>
      </c>
      <c r="I70" s="215">
        <f>ROUND(H70/100,0)*100</f>
        <v/>
      </c>
      <c r="K70" s="230" t="n">
        <v>3649.82</v>
      </c>
      <c r="L70" s="257" t="n"/>
      <c r="M70" s="257" t="n"/>
      <c r="N70" s="236" t="n"/>
      <c r="S70" s="223" t="n"/>
      <c r="T70" s="223" t="n"/>
      <c r="U70" s="223" t="n"/>
      <c r="V70" s="223" t="n"/>
      <c r="W70" s="223" t="n"/>
      <c r="X70" s="223" t="n"/>
    </row>
    <row r="71">
      <c r="A71" s="124" t="n">
        <v>428</v>
      </c>
      <c r="B71" s="223" t="inlineStr">
        <is>
          <t>Dispenser para Papel Higiénico</t>
        </is>
      </c>
      <c r="C71" s="223" t="n"/>
      <c r="D71" s="230">
        <f>K71*0.93*0.98</f>
        <v/>
      </c>
      <c r="E71" s="236" t="n"/>
      <c r="F71" s="218">
        <f>D71*1.3*1.105</f>
        <v/>
      </c>
      <c r="G71" s="219">
        <f>D71*1.3*1.105/0.9</f>
        <v/>
      </c>
      <c r="H71" s="220">
        <f>G71*1.21</f>
        <v/>
      </c>
      <c r="I71" s="215">
        <f>ROUND(H71/100,0)*100</f>
        <v/>
      </c>
      <c r="K71" s="230" t="n">
        <v>4174.03</v>
      </c>
      <c r="L71" s="257" t="n"/>
      <c r="M71" s="257" t="n"/>
      <c r="N71" s="236" t="n"/>
      <c r="S71" s="223" t="n"/>
      <c r="T71" s="223" t="n"/>
      <c r="U71" s="223" t="n"/>
      <c r="V71" s="223" t="n"/>
      <c r="W71" s="223" t="n"/>
      <c r="X71" s="223" t="n"/>
    </row>
    <row r="72">
      <c r="A72" s="124" t="n">
        <v>429</v>
      </c>
      <c r="B72" s="223" t="inlineStr">
        <is>
          <t>Dispenser para Toallas de Papel</t>
        </is>
      </c>
      <c r="C72" s="223" t="n"/>
      <c r="D72" s="230">
        <f>K72*0.93*0.98</f>
        <v/>
      </c>
      <c r="E72" s="236" t="n"/>
      <c r="F72" s="218">
        <f>D72*1.3*1.105</f>
        <v/>
      </c>
      <c r="G72" s="219">
        <f>D72*1.3*1.105/0.9</f>
        <v/>
      </c>
      <c r="H72" s="220">
        <f>G72*1.21</f>
        <v/>
      </c>
      <c r="I72" s="215">
        <f>ROUND(H72/100,0)*100</f>
        <v/>
      </c>
      <c r="K72" s="230" t="n">
        <v>2994.58</v>
      </c>
      <c r="L72" s="257" t="n"/>
      <c r="M72" s="257" t="n"/>
      <c r="N72" s="236" t="n"/>
      <c r="S72" s="223" t="n"/>
      <c r="T72" s="223" t="n"/>
      <c r="U72" s="223" t="n"/>
      <c r="V72" s="223" t="n"/>
      <c r="W72" s="223" t="n"/>
      <c r="X72" s="223" t="n"/>
    </row>
    <row r="73">
      <c r="A73" s="124" t="n">
        <v>430</v>
      </c>
      <c r="B73" s="223" t="inlineStr">
        <is>
          <t>Dispenser Para Papel Higienico Racional 600</t>
        </is>
      </c>
      <c r="D73" s="230">
        <f>K73*0.93*0.98</f>
        <v/>
      </c>
      <c r="E73" s="236" t="n"/>
      <c r="F73" s="218">
        <f>D73*1.3*1.105</f>
        <v/>
      </c>
      <c r="G73" s="219">
        <f>D73*1.3*1.105/0.9</f>
        <v/>
      </c>
      <c r="H73" s="220">
        <f>G73*1.21</f>
        <v/>
      </c>
      <c r="I73" s="215">
        <f>ROUND(H73/100,0)*100</f>
        <v/>
      </c>
      <c r="K73" s="230" t="n">
        <v>5875.63</v>
      </c>
      <c r="L73" s="257" t="n"/>
      <c r="M73" s="257" t="n"/>
      <c r="N73" s="236" t="n"/>
      <c r="S73" s="223" t="n"/>
      <c r="T73" s="223" t="n"/>
      <c r="U73" s="223" t="n"/>
      <c r="V73" s="223" t="n"/>
      <c r="W73" s="223" t="n"/>
      <c r="X73" s="223" t="n"/>
    </row>
    <row r="74">
      <c r="A74" s="124" t="n"/>
      <c r="B74" s="223" t="n"/>
      <c r="C74" s="223" t="n"/>
      <c r="D74" s="237">
        <f>K74*0.93*0.98</f>
        <v/>
      </c>
      <c r="E74" s="200" t="n"/>
      <c r="F74" s="220" t="n"/>
      <c r="G74" s="222" t="n"/>
      <c r="H74" s="222" t="n"/>
      <c r="I74" s="223" t="n"/>
      <c r="K74" s="237" t="n"/>
      <c r="L74" s="200" t="n"/>
      <c r="M74" s="200" t="n"/>
      <c r="N74" s="200" t="n"/>
      <c r="S74" s="223" t="n"/>
      <c r="T74" s="223" t="n"/>
      <c r="U74" s="223" t="n"/>
      <c r="V74" s="223" t="n"/>
      <c r="W74" s="223" t="n"/>
      <c r="X74" s="223" t="n"/>
    </row>
    <row r="75">
      <c r="A75" s="124" t="n"/>
      <c r="B75" s="223" t="n"/>
      <c r="C75" s="223" t="n"/>
      <c r="D75" s="237">
        <f>K75*0.93*0.98</f>
        <v/>
      </c>
      <c r="E75" s="200" t="n"/>
      <c r="F75" s="220" t="n"/>
      <c r="G75" s="222" t="n"/>
      <c r="H75" s="222" t="n"/>
      <c r="I75" s="223" t="n"/>
      <c r="K75" s="237" t="n"/>
      <c r="L75" s="200" t="n"/>
      <c r="M75" s="200" t="n"/>
      <c r="N75" s="200" t="n"/>
      <c r="S75" s="223" t="n"/>
      <c r="T75" s="223" t="n"/>
      <c r="U75" s="223" t="n"/>
      <c r="V75" s="223" t="n"/>
      <c r="W75" s="223" t="n"/>
      <c r="X75" s="223" t="n"/>
    </row>
    <row r="76">
      <c r="A76" s="124" t="n"/>
      <c r="B76" s="223" t="n"/>
      <c r="C76" s="223" t="n"/>
      <c r="D76" s="237">
        <f>K76*0.93*0.98</f>
        <v/>
      </c>
      <c r="E76" s="200" t="n"/>
      <c r="F76" s="220" t="n"/>
      <c r="G76" s="222" t="n"/>
      <c r="H76" s="222" t="n"/>
      <c r="I76" s="223" t="n"/>
      <c r="K76" s="237" t="n"/>
      <c r="L76" s="200" t="n"/>
      <c r="M76" s="200" t="n"/>
      <c r="N76" s="200" t="n"/>
      <c r="S76" s="223" t="n"/>
      <c r="T76" s="223" t="n"/>
      <c r="U76" s="223" t="n"/>
      <c r="V76" s="223" t="n"/>
      <c r="W76" s="223" t="n"/>
      <c r="X76" s="223" t="n"/>
    </row>
    <row r="77">
      <c r="A77" s="117" t="inlineStr">
        <is>
          <t>LIMPIEZA INDUSTRIAL</t>
        </is>
      </c>
      <c r="B77" s="271" t="n"/>
      <c r="C77" s="223" t="n"/>
      <c r="D77" s="237">
        <f>K77*0.93*0.98</f>
        <v/>
      </c>
      <c r="E77" s="200" t="n"/>
      <c r="F77" s="220" t="n"/>
      <c r="G77" s="222" t="n"/>
      <c r="H77" s="222" t="n"/>
      <c r="I77" s="223" t="n"/>
      <c r="K77" s="237" t="n"/>
      <c r="L77" s="200" t="n"/>
      <c r="M77" s="200" t="n"/>
      <c r="N77" s="200" t="n"/>
      <c r="S77" s="223" t="n"/>
      <c r="T77" s="223" t="n"/>
      <c r="U77" s="223" t="n"/>
      <c r="V77" s="223" t="n"/>
      <c r="W77" s="223" t="n"/>
      <c r="X77" s="223" t="n"/>
    </row>
    <row r="78">
      <c r="A78" s="131" t="n"/>
      <c r="B78" s="223" t="n"/>
      <c r="C78" s="223" t="n"/>
      <c r="D78" s="237">
        <f>K78*0.93*0.98</f>
        <v/>
      </c>
      <c r="E78" s="200" t="n"/>
      <c r="F78" s="220" t="n"/>
      <c r="G78" s="222" t="n"/>
      <c r="H78" s="222" t="n"/>
      <c r="I78" s="223" t="n"/>
      <c r="K78" s="237" t="n"/>
      <c r="L78" s="200" t="n"/>
      <c r="M78" s="200" t="n"/>
      <c r="N78" s="200" t="n"/>
      <c r="S78" s="223" t="n"/>
      <c r="T78" s="223" t="n"/>
      <c r="U78" s="223" t="n"/>
      <c r="V78" s="223" t="n"/>
      <c r="W78" s="223" t="n"/>
      <c r="X78" s="223" t="n"/>
    </row>
    <row r="79">
      <c r="A79" s="182" t="n">
        <v>101</v>
      </c>
      <c r="B79" s="224" t="inlineStr">
        <is>
          <t>Pack x 6 bobinas 22,5 cm x 300 porciones</t>
        </is>
      </c>
      <c r="D79" s="127">
        <f>K79*0.93*0.98</f>
        <v/>
      </c>
      <c r="E79" s="238" t="n"/>
      <c r="F79" s="228">
        <f>D79*1.3*1.105</f>
        <v/>
      </c>
      <c r="G79" s="226">
        <f>D79*1.3*1.105/0.9</f>
        <v/>
      </c>
      <c r="H79" s="227">
        <f>G79*1.21</f>
        <v/>
      </c>
      <c r="I79" s="227">
        <f>ROUND(H79/100,0)*100</f>
        <v/>
      </c>
      <c r="J79" s="193" t="n"/>
      <c r="K79" s="127" t="n">
        <v>4491.82</v>
      </c>
      <c r="L79" s="256" t="n"/>
      <c r="M79" s="256" t="n"/>
      <c r="N79" s="238" t="n"/>
      <c r="O79" s="193" t="n"/>
      <c r="P79" s="193" t="n"/>
      <c r="Q79" s="193" t="n"/>
      <c r="R79" s="193" t="n"/>
      <c r="S79" s="224" t="n"/>
      <c r="T79" s="224" t="n"/>
      <c r="U79" s="224" t="n"/>
      <c r="V79" s="224" t="n"/>
      <c r="W79" s="224" t="n"/>
      <c r="X79" s="224" t="n"/>
      <c r="Y79" s="193" t="n"/>
    </row>
    <row r="80">
      <c r="A80" s="124" t="n">
        <v>109</v>
      </c>
      <c r="B80" s="223" t="inlineStr">
        <is>
          <t>Pack x 2 bobinas papel original 22,5 cm x 270 mts</t>
        </is>
      </c>
      <c r="D80" s="230">
        <f>K80*0.93*0.98</f>
        <v/>
      </c>
      <c r="E80" s="236" t="n"/>
      <c r="F80" s="218">
        <f>D80*1.3*1.105</f>
        <v/>
      </c>
      <c r="G80" s="219">
        <f>D80*1.3*1.105/0.9</f>
        <v/>
      </c>
      <c r="H80" s="220">
        <f>G80*1.21</f>
        <v/>
      </c>
      <c r="I80" s="215">
        <f>ROUND(H80/100,0)*100</f>
        <v/>
      </c>
      <c r="K80" s="230" t="n">
        <v>3506.01</v>
      </c>
      <c r="L80" s="257" t="n"/>
      <c r="M80" s="257" t="n"/>
      <c r="N80" s="236" t="n"/>
      <c r="S80" s="223" t="n"/>
      <c r="T80" s="223" t="n"/>
      <c r="U80" s="223" t="n"/>
      <c r="V80" s="223" t="n"/>
      <c r="W80" s="223" t="n"/>
      <c r="X80" s="223" t="n"/>
    </row>
    <row r="81">
      <c r="A81" s="182" t="n">
        <v>123</v>
      </c>
      <c r="B81" s="224" t="inlineStr">
        <is>
          <t>Pack x 2 bobinas Papel Original 900 hjs/360 mts.</t>
        </is>
      </c>
      <c r="D81" s="230">
        <f>K81*0.93*0.98</f>
        <v/>
      </c>
      <c r="E81" s="236" t="n"/>
      <c r="F81" s="228">
        <f>D81*1.3*1.105</f>
        <v/>
      </c>
      <c r="G81" s="226">
        <f>D81*1.3*1.105/0.9</f>
        <v/>
      </c>
      <c r="H81" s="227">
        <f>G81*1.21</f>
        <v/>
      </c>
      <c r="I81" s="227">
        <f>ROUND(H81/100,0)*100</f>
        <v/>
      </c>
      <c r="J81" s="193" t="n"/>
      <c r="K81" s="230" t="n">
        <v>5150.05</v>
      </c>
      <c r="L81" s="257" t="n"/>
      <c r="M81" s="257" t="n"/>
      <c r="N81" s="236" t="n"/>
      <c r="O81" s="193" t="n"/>
      <c r="P81" s="193" t="n"/>
      <c r="Q81" s="193" t="n"/>
      <c r="R81" s="193" t="n"/>
      <c r="S81" s="224" t="n"/>
      <c r="T81" s="224" t="n"/>
      <c r="U81" s="224" t="n"/>
      <c r="V81" s="224" t="n"/>
      <c r="W81" s="224" t="n"/>
      <c r="X81" s="224" t="n"/>
      <c r="Y81" s="193" t="n"/>
    </row>
    <row r="82">
      <c r="A82" s="124" t="n">
        <v>809</v>
      </c>
      <c r="B82" s="223" t="inlineStr">
        <is>
          <t>Pack x 4 Rollos 600 porc 25x25 Rep Tambo</t>
        </is>
      </c>
      <c r="D82" s="230">
        <f>K82*0.93*0.98</f>
        <v/>
      </c>
      <c r="E82" s="236" t="n"/>
      <c r="F82" s="218">
        <f>D82*1.3*1.105</f>
        <v/>
      </c>
      <c r="G82" s="219">
        <f>D82*1.3*1.105/0.9</f>
        <v/>
      </c>
      <c r="H82" s="220">
        <f>G82*1.21</f>
        <v/>
      </c>
      <c r="I82" s="215">
        <f>ROUND(H82/100,0)*100</f>
        <v/>
      </c>
      <c r="K82" s="230" t="n">
        <v>5349.97</v>
      </c>
      <c r="L82" s="257" t="n"/>
      <c r="M82" s="257" t="n"/>
      <c r="N82" s="236" t="n"/>
      <c r="S82" s="223" t="n"/>
      <c r="T82" s="223" t="n"/>
      <c r="U82" s="223" t="n"/>
      <c r="V82" s="223" t="n"/>
      <c r="W82" s="223" t="n"/>
      <c r="X82" s="223" t="n"/>
    </row>
    <row r="83">
      <c r="A83" s="124" t="n"/>
      <c r="B83" s="223" t="n"/>
      <c r="C83" s="223" t="n"/>
      <c r="D83" s="237">
        <f>K83*0.93*0.98</f>
        <v/>
      </c>
      <c r="E83" s="200" t="n"/>
      <c r="F83" s="220" t="n"/>
      <c r="G83" s="222" t="n"/>
      <c r="H83" s="222" t="n"/>
      <c r="I83" s="223" t="n"/>
      <c r="K83" s="237" t="n"/>
      <c r="L83" s="200" t="n"/>
      <c r="M83" s="200" t="n"/>
      <c r="N83" s="200" t="n"/>
      <c r="S83" s="223" t="n"/>
      <c r="T83" s="223" t="n"/>
      <c r="U83" s="223" t="n"/>
      <c r="V83" s="223" t="n"/>
      <c r="W83" s="223" t="n"/>
      <c r="X83" s="223" t="n"/>
    </row>
    <row r="84">
      <c r="A84" s="124" t="n"/>
      <c r="B84" s="223" t="n"/>
      <c r="C84" s="223" t="n"/>
      <c r="D84" s="237">
        <f>K84*0.93*0.98</f>
        <v/>
      </c>
      <c r="E84" s="200" t="n"/>
      <c r="F84" s="220" t="n"/>
      <c r="G84" s="222" t="n"/>
      <c r="H84" s="222" t="n"/>
      <c r="I84" s="223" t="n"/>
      <c r="K84" s="237" t="n"/>
      <c r="L84" s="200" t="n"/>
      <c r="M84" s="200" t="n"/>
      <c r="N84" s="200" t="n"/>
      <c r="S84" s="223" t="n"/>
      <c r="T84" s="223" t="n"/>
      <c r="U84" s="223" t="n"/>
      <c r="V84" s="223" t="n"/>
      <c r="W84" s="223" t="n"/>
      <c r="X84" s="223" t="n"/>
    </row>
    <row r="85">
      <c r="A85" s="117" t="inlineStr">
        <is>
          <t>PAÑOS DE LIMPIEZA DE ALTA PERFORMANCE</t>
        </is>
      </c>
      <c r="B85" s="223" t="n"/>
      <c r="C85" s="223" t="n"/>
      <c r="D85" s="237">
        <f>K85*0.93*0.98</f>
        <v/>
      </c>
      <c r="E85" s="200" t="n"/>
      <c r="F85" s="220" t="n"/>
      <c r="G85" s="222" t="n"/>
      <c r="H85" s="222" t="n"/>
      <c r="I85" s="223" t="n"/>
      <c r="K85" s="237" t="n"/>
      <c r="L85" s="200" t="n"/>
      <c r="M85" s="200" t="n"/>
      <c r="N85" s="200" t="n"/>
      <c r="S85" s="223" t="n"/>
      <c r="T85" s="223" t="n"/>
      <c r="U85" s="223" t="n"/>
      <c r="V85" s="223" t="n"/>
      <c r="W85" s="223" t="n"/>
      <c r="X85" s="223" t="n"/>
    </row>
    <row r="86">
      <c r="A86" s="131" t="n"/>
      <c r="B86" s="223" t="n"/>
      <c r="C86" s="223" t="n"/>
      <c r="D86" s="237">
        <f>K86*0.93*0.98</f>
        <v/>
      </c>
      <c r="E86" s="200" t="n"/>
      <c r="F86" s="220" t="n"/>
      <c r="G86" s="222" t="n"/>
      <c r="H86" s="222" t="n"/>
      <c r="I86" s="223" t="n"/>
      <c r="K86" s="237" t="n"/>
      <c r="L86" s="200" t="n"/>
      <c r="M86" s="200" t="n"/>
      <c r="N86" s="200" t="n"/>
      <c r="S86" s="223" t="n"/>
      <c r="T86" s="223" t="n"/>
      <c r="U86" s="223" t="n"/>
      <c r="V86" s="223" t="n"/>
      <c r="W86" s="223" t="n"/>
      <c r="X86" s="223" t="n"/>
    </row>
    <row r="87">
      <c r="A87" s="157" t="inlineStr">
        <is>
          <t>Linea Softclean</t>
        </is>
      </c>
      <c r="C87" s="158" t="n"/>
      <c r="D87" s="192">
        <f>K87*0.93*0.98</f>
        <v/>
      </c>
      <c r="E87" s="234" t="n"/>
      <c r="F87" s="220" t="n"/>
      <c r="G87" s="222" t="n"/>
      <c r="H87" s="222" t="n"/>
      <c r="I87" s="223" t="n"/>
      <c r="K87" s="192" t="n"/>
      <c r="L87" s="190" t="n"/>
      <c r="M87" s="190" t="n"/>
      <c r="N87" s="234" t="n"/>
      <c r="S87" s="223" t="n"/>
      <c r="T87" s="223" t="n"/>
      <c r="U87" s="223" t="n"/>
      <c r="V87" s="223" t="n"/>
      <c r="W87" s="223" t="n"/>
      <c r="X87" s="223" t="n"/>
    </row>
    <row r="88">
      <c r="A88" s="186" t="n">
        <v>601</v>
      </c>
      <c r="B88" s="223" t="inlineStr">
        <is>
          <t>Rollo precortado Maxi blanco 30 x 38 x 500 softclean</t>
        </is>
      </c>
      <c r="D88" s="240">
        <f>K88*0.93*0.98</f>
        <v/>
      </c>
      <c r="E88" s="239" t="n"/>
      <c r="F88" s="218">
        <f>D88*1.3*1.105</f>
        <v/>
      </c>
      <c r="G88" s="219">
        <f>D88*1.3*1.105/0.9</f>
        <v/>
      </c>
      <c r="H88" s="220">
        <f>G88*1.21</f>
        <v/>
      </c>
      <c r="I88" s="215">
        <f>ROUND(H88/100,0)*100</f>
        <v/>
      </c>
      <c r="K88" s="240" t="n">
        <v>54.43</v>
      </c>
      <c r="L88" s="268" t="n"/>
      <c r="M88" s="268" t="n"/>
      <c r="N88" s="239" t="n"/>
      <c r="S88" s="223" t="n"/>
      <c r="T88" s="223" t="n"/>
      <c r="U88" s="223" t="n"/>
      <c r="V88" s="223" t="n"/>
      <c r="W88" s="223" t="n"/>
      <c r="X88" s="223" t="n"/>
    </row>
    <row r="89">
      <c r="A89" s="242" t="n">
        <v>605</v>
      </c>
      <c r="B89" s="224" t="inlineStr">
        <is>
          <t>Caja x 250 Paños Ultratex de 34cm x 60cm</t>
        </is>
      </c>
      <c r="D89" s="240">
        <f>K89*0.93*0.98</f>
        <v/>
      </c>
      <c r="E89" s="239" t="n"/>
      <c r="F89" s="228">
        <f>D89*1.3*1.105</f>
        <v/>
      </c>
      <c r="G89" s="226">
        <f>D89*1.3*1.105/0.9</f>
        <v/>
      </c>
      <c r="H89" s="227">
        <f>G89*1.21</f>
        <v/>
      </c>
      <c r="I89" s="227">
        <f>ROUND(H89/100,0)*100</f>
        <v/>
      </c>
      <c r="J89" s="193" t="n"/>
      <c r="K89" s="240" t="n">
        <v>228.4</v>
      </c>
      <c r="L89" s="268" t="n"/>
      <c r="M89" s="268" t="n"/>
      <c r="N89" s="239" t="n"/>
      <c r="O89" s="193" t="n"/>
      <c r="P89" s="193" t="n"/>
      <c r="Q89" s="193" t="n"/>
      <c r="R89" s="193" t="n"/>
      <c r="S89" s="224" t="n"/>
      <c r="T89" s="224" t="n"/>
      <c r="U89" s="224" t="n"/>
      <c r="V89" s="224" t="n"/>
      <c r="W89" s="224" t="n"/>
      <c r="X89" s="224" t="n"/>
      <c r="Y89" s="193" t="n"/>
    </row>
    <row r="90">
      <c r="A90" s="186" t="n">
        <v>606</v>
      </c>
      <c r="B90" s="223" t="inlineStr">
        <is>
          <t>Caja x 300 Paños Ultratex de 45,7cm x 53,3cm</t>
        </is>
      </c>
      <c r="D90" s="240">
        <f>K90*0.93*0.98</f>
        <v/>
      </c>
      <c r="E90" s="239" t="n"/>
      <c r="F90" s="218">
        <f>D90*1.3*1.105</f>
        <v/>
      </c>
      <c r="G90" s="219">
        <f>D90*1.3*1.105/0.9</f>
        <v/>
      </c>
      <c r="H90" s="220">
        <f>G90*1.21</f>
        <v/>
      </c>
      <c r="I90" s="215">
        <f>ROUND(H90/100,0)*100</f>
        <v/>
      </c>
      <c r="K90" s="240" t="n">
        <v>323.14</v>
      </c>
      <c r="L90" s="268" t="n"/>
      <c r="M90" s="268" t="n"/>
      <c r="N90" s="239" t="n"/>
      <c r="S90" s="223" t="n"/>
      <c r="T90" s="223" t="n"/>
      <c r="U90" s="223" t="n"/>
      <c r="V90" s="223" t="n"/>
      <c r="W90" s="223" t="n"/>
      <c r="X90" s="223" t="n"/>
    </row>
    <row r="91">
      <c r="A91" s="186" t="n">
        <v>608</v>
      </c>
      <c r="B91" s="223" t="inlineStr">
        <is>
          <t>Repuesto x 2 rollos Softclean x 350 mts</t>
        </is>
      </c>
      <c r="D91" s="240">
        <f>K91*0.93*0.98</f>
        <v/>
      </c>
      <c r="E91" s="239" t="n"/>
      <c r="F91" s="218">
        <f>D91*1.3*1.105</f>
        <v/>
      </c>
      <c r="G91" s="219">
        <f>D91*1.3*1.105/0.9</f>
        <v/>
      </c>
      <c r="H91" s="220">
        <f>G91*1.21</f>
        <v/>
      </c>
      <c r="I91" s="215">
        <f>ROUND(H91/100,0)*100</f>
        <v/>
      </c>
      <c r="K91" s="240" t="n">
        <v>49.43</v>
      </c>
      <c r="L91" s="268" t="n"/>
      <c r="M91" s="268" t="n"/>
      <c r="N91" s="239" t="n"/>
      <c r="S91" s="223" t="n"/>
      <c r="T91" s="223" t="n"/>
      <c r="U91" s="223" t="n"/>
      <c r="V91" s="223" t="n"/>
      <c r="W91" s="223" t="n"/>
      <c r="X91" s="223" t="n"/>
    </row>
    <row r="92">
      <c r="A92" s="186" t="n">
        <v>612</v>
      </c>
      <c r="B92" s="223" t="inlineStr">
        <is>
          <t>Contenedor Mini Softclean x 150 porc. 13 x 26.5cm</t>
        </is>
      </c>
      <c r="D92" s="240">
        <f>K92*0.93*0.98</f>
        <v/>
      </c>
      <c r="E92" s="239" t="n"/>
      <c r="F92" s="218">
        <f>D92*1.3*1.105</f>
        <v/>
      </c>
      <c r="G92" s="219">
        <f>D92*1.3*1.105/0.9</f>
        <v/>
      </c>
      <c r="H92" s="220">
        <f>G92*1.21</f>
        <v/>
      </c>
      <c r="I92" s="215">
        <f>ROUND(H92/100,0)*100</f>
        <v/>
      </c>
      <c r="K92" s="240" t="n">
        <v>7.53</v>
      </c>
      <c r="L92" s="268" t="n"/>
      <c r="M92" s="268" t="n"/>
      <c r="N92" s="239" t="n"/>
      <c r="S92" s="223" t="n"/>
      <c r="T92" s="223" t="n"/>
      <c r="U92" s="223" t="n"/>
      <c r="V92" s="223" t="n"/>
      <c r="W92" s="223" t="n"/>
      <c r="X92" s="223" t="n"/>
    </row>
    <row r="93">
      <c r="A93" s="186" t="n">
        <v>614</v>
      </c>
      <c r="B93" s="223" t="inlineStr">
        <is>
          <t>Rollo SoftClean S 70x 875 Porciones de 30x 25</t>
        </is>
      </c>
      <c r="D93" s="240">
        <f>K93*0.93*0.98</f>
        <v/>
      </c>
      <c r="E93" s="239" t="n"/>
      <c r="F93" s="218">
        <f>D93*1.3*1.105</f>
        <v/>
      </c>
      <c r="G93" s="219">
        <f>D93*1.3*1.105/0.9</f>
        <v/>
      </c>
      <c r="H93" s="220">
        <f>G93*1.21</f>
        <v/>
      </c>
      <c r="I93" s="215">
        <f>ROUND(H93/100,0)*100</f>
        <v/>
      </c>
      <c r="K93" s="240" t="n">
        <v>59.55</v>
      </c>
      <c r="L93" s="268" t="n"/>
      <c r="M93" s="268" t="n"/>
      <c r="N93" s="239" t="n"/>
      <c r="S93" s="223" t="n"/>
      <c r="T93" s="223" t="n"/>
      <c r="U93" s="223" t="n"/>
      <c r="V93" s="223" t="n"/>
      <c r="W93" s="223" t="n"/>
      <c r="X93" s="223" t="n"/>
    </row>
    <row r="94">
      <c r="A94" s="186" t="n">
        <v>615</v>
      </c>
      <c r="B94" s="223" t="inlineStr">
        <is>
          <t>Contenedor Center Softclean x 350 22,5 x26,5</t>
        </is>
      </c>
      <c r="D94" s="240">
        <f>K94*0.93*0.98</f>
        <v/>
      </c>
      <c r="E94" s="239" t="n"/>
      <c r="F94" s="218">
        <f>D94*1.3*1.105</f>
        <v/>
      </c>
      <c r="G94" s="219">
        <f>D94*1.3*1.105/0.9</f>
        <v/>
      </c>
      <c r="H94" s="220">
        <f>G94*1.21</f>
        <v/>
      </c>
      <c r="I94" s="215">
        <f>ROUND(H94/100,0)*100</f>
        <v/>
      </c>
      <c r="K94" s="240" t="n">
        <v>25.9</v>
      </c>
      <c r="L94" s="268" t="n"/>
      <c r="M94" s="268" t="n"/>
      <c r="N94" s="239" t="n"/>
      <c r="S94" s="223" t="n"/>
      <c r="T94" s="223" t="n"/>
      <c r="U94" s="223" t="n"/>
      <c r="V94" s="223" t="n"/>
      <c r="W94" s="223" t="n"/>
      <c r="X94" s="223" t="n"/>
    </row>
    <row r="95">
      <c r="A95" s="186" t="n">
        <v>616</v>
      </c>
      <c r="B95" s="223" t="inlineStr">
        <is>
          <t>Rollo Mini Sofclean x 190 porciones de 22,5 x 26,5</t>
        </is>
      </c>
      <c r="D95" s="240">
        <f>K95*0.93*0.98</f>
        <v/>
      </c>
      <c r="E95" s="239" t="n"/>
      <c r="F95" s="218">
        <f>D95*1.3*1.105</f>
        <v/>
      </c>
      <c r="G95" s="219">
        <f>D95*1.3*1.105/0.9</f>
        <v/>
      </c>
      <c r="H95" s="220">
        <f>G95*1.21</f>
        <v/>
      </c>
      <c r="I95" s="215">
        <f>ROUND(H95/100,0)*100</f>
        <v/>
      </c>
      <c r="K95" s="240" t="n">
        <v>12.94</v>
      </c>
      <c r="L95" s="268" t="n"/>
      <c r="M95" s="268" t="n"/>
      <c r="N95" s="239" t="n"/>
      <c r="S95" s="223" t="n"/>
      <c r="T95" s="223" t="n"/>
      <c r="U95" s="223" t="n"/>
      <c r="V95" s="223" t="n"/>
      <c r="W95" s="223" t="n"/>
      <c r="X95" s="223" t="n"/>
    </row>
    <row r="96">
      <c r="A96" s="242" t="n">
        <v>617</v>
      </c>
      <c r="B96" s="224" t="inlineStr">
        <is>
          <t>Caja 1/4 Folded Softclean 500 30 x 30 cm Celeste</t>
        </is>
      </c>
      <c r="D96" s="240">
        <f>K96*0.93*0.98</f>
        <v/>
      </c>
      <c r="E96" s="239" t="n"/>
      <c r="F96" s="228">
        <f>D96*1.3*1.105</f>
        <v/>
      </c>
      <c r="G96" s="226">
        <f>D96*1.3*1.105/0.9</f>
        <v/>
      </c>
      <c r="H96" s="227">
        <f>G96*1.21</f>
        <v/>
      </c>
      <c r="I96" s="227">
        <f>ROUND(H96/100,0)*100</f>
        <v/>
      </c>
      <c r="J96" s="193" t="n"/>
      <c r="K96" s="240" t="n">
        <v>42.96</v>
      </c>
      <c r="L96" s="268" t="n"/>
      <c r="M96" s="268" t="n"/>
      <c r="N96" s="239" t="n"/>
      <c r="O96" s="193" t="n"/>
      <c r="P96" s="193" t="n"/>
      <c r="Q96" s="193" t="n"/>
      <c r="R96" s="193" t="n"/>
      <c r="S96" s="224" t="n"/>
      <c r="T96" s="224" t="n"/>
      <c r="U96" s="224" t="n"/>
      <c r="V96" s="224" t="n"/>
      <c r="W96" s="224" t="n"/>
      <c r="X96" s="224" t="n"/>
      <c r="Y96" s="193" t="n"/>
    </row>
    <row r="97">
      <c r="A97" s="186" t="n">
        <v>618</v>
      </c>
      <c r="B97" s="223" t="inlineStr">
        <is>
          <t>Rollo Precortado Softclean 600 porciones de 30x 26,5</t>
        </is>
      </c>
      <c r="D97" s="240">
        <f>K97*0.93*0.98</f>
        <v/>
      </c>
      <c r="E97" s="239" t="n"/>
      <c r="F97" s="218">
        <f>D97*1.3*1.105</f>
        <v/>
      </c>
      <c r="G97" s="219">
        <f>D97*1.3*1.105/0.9</f>
        <v/>
      </c>
      <c r="H97" s="220">
        <f>G97*1.21</f>
        <v/>
      </c>
      <c r="I97" s="215">
        <f>ROUND(H97/100,0)*100</f>
        <v/>
      </c>
      <c r="K97" s="240" t="n">
        <v>42.96</v>
      </c>
      <c r="L97" s="268" t="n"/>
      <c r="M97" s="268" t="n"/>
      <c r="N97" s="239" t="n"/>
      <c r="S97" s="223" t="n"/>
      <c r="T97" s="223" t="n"/>
      <c r="U97" s="223" t="n"/>
      <c r="V97" s="223" t="n"/>
      <c r="W97" s="223" t="n"/>
      <c r="X97" s="223" t="n"/>
    </row>
    <row r="98">
      <c r="A98" s="186" t="n"/>
      <c r="B98" s="223" t="n"/>
      <c r="C98" s="223" t="n"/>
      <c r="D98" s="244">
        <f>K98*0.93*0.98</f>
        <v/>
      </c>
      <c r="E98" s="255" t="n"/>
      <c r="F98" s="220" t="n"/>
      <c r="G98" s="222" t="n"/>
      <c r="H98" s="222" t="n"/>
      <c r="I98" s="223" t="n"/>
      <c r="K98" s="244" t="n"/>
      <c r="L98" s="195" t="n"/>
      <c r="M98" s="195" t="n"/>
      <c r="N98" s="255" t="n"/>
      <c r="S98" s="223" t="n"/>
      <c r="T98" s="223" t="n"/>
      <c r="U98" s="223" t="n"/>
      <c r="V98" s="223" t="n"/>
      <c r="W98" s="223" t="n"/>
      <c r="X98" s="223" t="n"/>
    </row>
    <row r="99">
      <c r="A99" s="168" t="inlineStr">
        <is>
          <t>Linea Sontara</t>
        </is>
      </c>
      <c r="C99" s="158" t="n"/>
      <c r="D99" s="198">
        <f>K99*0.93*0.98</f>
        <v/>
      </c>
      <c r="E99" s="245" t="n"/>
      <c r="F99" s="220" t="n"/>
      <c r="G99" s="222" t="n"/>
      <c r="H99" s="222" t="n"/>
      <c r="I99" s="223" t="n"/>
      <c r="K99" s="198" t="n"/>
      <c r="L99" s="197" t="n"/>
      <c r="M99" s="197" t="n"/>
      <c r="N99" s="245" t="n"/>
      <c r="S99" s="223" t="n"/>
      <c r="T99" s="223" t="n"/>
      <c r="U99" s="223" t="n"/>
      <c r="V99" s="223" t="n"/>
      <c r="W99" s="223" t="n"/>
      <c r="X99" s="223" t="n"/>
    </row>
    <row r="100">
      <c r="A100" s="186" t="n">
        <v>604</v>
      </c>
      <c r="B100" s="223" t="inlineStr">
        <is>
          <t>Rollo precortado Maxi de 30 x38 blanco</t>
        </is>
      </c>
      <c r="D100" s="240">
        <f>K100*0.93*0.98</f>
        <v/>
      </c>
      <c r="E100" s="239" t="n"/>
      <c r="F100" s="218">
        <f>D100*1.3*1.105</f>
        <v/>
      </c>
      <c r="G100" s="219">
        <f>D100*1.3*1.105/0.9</f>
        <v/>
      </c>
      <c r="H100" s="220">
        <f>G100*1.21</f>
        <v/>
      </c>
      <c r="I100" s="215">
        <f>ROUND(H100/100,0)*100</f>
        <v/>
      </c>
      <c r="K100" s="240" t="n">
        <v>113.44</v>
      </c>
      <c r="L100" s="247" t="n"/>
      <c r="M100" s="247" t="n"/>
      <c r="N100" s="239" t="n"/>
      <c r="S100" s="223" t="n"/>
      <c r="T100" s="223" t="n"/>
      <c r="U100" s="223" t="n"/>
      <c r="V100" s="223" t="n"/>
      <c r="W100" s="223" t="n"/>
      <c r="X100" s="223" t="n"/>
    </row>
    <row r="101">
      <c r="A101" s="186" t="n">
        <v>619</v>
      </c>
      <c r="B101" s="223" t="inlineStr">
        <is>
          <t>Centerfeed Sontara Celeste 350 porc22,5 x 26,5</t>
        </is>
      </c>
      <c r="D101" s="240">
        <f>K101*0.93*0.98</f>
        <v/>
      </c>
      <c r="E101" s="239" t="n"/>
      <c r="F101" s="218">
        <f>D101*1.3*1.105</f>
        <v/>
      </c>
      <c r="G101" s="219">
        <f>D101*1.3*1.105/0.9</f>
        <v/>
      </c>
      <c r="H101" s="220">
        <f>G101*1.21</f>
        <v/>
      </c>
      <c r="I101" s="215">
        <f>ROUND(H101/100,0)*100</f>
        <v/>
      </c>
      <c r="K101" s="240" t="n">
        <v>57.54</v>
      </c>
      <c r="L101" s="268" t="n"/>
      <c r="M101" s="268" t="n"/>
      <c r="N101" s="239" t="n"/>
      <c r="S101" s="223" t="n"/>
      <c r="T101" s="223" t="n"/>
      <c r="U101" s="223" t="n"/>
      <c r="V101" s="223" t="n"/>
      <c r="W101" s="223" t="n"/>
      <c r="X101" s="223" t="n"/>
    </row>
    <row r="102">
      <c r="A102" s="186" t="n">
        <v>620</v>
      </c>
      <c r="B102" s="223" t="inlineStr">
        <is>
          <t>Rollo prec Sontara por 600 porc 30 x26,5 celeste</t>
        </is>
      </c>
      <c r="D102" s="240">
        <f>K102*0.93*0.98</f>
        <v/>
      </c>
      <c r="E102" s="239" t="n"/>
      <c r="F102" s="218">
        <f>D102*1.3*1.105</f>
        <v/>
      </c>
      <c r="G102" s="219">
        <f>D102*1.3*1.105/0.9</f>
        <v/>
      </c>
      <c r="H102" s="220">
        <f>G102*1.21</f>
        <v/>
      </c>
      <c r="I102" s="215">
        <f>ROUND(H102/100,0)*100</f>
        <v/>
      </c>
      <c r="K102" s="240" t="n">
        <v>106.81</v>
      </c>
      <c r="L102" s="268" t="n"/>
      <c r="M102" s="268" t="n"/>
      <c r="N102" s="239" t="n"/>
      <c r="S102" s="223" t="n"/>
      <c r="T102" s="223" t="n"/>
      <c r="U102" s="223" t="n"/>
      <c r="V102" s="223" t="n"/>
      <c r="W102" s="223" t="n"/>
      <c r="X102" s="223" t="n"/>
    </row>
    <row r="103">
      <c r="A103" s="186" t="n">
        <v>621</v>
      </c>
      <c r="B103" s="223" t="inlineStr">
        <is>
          <t>Rollo Sontara Mini x 190 porc 22,5 x26,5 celeste</t>
        </is>
      </c>
      <c r="D103" s="240">
        <f>K103*0.93*0.98</f>
        <v/>
      </c>
      <c r="E103" s="239" t="n"/>
      <c r="F103" s="218">
        <f>D103*1.3*1.105</f>
        <v/>
      </c>
      <c r="G103" s="219">
        <f>D103*1.3*1.105/0.9</f>
        <v/>
      </c>
      <c r="H103" s="220">
        <f>G103*1.21</f>
        <v/>
      </c>
      <c r="I103" s="215">
        <f>ROUND(H103/100,0)*100</f>
        <v/>
      </c>
      <c r="K103" s="240" t="n">
        <v>26.14</v>
      </c>
      <c r="L103" s="268" t="n"/>
      <c r="M103" s="268" t="n"/>
      <c r="N103" s="239" t="n"/>
      <c r="S103" s="223" t="n"/>
      <c r="T103" s="223" t="n"/>
      <c r="U103" s="223" t="n"/>
      <c r="V103" s="223" t="n"/>
      <c r="W103" s="223" t="n"/>
      <c r="X103" s="223" t="n"/>
    </row>
    <row r="104">
      <c r="A104" s="186" t="n">
        <v>627</v>
      </c>
      <c r="B104" s="223" t="inlineStr">
        <is>
          <t>SMP 300 Paños de 22,5 cm x 22,5 cm</t>
        </is>
      </c>
      <c r="D104" s="240">
        <f>K104*0.93*0.98</f>
        <v/>
      </c>
      <c r="E104" s="239" t="n"/>
      <c r="F104" s="218">
        <f>D104*1.3*1.105</f>
        <v/>
      </c>
      <c r="G104" s="219">
        <f>D104*1.3*1.105/0.9</f>
        <v/>
      </c>
      <c r="H104" s="220">
        <f>G104*1.21</f>
        <v/>
      </c>
      <c r="I104" s="215">
        <f>ROUND(H104/100,0)*100</f>
        <v/>
      </c>
      <c r="K104" s="240" t="n">
        <v>69.04000000000001</v>
      </c>
      <c r="L104" s="268" t="n"/>
      <c r="M104" s="268" t="n"/>
      <c r="N104" s="239" t="n"/>
      <c r="S104" s="223" t="n"/>
      <c r="T104" s="223" t="n"/>
      <c r="U104" s="223" t="n"/>
      <c r="V104" s="223" t="n"/>
      <c r="W104" s="223" t="n"/>
      <c r="X104" s="103" t="n"/>
    </row>
    <row r="105">
      <c r="A105" s="171" t="n">
        <v>645</v>
      </c>
      <c r="B105" s="175" t="inlineStr">
        <is>
          <t>Caja por 500Paños Sontara de 30 x 30 cm celeste</t>
        </is>
      </c>
      <c r="D105" s="240">
        <f>K105*0.93*0.98</f>
        <v/>
      </c>
      <c r="E105" s="239" t="n"/>
      <c r="F105" s="218">
        <f>D105*1.3*1.105</f>
        <v/>
      </c>
      <c r="G105" s="219">
        <f>D105*1.3*1.105/0.9</f>
        <v/>
      </c>
      <c r="H105" s="220">
        <f>G105*1.21</f>
        <v/>
      </c>
      <c r="I105" s="215">
        <f>ROUND(H105/100,0)*100</f>
        <v/>
      </c>
      <c r="K105" s="240" t="n">
        <v>75.94</v>
      </c>
      <c r="L105" s="268" t="n"/>
      <c r="M105" s="268" t="n"/>
      <c r="N105" s="239" t="n"/>
      <c r="S105" s="223" t="n"/>
      <c r="T105" s="223" t="n"/>
      <c r="U105" s="223" t="n"/>
      <c r="V105" s="223" t="n"/>
      <c r="W105" s="223" t="n"/>
      <c r="X105" s="223" t="n"/>
    </row>
    <row r="106">
      <c r="A106" s="186" t="n">
        <v>656</v>
      </c>
      <c r="B106" s="175" t="inlineStr">
        <is>
          <t>Caja por 400 Paños Sontara de 30 x 30 cm Blancos</t>
        </is>
      </c>
      <c r="D106" s="240">
        <f>K106*0.93*0.98</f>
        <v/>
      </c>
      <c r="E106" s="239" t="n"/>
      <c r="F106" s="218">
        <f>D106*1.3*1.105</f>
        <v/>
      </c>
      <c r="G106" s="219">
        <f>D106*1.3*1.105/0.9</f>
        <v/>
      </c>
      <c r="H106" s="220">
        <f>G106*1.21</f>
        <v/>
      </c>
      <c r="I106" s="215">
        <f>ROUND(H106/100,0)*100</f>
        <v/>
      </c>
      <c r="K106" s="240" t="n">
        <v>73.48999999999999</v>
      </c>
      <c r="L106" s="268" t="n"/>
      <c r="M106" s="268" t="n"/>
      <c r="N106" s="239" t="n"/>
      <c r="S106" s="223" t="n"/>
      <c r="T106" s="223" t="n"/>
      <c r="U106" s="223" t="n"/>
      <c r="V106" s="223" t="n"/>
      <c r="W106" s="223" t="n"/>
      <c r="X106" s="223" t="n"/>
    </row>
    <row r="107">
      <c r="A107" s="223" t="n"/>
      <c r="B107" s="175" t="n"/>
      <c r="C107" s="175" t="n"/>
      <c r="D107" s="215" t="n"/>
      <c r="E107" s="223" t="n"/>
      <c r="F107" s="215" t="n"/>
      <c r="G107" s="223" t="n"/>
      <c r="H107" s="223" t="n"/>
      <c r="I107" s="223" t="n"/>
      <c r="K107" s="215" t="n"/>
      <c r="L107" s="223" t="n"/>
      <c r="M107" s="223" t="n"/>
      <c r="N107" s="223" t="n"/>
      <c r="S107" s="223" t="n"/>
      <c r="T107" s="223" t="n"/>
      <c r="U107" s="223" t="n"/>
      <c r="V107" s="223" t="n"/>
      <c r="W107" s="223" t="n"/>
      <c r="X107" s="223" t="n"/>
    </row>
    <row r="108">
      <c r="A108" s="223" t="n"/>
      <c r="B108" s="175" t="n"/>
      <c r="C108" s="223" t="n"/>
      <c r="D108" s="215" t="n"/>
      <c r="E108" s="223" t="n"/>
      <c r="F108" s="215" t="n"/>
      <c r="G108" s="223" t="n"/>
      <c r="H108" s="223" t="n"/>
      <c r="I108" s="223" t="n"/>
      <c r="K108" s="215" t="n"/>
      <c r="L108" s="223" t="n"/>
      <c r="M108" s="223" t="n"/>
      <c r="N108" s="223" t="n"/>
      <c r="S108" s="223" t="n"/>
      <c r="T108" s="223" t="n"/>
      <c r="U108" s="223" t="n"/>
      <c r="V108" s="223" t="n"/>
      <c r="W108" s="223" t="n"/>
      <c r="X108" s="223" t="n"/>
    </row>
    <row r="109">
      <c r="A109" s="223" t="n"/>
      <c r="B109" s="175" t="n"/>
      <c r="C109" s="223" t="n"/>
      <c r="D109" s="215" t="n"/>
      <c r="E109" s="223" t="n"/>
      <c r="F109" s="215" t="n"/>
      <c r="G109" s="223" t="n"/>
      <c r="H109" s="223" t="n"/>
      <c r="I109" s="223" t="n"/>
      <c r="K109" s="215" t="n"/>
      <c r="L109" s="223" t="n"/>
      <c r="M109" s="223" t="n"/>
      <c r="N109" s="223" t="n"/>
      <c r="S109" s="223" t="n"/>
      <c r="T109" s="223" t="n"/>
      <c r="U109" s="223" t="n"/>
      <c r="V109" s="223" t="n"/>
      <c r="W109" s="223" t="n"/>
      <c r="X109" s="223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E110" s="223" t="n"/>
      <c r="F110" s="215" t="n"/>
      <c r="G110" s="223" t="n"/>
      <c r="H110" s="223" t="n"/>
      <c r="I110" s="223" t="n"/>
      <c r="K110" s="215" t="n"/>
      <c r="L110" s="223" t="n"/>
      <c r="M110" s="223" t="n"/>
      <c r="N110" s="223" t="n"/>
      <c r="S110" s="223" t="n"/>
      <c r="T110" s="223" t="n"/>
      <c r="U110" s="223" t="n"/>
      <c r="V110" s="223" t="n"/>
      <c r="W110" s="223" t="n"/>
      <c r="X110" s="223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E111" s="223" t="n"/>
      <c r="F111" s="215" t="n"/>
      <c r="G111" s="223" t="n"/>
      <c r="H111" s="223" t="n"/>
      <c r="I111" s="223" t="n"/>
      <c r="K111" s="215" t="n"/>
      <c r="L111" s="195" t="n"/>
      <c r="M111" s="223" t="n"/>
      <c r="N111" s="223" t="n"/>
      <c r="S111" s="223" t="n"/>
      <c r="T111" s="223" t="n"/>
      <c r="U111" s="223" t="n"/>
      <c r="V111" s="223" t="n"/>
      <c r="W111" s="223" t="n"/>
      <c r="X111" s="223" t="n"/>
    </row>
    <row r="112">
      <c r="A112" s="248" t="n"/>
      <c r="B112" s="179" t="n"/>
      <c r="C112" s="179" t="n"/>
      <c r="D112" s="215" t="n"/>
      <c r="E112" s="223" t="n"/>
      <c r="F112" s="215" t="n"/>
      <c r="G112" s="223" t="n"/>
      <c r="H112" s="223" t="n"/>
      <c r="I112" s="223" t="n"/>
      <c r="K112" s="215" t="n"/>
      <c r="L112" s="223" t="n"/>
      <c r="M112" s="223" t="n"/>
      <c r="N112" s="223" t="n"/>
      <c r="S112" s="223" t="n"/>
      <c r="T112" s="223" t="n"/>
      <c r="U112" s="223" t="n"/>
      <c r="V112" s="223" t="n"/>
      <c r="W112" s="223" t="n"/>
      <c r="X112" s="223" t="n"/>
    </row>
    <row r="113">
      <c r="A113" s="223" t="n"/>
      <c r="B113" s="223" t="n"/>
      <c r="C113" s="223" t="n"/>
      <c r="D113" s="215" t="n"/>
      <c r="E113" s="223" t="n"/>
      <c r="F113" s="215" t="n"/>
      <c r="G113" s="223" t="n"/>
      <c r="H113" s="223" t="n"/>
      <c r="I113" s="223" t="n"/>
      <c r="K113" s="223" t="n"/>
      <c r="L113" s="223" t="n"/>
      <c r="M113" s="223" t="n"/>
      <c r="N113" s="223" t="n"/>
      <c r="S113" s="223" t="n"/>
      <c r="T113" s="223" t="n"/>
      <c r="U113" s="223" t="n"/>
      <c r="V113" s="223" t="n"/>
      <c r="W113" s="223" t="n"/>
      <c r="X113" s="223" t="n"/>
    </row>
    <row r="114">
      <c r="A114" s="223" t="n"/>
      <c r="B114" s="223" t="n"/>
      <c r="C114" s="223" t="n"/>
      <c r="D114" s="215" t="n"/>
      <c r="E114" s="223" t="n"/>
      <c r="F114" s="215" t="n"/>
      <c r="G114" s="223" t="n"/>
      <c r="H114" s="223" t="n"/>
      <c r="I114" s="223" t="n"/>
      <c r="K114" s="223" t="n"/>
      <c r="L114" s="223" t="n"/>
      <c r="M114" s="223" t="n"/>
      <c r="N114" s="223" t="n"/>
      <c r="S114" s="223" t="n"/>
      <c r="T114" s="223" t="n"/>
      <c r="U114" s="223" t="n"/>
      <c r="V114" s="223" t="n"/>
      <c r="W114" s="223" t="n"/>
      <c r="X114" s="223" t="n"/>
    </row>
    <row r="115">
      <c r="D115" s="87" t="n"/>
      <c r="F115" s="87" t="n"/>
    </row>
    <row r="116">
      <c r="D116" s="87" t="n"/>
      <c r="F116" s="87" t="n"/>
    </row>
    <row r="117">
      <c r="D117" s="87" t="n"/>
      <c r="F117" s="87" t="n"/>
    </row>
    <row r="118">
      <c r="D118" s="87" t="n"/>
      <c r="F118" s="87" t="n"/>
    </row>
    <row r="119">
      <c r="D119" s="87" t="n"/>
      <c r="F119" s="87" t="n"/>
    </row>
    <row r="120">
      <c r="D120" s="87" t="n"/>
      <c r="F120" s="87" t="n"/>
    </row>
    <row r="121">
      <c r="D121" s="87" t="n"/>
      <c r="F121" s="87" t="n"/>
    </row>
    <row r="122">
      <c r="D122" s="87" t="n"/>
      <c r="F122" s="87" t="n"/>
    </row>
    <row r="123">
      <c r="D123" s="87" t="n"/>
      <c r="F123" s="87" t="n"/>
    </row>
    <row r="124">
      <c r="D124" s="87" t="n"/>
      <c r="F124" s="87" t="n"/>
    </row>
    <row r="125">
      <c r="D125" s="87" t="n"/>
      <c r="F125" s="87" t="n"/>
    </row>
    <row r="126">
      <c r="D126" s="87" t="n"/>
      <c r="F126" s="87" t="n"/>
    </row>
    <row r="127">
      <c r="D127" s="87" t="n"/>
      <c r="F127" s="87" t="n"/>
    </row>
    <row r="128">
      <c r="D128" s="87" t="n"/>
      <c r="F128" s="87" t="n"/>
    </row>
    <row r="129">
      <c r="D129" s="87" t="n"/>
      <c r="F129" s="87" t="n"/>
    </row>
    <row r="130">
      <c r="D130" s="87" t="n"/>
      <c r="F130" s="87" t="n"/>
    </row>
    <row r="131">
      <c r="D131" s="87" t="n"/>
      <c r="F131" s="87" t="n"/>
    </row>
    <row r="132">
      <c r="D132" s="87" t="n"/>
      <c r="F132" s="87" t="n"/>
    </row>
    <row r="133">
      <c r="D133" s="87" t="n"/>
      <c r="F133" s="87" t="n"/>
    </row>
    <row r="134">
      <c r="D134" s="87" t="n"/>
      <c r="F134" s="87" t="n"/>
    </row>
    <row r="135">
      <c r="D135" s="87" t="n"/>
      <c r="F135" s="87" t="n"/>
    </row>
    <row r="136">
      <c r="D136" s="87" t="n"/>
      <c r="F136" s="87" t="n"/>
    </row>
    <row r="137">
      <c r="D137" s="87" t="n"/>
      <c r="F137" s="87" t="n"/>
    </row>
    <row r="138">
      <c r="D138" s="87" t="n"/>
      <c r="F138" s="87" t="n"/>
    </row>
    <row r="139">
      <c r="D139" s="87" t="n"/>
      <c r="F139" s="87" t="n"/>
    </row>
    <row r="140">
      <c r="D140" s="87" t="n"/>
      <c r="F140" s="87" t="n"/>
    </row>
    <row r="141">
      <c r="D141" s="87" t="n"/>
      <c r="F141" s="87" t="n"/>
    </row>
    <row r="142">
      <c r="D142" s="87" t="n"/>
      <c r="F142" s="87" t="n"/>
    </row>
    <row r="143">
      <c r="D143" s="87" t="n"/>
      <c r="F143" s="87" t="n"/>
    </row>
    <row r="144">
      <c r="D144" s="87" t="n"/>
      <c r="F144" s="87" t="n"/>
    </row>
    <row r="145">
      <c r="D145" s="87" t="n"/>
      <c r="F145" s="87" t="n"/>
    </row>
    <row r="146">
      <c r="D146" s="87" t="n"/>
      <c r="F146" s="87" t="n"/>
    </row>
    <row r="147">
      <c r="D147" s="87" t="n"/>
      <c r="F147" s="87" t="n"/>
    </row>
    <row r="148">
      <c r="D148" s="87" t="n"/>
      <c r="F148" s="87" t="n"/>
    </row>
    <row r="149">
      <c r="D149" s="87" t="n"/>
      <c r="F149" s="87" t="n"/>
    </row>
    <row r="150">
      <c r="D150" s="87" t="n"/>
      <c r="F150" s="87" t="n"/>
    </row>
    <row r="151">
      <c r="D151" s="87" t="n"/>
      <c r="F151" s="87" t="n"/>
    </row>
    <row r="152">
      <c r="D152" s="87" t="n"/>
      <c r="F152" s="87" t="n"/>
    </row>
    <row r="153">
      <c r="D153" s="87" t="n"/>
      <c r="F153" s="87" t="n"/>
    </row>
    <row r="154">
      <c r="D154" s="87" t="n"/>
      <c r="F154" s="87" t="n"/>
    </row>
    <row r="155">
      <c r="D155" s="87" t="n"/>
      <c r="F155" s="87" t="n"/>
    </row>
    <row r="156">
      <c r="D156" s="87" t="n"/>
      <c r="F156" s="87" t="n"/>
    </row>
    <row r="157">
      <c r="D157" s="87" t="n"/>
      <c r="F157" s="87" t="n"/>
    </row>
    <row r="158">
      <c r="D158" s="87" t="n"/>
      <c r="F158" s="87" t="n"/>
    </row>
    <row r="159">
      <c r="D159" s="87" t="n"/>
      <c r="F159" s="87" t="n"/>
    </row>
    <row r="160">
      <c r="D160" s="87" t="n"/>
      <c r="F160" s="87" t="n"/>
    </row>
    <row r="161">
      <c r="D161" s="87" t="n"/>
      <c r="F161" s="87" t="n"/>
    </row>
    <row r="162">
      <c r="D162" s="87" t="n"/>
      <c r="F162" s="87" t="n"/>
    </row>
    <row r="163">
      <c r="D163" s="87" t="n"/>
      <c r="F163" s="87" t="n"/>
    </row>
    <row r="164">
      <c r="D164" s="87" t="n"/>
      <c r="F164" s="87" t="n"/>
    </row>
    <row r="165">
      <c r="D165" s="87" t="n"/>
      <c r="F165" s="87" t="n"/>
    </row>
    <row r="166">
      <c r="D166" s="87" t="n"/>
      <c r="F166" s="87" t="n"/>
    </row>
    <row r="167">
      <c r="D167" s="87" t="n"/>
      <c r="F167" s="87" t="n"/>
    </row>
    <row r="168">
      <c r="D168" s="87" t="n"/>
      <c r="F168" s="87" t="n"/>
    </row>
    <row r="169">
      <c r="D169" s="87" t="n"/>
      <c r="F169" s="87" t="n"/>
    </row>
    <row r="170">
      <c r="D170" s="87" t="n"/>
      <c r="F170" s="87" t="n"/>
    </row>
    <row r="171">
      <c r="D171" s="87" t="n"/>
      <c r="F171" s="87" t="n"/>
    </row>
    <row r="172">
      <c r="D172" s="87" t="n"/>
      <c r="F172" s="87" t="n"/>
    </row>
    <row r="173">
      <c r="D173" s="87" t="n"/>
      <c r="F173" s="87" t="n"/>
    </row>
    <row r="174">
      <c r="D174" s="87" t="n"/>
      <c r="F174" s="87" t="n"/>
    </row>
    <row r="175">
      <c r="D175" s="87" t="n"/>
      <c r="F175" s="87" t="n"/>
    </row>
    <row r="176">
      <c r="D176" s="87" t="n"/>
      <c r="F176" s="87" t="n"/>
    </row>
    <row r="177">
      <c r="D177" s="87" t="n"/>
      <c r="F177" s="87" t="n"/>
    </row>
    <row r="178">
      <c r="D178" s="87" t="n"/>
      <c r="F178" s="87" t="n"/>
    </row>
    <row r="179">
      <c r="D179" s="87" t="n"/>
      <c r="F179" s="87" t="n"/>
    </row>
    <row r="180">
      <c r="D180" s="87" t="n"/>
      <c r="F180" s="87" t="n"/>
    </row>
    <row r="181">
      <c r="D181" s="87" t="n"/>
      <c r="F181" s="87" t="n"/>
    </row>
    <row r="182">
      <c r="D182" s="87" t="n"/>
      <c r="F182" s="87" t="n"/>
    </row>
    <row r="183">
      <c r="D183" s="87" t="n"/>
      <c r="F183" s="87" t="n"/>
    </row>
    <row r="184">
      <c r="D184" s="87" t="n"/>
      <c r="F184" s="87" t="n"/>
    </row>
    <row r="185">
      <c r="D185" s="87" t="n"/>
      <c r="F185" s="87" t="n"/>
    </row>
    <row r="186">
      <c r="D186" s="87" t="n"/>
      <c r="F186" s="87" t="n"/>
    </row>
    <row r="187">
      <c r="D187" s="87" t="n"/>
      <c r="F187" s="87" t="n"/>
    </row>
    <row r="188">
      <c r="D188" s="87" t="n"/>
      <c r="F188" s="87" t="n"/>
    </row>
    <row r="189">
      <c r="D189" s="87" t="n"/>
      <c r="F189" s="87" t="n"/>
    </row>
    <row r="190">
      <c r="D190" s="87" t="n"/>
      <c r="F190" s="87" t="n"/>
    </row>
    <row r="191">
      <c r="D191" s="87" t="n"/>
      <c r="F191" s="87" t="n"/>
    </row>
    <row r="192">
      <c r="D192" s="87" t="n"/>
      <c r="F192" s="87" t="n"/>
    </row>
    <row r="193">
      <c r="D193" s="87" t="n"/>
      <c r="F193" s="87" t="n"/>
    </row>
    <row r="194">
      <c r="D194" s="87" t="n"/>
      <c r="F194" s="87" t="n"/>
    </row>
    <row r="195">
      <c r="D195" s="87" t="n"/>
      <c r="F195" s="87" t="n"/>
    </row>
    <row r="196">
      <c r="D196" s="87" t="n"/>
      <c r="F196" s="87" t="n"/>
    </row>
    <row r="197">
      <c r="D197" s="87" t="n"/>
      <c r="F197" s="87" t="n"/>
    </row>
    <row r="198">
      <c r="D198" s="87" t="n"/>
      <c r="F198" s="87" t="n"/>
    </row>
    <row r="199">
      <c r="D199" s="87" t="n"/>
      <c r="F199" s="87" t="n"/>
    </row>
    <row r="200">
      <c r="D200" s="87" t="n"/>
      <c r="F200" s="87" t="n"/>
    </row>
    <row r="201">
      <c r="D201" s="87" t="n"/>
      <c r="F201" s="87" t="n"/>
    </row>
    <row r="202">
      <c r="D202" s="87" t="n"/>
      <c r="F202" s="87" t="n"/>
    </row>
    <row r="203">
      <c r="D203" s="87" t="n"/>
      <c r="F203" s="87" t="n"/>
    </row>
    <row r="204">
      <c r="D204" s="87" t="n"/>
      <c r="F204" s="87" t="n"/>
    </row>
    <row r="205">
      <c r="D205" s="87" t="n"/>
      <c r="F205" s="87" t="n"/>
    </row>
    <row r="206">
      <c r="D206" s="87" t="n"/>
      <c r="F206" s="87" t="n"/>
    </row>
    <row r="207">
      <c r="D207" s="87" t="n"/>
      <c r="F207" s="87" t="n"/>
    </row>
    <row r="208">
      <c r="D208" s="87" t="n"/>
      <c r="F208" s="87" t="n"/>
    </row>
    <row r="209">
      <c r="D209" s="87" t="n"/>
      <c r="F209" s="87" t="n"/>
    </row>
    <row r="210">
      <c r="D210" s="87" t="n"/>
      <c r="F210" s="87" t="n"/>
    </row>
    <row r="211">
      <c r="D211" s="87" t="n"/>
      <c r="F211" s="87" t="n"/>
    </row>
    <row r="212">
      <c r="D212" s="87" t="n"/>
      <c r="F212" s="87" t="n"/>
    </row>
    <row r="213">
      <c r="D213" s="87" t="n"/>
      <c r="F213" s="87" t="n"/>
    </row>
    <row r="214">
      <c r="D214" s="87" t="n"/>
      <c r="F214" s="87" t="n"/>
    </row>
    <row r="215">
      <c r="D215" s="87" t="n"/>
      <c r="F215" s="87" t="n"/>
    </row>
    <row r="216">
      <c r="D216" s="87" t="n"/>
      <c r="F216" s="87" t="n"/>
    </row>
    <row r="217">
      <c r="D217" s="87" t="n"/>
      <c r="F217" s="87" t="n"/>
    </row>
    <row r="218">
      <c r="D218" s="87" t="n"/>
      <c r="F218" s="87" t="n"/>
    </row>
    <row r="219">
      <c r="D219" s="87" t="n"/>
      <c r="F219" s="87" t="n"/>
    </row>
    <row r="220">
      <c r="D220" s="87" t="n"/>
      <c r="F220" s="87" t="n"/>
    </row>
    <row r="221">
      <c r="D221" s="87" t="n"/>
      <c r="F221" s="87" t="n"/>
    </row>
    <row r="222">
      <c r="D222" s="87" t="n"/>
      <c r="F222" s="87" t="n"/>
    </row>
    <row r="223">
      <c r="D223" s="87" t="n"/>
      <c r="F223" s="87" t="n"/>
    </row>
    <row r="224">
      <c r="D224" s="87" t="n"/>
      <c r="F224" s="87" t="n"/>
    </row>
    <row r="225">
      <c r="D225" s="87" t="n"/>
      <c r="F225" s="87" t="n"/>
    </row>
    <row r="226">
      <c r="D226" s="87" t="n"/>
      <c r="F226" s="87" t="n"/>
    </row>
    <row r="227">
      <c r="D227" s="87" t="n"/>
      <c r="F227" s="87" t="n"/>
    </row>
    <row r="228">
      <c r="D228" s="87" t="n"/>
      <c r="F228" s="87" t="n"/>
    </row>
    <row r="229">
      <c r="D229" s="87" t="n"/>
      <c r="F229" s="87" t="n"/>
    </row>
    <row r="230">
      <c r="D230" s="87" t="n"/>
      <c r="F230" s="87" t="n"/>
    </row>
    <row r="231">
      <c r="D231" s="87" t="n"/>
      <c r="F231" s="87" t="n"/>
    </row>
    <row r="232">
      <c r="D232" s="87" t="n"/>
      <c r="F232" s="87" t="n"/>
    </row>
    <row r="233">
      <c r="D233" s="87" t="n"/>
      <c r="F233" s="87" t="n"/>
    </row>
    <row r="234">
      <c r="D234" s="87" t="n"/>
      <c r="F234" s="87" t="n"/>
    </row>
    <row r="235">
      <c r="D235" s="87" t="n"/>
      <c r="F235" s="87" t="n"/>
    </row>
    <row r="236">
      <c r="D236" s="87" t="n"/>
      <c r="F236" s="87" t="n"/>
    </row>
    <row r="237">
      <c r="D237" s="87" t="n"/>
      <c r="F237" s="87" t="n"/>
    </row>
    <row r="238">
      <c r="D238" s="87" t="n"/>
      <c r="F238" s="87" t="n"/>
    </row>
    <row r="239">
      <c r="D239" s="87" t="n"/>
      <c r="F239" s="87" t="n"/>
    </row>
    <row r="240">
      <c r="D240" s="87" t="n"/>
      <c r="F240" s="87" t="n"/>
    </row>
    <row r="241">
      <c r="D241" s="87" t="n"/>
      <c r="F241" s="87" t="n"/>
    </row>
    <row r="242">
      <c r="D242" s="87" t="n"/>
      <c r="F242" s="87" t="n"/>
    </row>
    <row r="243">
      <c r="D243" s="87" t="n"/>
      <c r="F243" s="87" t="n"/>
    </row>
    <row r="244">
      <c r="D244" s="87" t="n"/>
      <c r="F244" s="87" t="n"/>
    </row>
    <row r="245">
      <c r="D245" s="87" t="n"/>
      <c r="F245" s="87" t="n"/>
    </row>
    <row r="246">
      <c r="D246" s="87" t="n"/>
      <c r="F246" s="87" t="n"/>
    </row>
    <row r="247">
      <c r="D247" s="87" t="n"/>
      <c r="F247" s="87" t="n"/>
    </row>
    <row r="248">
      <c r="D248" s="87" t="n"/>
      <c r="F248" s="87" t="n"/>
    </row>
    <row r="249">
      <c r="D249" s="87" t="n"/>
      <c r="F249" s="87" t="n"/>
    </row>
    <row r="250">
      <c r="D250" s="87" t="n"/>
      <c r="F250" s="87" t="n"/>
    </row>
    <row r="251">
      <c r="D251" s="87" t="n"/>
      <c r="F251" s="87" t="n"/>
    </row>
    <row r="252">
      <c r="D252" s="87" t="n"/>
      <c r="F252" s="87" t="n"/>
    </row>
    <row r="253">
      <c r="D253" s="87" t="n"/>
      <c r="F253" s="87" t="n"/>
    </row>
    <row r="254">
      <c r="D254" s="87" t="n"/>
      <c r="F254" s="87" t="n"/>
    </row>
    <row r="255">
      <c r="D255" s="87" t="n"/>
      <c r="F255" s="87" t="n"/>
    </row>
    <row r="256">
      <c r="D256" s="87" t="n"/>
      <c r="F256" s="87" t="n"/>
    </row>
    <row r="257">
      <c r="D257" s="87" t="n"/>
      <c r="F257" s="87" t="n"/>
    </row>
    <row r="258">
      <c r="D258" s="87" t="n"/>
      <c r="F258" s="87" t="n"/>
    </row>
    <row r="259">
      <c r="D259" s="87" t="n"/>
      <c r="F259" s="87" t="n"/>
    </row>
    <row r="260">
      <c r="D260" s="87" t="n"/>
      <c r="F260" s="87" t="n"/>
    </row>
    <row r="261">
      <c r="D261" s="87" t="n"/>
      <c r="F261" s="87" t="n"/>
    </row>
    <row r="262">
      <c r="D262" s="87" t="n"/>
      <c r="F262" s="87" t="n"/>
    </row>
    <row r="263">
      <c r="D263" s="87" t="n"/>
      <c r="F263" s="87" t="n"/>
    </row>
    <row r="264">
      <c r="D264" s="87" t="n"/>
      <c r="F264" s="87" t="n"/>
    </row>
    <row r="265">
      <c r="D265" s="87" t="n"/>
      <c r="F265" s="87" t="n"/>
    </row>
    <row r="266">
      <c r="D266" s="87" t="n"/>
      <c r="F266" s="87" t="n"/>
    </row>
    <row r="267">
      <c r="D267" s="87" t="n"/>
      <c r="F267" s="87" t="n"/>
    </row>
    <row r="268">
      <c r="D268" s="87" t="n"/>
      <c r="F268" s="87" t="n"/>
    </row>
    <row r="269">
      <c r="D269" s="87" t="n"/>
      <c r="F269" s="87" t="n"/>
    </row>
    <row r="270">
      <c r="D270" s="87" t="n"/>
      <c r="F270" s="87" t="n"/>
    </row>
    <row r="271">
      <c r="D271" s="87" t="n"/>
      <c r="F271" s="87" t="n"/>
    </row>
    <row r="272">
      <c r="D272" s="87" t="n"/>
      <c r="F272" s="87" t="n"/>
    </row>
    <row r="273">
      <c r="D273" s="87" t="n"/>
      <c r="F273" s="87" t="n"/>
    </row>
    <row r="274">
      <c r="D274" s="87" t="n"/>
      <c r="F274" s="87" t="n"/>
    </row>
    <row r="275">
      <c r="D275" s="87" t="n"/>
      <c r="F275" s="87" t="n"/>
    </row>
    <row r="276">
      <c r="D276" s="87" t="n"/>
      <c r="F276" s="87" t="n"/>
    </row>
    <row r="277">
      <c r="D277" s="87" t="n"/>
      <c r="F277" s="87" t="n"/>
    </row>
    <row r="278">
      <c r="D278" s="87" t="n"/>
      <c r="F278" s="87" t="n"/>
    </row>
    <row r="279">
      <c r="D279" s="87" t="n"/>
      <c r="F279" s="87" t="n"/>
    </row>
    <row r="280">
      <c r="D280" s="87" t="n"/>
      <c r="F280" s="87" t="n"/>
    </row>
    <row r="281">
      <c r="D281" s="87" t="n"/>
      <c r="F281" s="87" t="n"/>
    </row>
    <row r="282">
      <c r="D282" s="87" t="n"/>
      <c r="F282" s="87" t="n"/>
    </row>
    <row r="283">
      <c r="D283" s="87" t="n"/>
      <c r="F283" s="87" t="n"/>
    </row>
    <row r="284">
      <c r="D284" s="87" t="n"/>
      <c r="F284" s="87" t="n"/>
    </row>
    <row r="285">
      <c r="D285" s="87" t="n"/>
      <c r="F285" s="87" t="n"/>
    </row>
    <row r="286">
      <c r="D286" s="87" t="n"/>
      <c r="F286" s="87" t="n"/>
    </row>
    <row r="287">
      <c r="D287" s="87" t="n"/>
      <c r="F287" s="87" t="n"/>
    </row>
    <row r="288">
      <c r="D288" s="87" t="n"/>
      <c r="F288" s="87" t="n"/>
    </row>
    <row r="289">
      <c r="D289" s="87" t="n"/>
      <c r="F289" s="87" t="n"/>
    </row>
    <row r="290">
      <c r="D290" s="87" t="n"/>
      <c r="F290" s="87" t="n"/>
    </row>
    <row r="291">
      <c r="D291" s="87" t="n"/>
      <c r="F291" s="87" t="n"/>
    </row>
    <row r="292">
      <c r="D292" s="87" t="n"/>
      <c r="F292" s="87" t="n"/>
    </row>
    <row r="293">
      <c r="D293" s="87" t="n"/>
      <c r="F293" s="87" t="n"/>
    </row>
    <row r="294">
      <c r="D294" s="87" t="n"/>
      <c r="F294" s="87" t="n"/>
    </row>
    <row r="295">
      <c r="D295" s="87" t="n"/>
      <c r="F295" s="87" t="n"/>
    </row>
    <row r="296">
      <c r="D296" s="87" t="n"/>
      <c r="F296" s="87" t="n"/>
    </row>
    <row r="297">
      <c r="D297" s="87" t="n"/>
      <c r="F297" s="87" t="n"/>
    </row>
    <row r="298">
      <c r="D298" s="87" t="n"/>
      <c r="F298" s="87" t="n"/>
    </row>
    <row r="299">
      <c r="D299" s="87" t="n"/>
      <c r="F299" s="87" t="n"/>
    </row>
    <row r="300">
      <c r="D300" s="87" t="n"/>
      <c r="F300" s="87" t="n"/>
    </row>
    <row r="301">
      <c r="D301" s="87" t="n"/>
      <c r="F301" s="87" t="n"/>
    </row>
    <row r="302">
      <c r="D302" s="87" t="n"/>
      <c r="F302" s="87" t="n"/>
    </row>
    <row r="303">
      <c r="D303" s="87" t="n"/>
      <c r="F303" s="87" t="n"/>
    </row>
    <row r="304">
      <c r="D304" s="87" t="n"/>
      <c r="F304" s="87" t="n"/>
    </row>
    <row r="305">
      <c r="D305" s="87" t="n"/>
      <c r="F305" s="87" t="n"/>
    </row>
    <row r="306">
      <c r="D306" s="87" t="n"/>
      <c r="F306" s="87" t="n"/>
    </row>
    <row r="307">
      <c r="D307" s="87" t="n"/>
      <c r="F307" s="87" t="n"/>
    </row>
    <row r="308">
      <c r="D308" s="87" t="n"/>
      <c r="F308" s="87" t="n"/>
    </row>
    <row r="309">
      <c r="D309" s="87" t="n"/>
      <c r="F309" s="87" t="n"/>
    </row>
    <row r="310">
      <c r="D310" s="87" t="n"/>
      <c r="F310" s="87" t="n"/>
    </row>
    <row r="311">
      <c r="D311" s="87" t="n"/>
      <c r="F311" s="87" t="n"/>
    </row>
    <row r="312">
      <c r="D312" s="87" t="n"/>
      <c r="F312" s="87" t="n"/>
    </row>
    <row r="313">
      <c r="D313" s="87" t="n"/>
      <c r="F313" s="87" t="n"/>
    </row>
    <row r="314">
      <c r="D314" s="87" t="n"/>
      <c r="F314" s="87" t="n"/>
    </row>
    <row r="315">
      <c r="D315" s="87" t="n"/>
      <c r="F315" s="87" t="n"/>
    </row>
    <row r="316">
      <c r="D316" s="87" t="n"/>
      <c r="F316" s="87" t="n"/>
    </row>
    <row r="317">
      <c r="D317" s="87" t="n"/>
      <c r="F317" s="87" t="n"/>
    </row>
    <row r="318">
      <c r="D318" s="87" t="n"/>
      <c r="F318" s="87" t="n"/>
    </row>
    <row r="319">
      <c r="D319" s="87" t="n"/>
      <c r="F319" s="87" t="n"/>
    </row>
    <row r="320">
      <c r="D320" s="87" t="n"/>
      <c r="F320" s="87" t="n"/>
    </row>
    <row r="321">
      <c r="D321" s="87" t="n"/>
      <c r="F321" s="87" t="n"/>
    </row>
    <row r="322">
      <c r="D322" s="87" t="n"/>
      <c r="F322" s="87" t="n"/>
    </row>
    <row r="323">
      <c r="D323" s="87" t="n"/>
      <c r="F323" s="87" t="n"/>
    </row>
    <row r="324">
      <c r="D324" s="87" t="n"/>
      <c r="F324" s="87" t="n"/>
    </row>
    <row r="325">
      <c r="D325" s="87" t="n"/>
      <c r="F325" s="87" t="n"/>
    </row>
    <row r="326">
      <c r="D326" s="87" t="n"/>
      <c r="F326" s="87" t="n"/>
    </row>
    <row r="327">
      <c r="D327" s="87" t="n"/>
      <c r="F327" s="87" t="n"/>
    </row>
    <row r="328">
      <c r="D328" s="87" t="n"/>
      <c r="F328" s="87" t="n"/>
    </row>
    <row r="329">
      <c r="D329" s="87" t="n"/>
      <c r="F329" s="87" t="n"/>
    </row>
    <row r="330">
      <c r="D330" s="87" t="n"/>
      <c r="F330" s="87" t="n"/>
    </row>
    <row r="331">
      <c r="D331" s="87" t="n"/>
      <c r="F331" s="87" t="n"/>
    </row>
    <row r="332">
      <c r="D332" s="87" t="n"/>
      <c r="F332" s="87" t="n"/>
    </row>
    <row r="333">
      <c r="D333" s="87" t="n"/>
      <c r="F333" s="87" t="n"/>
    </row>
    <row r="334">
      <c r="D334" s="87" t="n"/>
      <c r="F334" s="87" t="n"/>
    </row>
    <row r="335">
      <c r="D335" s="87" t="n"/>
      <c r="F335" s="87" t="n"/>
    </row>
    <row r="336">
      <c r="D336" s="87" t="n"/>
      <c r="F336" s="87" t="n"/>
    </row>
    <row r="337">
      <c r="D337" s="87" t="n"/>
      <c r="F337" s="87" t="n"/>
    </row>
    <row r="338">
      <c r="D338" s="87" t="n"/>
      <c r="F338" s="87" t="n"/>
    </row>
    <row r="339">
      <c r="D339" s="87" t="n"/>
      <c r="F339" s="87" t="n"/>
    </row>
    <row r="340">
      <c r="D340" s="87" t="n"/>
      <c r="F340" s="87" t="n"/>
    </row>
    <row r="341">
      <c r="D341" s="87" t="n"/>
      <c r="F341" s="87" t="n"/>
    </row>
    <row r="342">
      <c r="D342" s="87" t="n"/>
      <c r="F342" s="87" t="n"/>
    </row>
    <row r="343">
      <c r="D343" s="87" t="n"/>
      <c r="F343" s="87" t="n"/>
    </row>
    <row r="344">
      <c r="D344" s="87" t="n"/>
      <c r="F344" s="87" t="n"/>
    </row>
    <row r="345">
      <c r="D345" s="87" t="n"/>
      <c r="F345" s="87" t="n"/>
    </row>
    <row r="346">
      <c r="D346" s="87" t="n"/>
      <c r="F346" s="87" t="n"/>
    </row>
    <row r="347">
      <c r="D347" s="87" t="n"/>
      <c r="F347" s="87" t="n"/>
    </row>
    <row r="348">
      <c r="D348" s="87" t="n"/>
      <c r="F348" s="87" t="n"/>
    </row>
    <row r="349">
      <c r="D349" s="87" t="n"/>
      <c r="F349" s="87" t="n"/>
    </row>
    <row r="350">
      <c r="D350" s="87" t="n"/>
      <c r="F350" s="87" t="n"/>
    </row>
    <row r="351">
      <c r="D351" s="87" t="n"/>
      <c r="F351" s="87" t="n"/>
    </row>
    <row r="352">
      <c r="D352" s="87" t="n"/>
      <c r="F352" s="87" t="n"/>
    </row>
    <row r="353">
      <c r="D353" s="87" t="n"/>
      <c r="F353" s="87" t="n"/>
    </row>
    <row r="354">
      <c r="D354" s="87" t="n"/>
      <c r="F354" s="87" t="n"/>
    </row>
    <row r="355">
      <c r="D355" s="87" t="n"/>
      <c r="F355" s="87" t="n"/>
    </row>
    <row r="356">
      <c r="D356" s="87" t="n"/>
      <c r="F356" s="87" t="n"/>
    </row>
    <row r="357">
      <c r="D357" s="87" t="n"/>
      <c r="F357" s="87" t="n"/>
    </row>
    <row r="358">
      <c r="D358" s="87" t="n"/>
      <c r="F358" s="87" t="n"/>
    </row>
    <row r="359">
      <c r="D359" s="87" t="n"/>
      <c r="F359" s="87" t="n"/>
    </row>
    <row r="360">
      <c r="D360" s="87" t="n"/>
      <c r="F360" s="87" t="n"/>
    </row>
    <row r="361">
      <c r="D361" s="87" t="n"/>
      <c r="F361" s="87" t="n"/>
    </row>
    <row r="362">
      <c r="D362" s="87" t="n"/>
      <c r="F362" s="87" t="n"/>
    </row>
    <row r="363">
      <c r="D363" s="87" t="n"/>
      <c r="F363" s="87" t="n"/>
    </row>
    <row r="364">
      <c r="D364" s="87" t="n"/>
      <c r="F364" s="87" t="n"/>
    </row>
    <row r="365">
      <c r="D365" s="87" t="n"/>
      <c r="F365" s="87" t="n"/>
    </row>
    <row r="366">
      <c r="D366" s="87" t="n"/>
      <c r="F366" s="87" t="n"/>
    </row>
    <row r="367">
      <c r="D367" s="87" t="n"/>
      <c r="F367" s="87" t="n"/>
    </row>
    <row r="368">
      <c r="D368" s="87" t="n"/>
      <c r="F368" s="87" t="n"/>
    </row>
    <row r="369">
      <c r="D369" s="87" t="n"/>
      <c r="F369" s="87" t="n"/>
    </row>
    <row r="370">
      <c r="D370" s="87" t="n"/>
      <c r="F370" s="87" t="n"/>
    </row>
    <row r="371">
      <c r="D371" s="87" t="n"/>
      <c r="F371" s="87" t="n"/>
    </row>
    <row r="372">
      <c r="D372" s="87" t="n"/>
      <c r="F372" s="87" t="n"/>
    </row>
    <row r="373">
      <c r="D373" s="87" t="n"/>
      <c r="F373" s="87" t="n"/>
    </row>
    <row r="374">
      <c r="D374" s="87" t="n"/>
      <c r="F374" s="87" t="n"/>
    </row>
    <row r="375">
      <c r="D375" s="87" t="n"/>
      <c r="F375" s="87" t="n"/>
    </row>
    <row r="376">
      <c r="D376" s="87" t="n"/>
      <c r="F376" s="87" t="n"/>
    </row>
    <row r="377">
      <c r="D377" s="87" t="n"/>
      <c r="F377" s="87" t="n"/>
    </row>
    <row r="378">
      <c r="D378" s="87" t="n"/>
      <c r="F378" s="87" t="n"/>
    </row>
    <row r="379">
      <c r="D379" s="87" t="n"/>
      <c r="F379" s="87" t="n"/>
    </row>
    <row r="380">
      <c r="D380" s="87" t="n"/>
      <c r="F380" s="87" t="n"/>
    </row>
    <row r="381">
      <c r="D381" s="87" t="n"/>
      <c r="F381" s="87" t="n"/>
    </row>
    <row r="382">
      <c r="D382" s="87" t="n"/>
      <c r="F382" s="87" t="n"/>
    </row>
    <row r="383">
      <c r="D383" s="87" t="n"/>
      <c r="F383" s="87" t="n"/>
    </row>
    <row r="384">
      <c r="D384" s="87" t="n"/>
      <c r="F384" s="87" t="n"/>
    </row>
    <row r="385">
      <c r="D385" s="87" t="n"/>
      <c r="F385" s="87" t="n"/>
    </row>
    <row r="386">
      <c r="D386" s="87" t="n"/>
      <c r="F386" s="87" t="n"/>
    </row>
    <row r="387">
      <c r="D387" s="87" t="n"/>
      <c r="F387" s="87" t="n"/>
    </row>
    <row r="388">
      <c r="D388" s="87" t="n"/>
      <c r="F388" s="87" t="n"/>
    </row>
    <row r="389">
      <c r="D389" s="87" t="n"/>
      <c r="F389" s="87" t="n"/>
    </row>
    <row r="390">
      <c r="D390" s="87" t="n"/>
      <c r="F390" s="87" t="n"/>
    </row>
    <row r="391">
      <c r="D391" s="87" t="n"/>
      <c r="F391" s="87" t="n"/>
    </row>
    <row r="392">
      <c r="D392" s="87" t="n"/>
      <c r="F392" s="87" t="n"/>
    </row>
    <row r="393">
      <c r="D393" s="87" t="n"/>
      <c r="F393" s="87" t="n"/>
    </row>
    <row r="394">
      <c r="D394" s="87" t="n"/>
      <c r="F394" s="87" t="n"/>
    </row>
    <row r="395">
      <c r="D395" s="87" t="n"/>
      <c r="F395" s="87" t="n"/>
    </row>
    <row r="396">
      <c r="D396" s="87" t="n"/>
      <c r="F396" s="87" t="n"/>
    </row>
    <row r="397">
      <c r="D397" s="87" t="n"/>
      <c r="F397" s="87" t="n"/>
    </row>
    <row r="398">
      <c r="D398" s="87" t="n"/>
      <c r="F398" s="87" t="n"/>
    </row>
    <row r="399">
      <c r="D399" s="87" t="n"/>
      <c r="F399" s="87" t="n"/>
    </row>
    <row r="400">
      <c r="D400" s="87" t="n"/>
      <c r="F400" s="87" t="n"/>
    </row>
    <row r="401">
      <c r="D401" s="87" t="n"/>
      <c r="F401" s="87" t="n"/>
    </row>
    <row r="402">
      <c r="D402" s="87" t="n"/>
      <c r="F402" s="87" t="n"/>
    </row>
    <row r="403">
      <c r="D403" s="87" t="n"/>
      <c r="F403" s="87" t="n"/>
    </row>
    <row r="404">
      <c r="D404" s="87" t="n"/>
      <c r="F404" s="87" t="n"/>
    </row>
    <row r="405">
      <c r="D405" s="87" t="n"/>
      <c r="F405" s="87" t="n"/>
    </row>
    <row r="406">
      <c r="D406" s="87" t="n"/>
      <c r="F406" s="87" t="n"/>
    </row>
    <row r="407">
      <c r="D407" s="87" t="n"/>
      <c r="F407" s="87" t="n"/>
    </row>
    <row r="408">
      <c r="D408" s="87" t="n"/>
      <c r="F408" s="87" t="n"/>
    </row>
    <row r="409">
      <c r="D409" s="87" t="n"/>
      <c r="F409" s="87" t="n"/>
    </row>
    <row r="410">
      <c r="D410" s="87" t="n"/>
      <c r="F410" s="87" t="n"/>
    </row>
    <row r="411">
      <c r="D411" s="87" t="n"/>
      <c r="F411" s="87" t="n"/>
    </row>
    <row r="412">
      <c r="D412" s="87" t="n"/>
      <c r="F412" s="87" t="n"/>
    </row>
    <row r="413">
      <c r="D413" s="87" t="n"/>
      <c r="F413" s="87" t="n"/>
    </row>
    <row r="414">
      <c r="D414" s="87" t="n"/>
      <c r="F414" s="87" t="n"/>
    </row>
    <row r="415">
      <c r="D415" s="87" t="n"/>
      <c r="F415" s="87" t="n"/>
    </row>
    <row r="416">
      <c r="D416" s="87" t="n"/>
      <c r="F416" s="87" t="n"/>
    </row>
    <row r="417">
      <c r="D417" s="87" t="n"/>
      <c r="F417" s="87" t="n"/>
    </row>
    <row r="418">
      <c r="D418" s="87" t="n"/>
      <c r="F418" s="87" t="n"/>
    </row>
    <row r="419">
      <c r="D419" s="87" t="n"/>
      <c r="F419" s="87" t="n"/>
    </row>
    <row r="420">
      <c r="D420" s="87" t="n"/>
      <c r="F420" s="87" t="n"/>
    </row>
    <row r="421">
      <c r="D421" s="87" t="n"/>
      <c r="F421" s="87" t="n"/>
    </row>
    <row r="422">
      <c r="D422" s="87" t="n"/>
      <c r="F422" s="87" t="n"/>
    </row>
    <row r="423">
      <c r="D423" s="87" t="n"/>
      <c r="F423" s="87" t="n"/>
    </row>
    <row r="424">
      <c r="D424" s="87" t="n"/>
      <c r="F424" s="87" t="n"/>
    </row>
    <row r="425">
      <c r="D425" s="87" t="n"/>
      <c r="F425" s="87" t="n"/>
    </row>
    <row r="426">
      <c r="D426" s="87" t="n"/>
      <c r="F426" s="87" t="n"/>
    </row>
    <row r="427">
      <c r="D427" s="87" t="n"/>
      <c r="F427" s="87" t="n"/>
    </row>
    <row r="428">
      <c r="D428" s="87" t="n"/>
      <c r="F428" s="87" t="n"/>
    </row>
    <row r="429">
      <c r="D429" s="87" t="n"/>
      <c r="F429" s="87" t="n"/>
    </row>
    <row r="430">
      <c r="D430" s="87" t="n"/>
      <c r="F430" s="87" t="n"/>
    </row>
    <row r="431">
      <c r="D431" s="87" t="n"/>
      <c r="F431" s="87" t="n"/>
    </row>
    <row r="432">
      <c r="D432" s="87" t="n"/>
      <c r="F432" s="87" t="n"/>
    </row>
    <row r="433">
      <c r="D433" s="87" t="n"/>
      <c r="F433" s="87" t="n"/>
    </row>
    <row r="434">
      <c r="D434" s="87" t="n"/>
      <c r="F434" s="87" t="n"/>
    </row>
    <row r="435">
      <c r="D435" s="87" t="n"/>
      <c r="F435" s="87" t="n"/>
    </row>
    <row r="436">
      <c r="D436" s="87" t="n"/>
      <c r="F436" s="87" t="n"/>
    </row>
    <row r="437">
      <c r="D437" s="87" t="n"/>
      <c r="F437" s="87" t="n"/>
    </row>
    <row r="438">
      <c r="D438" s="87" t="n"/>
      <c r="F438" s="87" t="n"/>
    </row>
    <row r="439">
      <c r="D439" s="87" t="n"/>
      <c r="F439" s="87" t="n"/>
    </row>
    <row r="440">
      <c r="D440" s="87" t="n"/>
      <c r="F440" s="87" t="n"/>
    </row>
    <row r="441">
      <c r="D441" s="87" t="n"/>
      <c r="F441" s="87" t="n"/>
    </row>
    <row r="442">
      <c r="D442" s="87" t="n"/>
      <c r="F442" s="87" t="n"/>
    </row>
    <row r="443">
      <c r="D443" s="87" t="n"/>
      <c r="F443" s="87" t="n"/>
    </row>
    <row r="444">
      <c r="D444" s="87" t="n"/>
      <c r="F444" s="87" t="n"/>
    </row>
    <row r="445">
      <c r="D445" s="87" t="n"/>
      <c r="F445" s="87" t="n"/>
    </row>
    <row r="446">
      <c r="D446" s="87" t="n"/>
      <c r="F446" s="87" t="n"/>
    </row>
    <row r="447">
      <c r="D447" s="87" t="n"/>
      <c r="F447" s="87" t="n"/>
    </row>
    <row r="448">
      <c r="D448" s="87" t="n"/>
      <c r="F448" s="87" t="n"/>
    </row>
    <row r="449">
      <c r="D449" s="87" t="n"/>
      <c r="F449" s="87" t="n"/>
    </row>
    <row r="450">
      <c r="D450" s="87" t="n"/>
      <c r="F450" s="87" t="n"/>
    </row>
    <row r="451">
      <c r="D451" s="87" t="n"/>
      <c r="F451" s="87" t="n"/>
    </row>
    <row r="452">
      <c r="D452" s="87" t="n"/>
      <c r="F452" s="87" t="n"/>
    </row>
    <row r="453">
      <c r="D453" s="87" t="n"/>
      <c r="F453" s="87" t="n"/>
    </row>
    <row r="454">
      <c r="D454" s="87" t="n"/>
      <c r="F454" s="87" t="n"/>
    </row>
    <row r="455">
      <c r="D455" s="87" t="n"/>
      <c r="F455" s="87" t="n"/>
    </row>
    <row r="456">
      <c r="D456" s="87" t="n"/>
      <c r="F456" s="87" t="n"/>
    </row>
    <row r="457">
      <c r="D457" s="87" t="n"/>
      <c r="F457" s="87" t="n"/>
    </row>
    <row r="458">
      <c r="D458" s="87" t="n"/>
      <c r="F458" s="87" t="n"/>
    </row>
    <row r="459">
      <c r="D459" s="87" t="n"/>
      <c r="F459" s="87" t="n"/>
    </row>
    <row r="460">
      <c r="D460" s="87" t="n"/>
      <c r="F460" s="87" t="n"/>
    </row>
    <row r="461">
      <c r="D461" s="87" t="n"/>
      <c r="F461" s="87" t="n"/>
    </row>
    <row r="462">
      <c r="D462" s="87" t="n"/>
      <c r="F462" s="87" t="n"/>
    </row>
    <row r="463">
      <c r="D463" s="87" t="n"/>
      <c r="F463" s="87" t="n"/>
    </row>
    <row r="464">
      <c r="D464" s="87" t="n"/>
      <c r="F464" s="87" t="n"/>
    </row>
    <row r="465">
      <c r="D465" s="87" t="n"/>
      <c r="F465" s="87" t="n"/>
    </row>
    <row r="466">
      <c r="D466" s="87" t="n"/>
      <c r="F466" s="87" t="n"/>
    </row>
    <row r="467">
      <c r="D467" s="87" t="n"/>
      <c r="F467" s="87" t="n"/>
    </row>
    <row r="468">
      <c r="D468" s="87" t="n"/>
      <c r="F468" s="87" t="n"/>
    </row>
    <row r="469">
      <c r="D469" s="87" t="n"/>
      <c r="F469" s="87" t="n"/>
    </row>
    <row r="470">
      <c r="D470" s="87" t="n"/>
      <c r="F470" s="87" t="n"/>
    </row>
    <row r="471">
      <c r="D471" s="87" t="n"/>
      <c r="F471" s="87" t="n"/>
    </row>
    <row r="472">
      <c r="D472" s="87" t="n"/>
      <c r="F472" s="87" t="n"/>
    </row>
    <row r="473">
      <c r="D473" s="87" t="n"/>
      <c r="F473" s="87" t="n"/>
    </row>
    <row r="474">
      <c r="D474" s="87" t="n"/>
      <c r="F474" s="87" t="n"/>
    </row>
    <row r="475">
      <c r="D475" s="87" t="n"/>
      <c r="F475" s="87" t="n"/>
    </row>
    <row r="476">
      <c r="D476" s="87" t="n"/>
      <c r="F476" s="87" t="n"/>
    </row>
    <row r="477">
      <c r="D477" s="87" t="n"/>
      <c r="F477" s="87" t="n"/>
    </row>
    <row r="478">
      <c r="D478" s="87" t="n"/>
      <c r="F478" s="87" t="n"/>
    </row>
    <row r="479">
      <c r="D479" s="87" t="n"/>
      <c r="F479" s="87" t="n"/>
    </row>
    <row r="480">
      <c r="D480" s="87" t="n"/>
      <c r="F480" s="87" t="n"/>
    </row>
    <row r="481">
      <c r="D481" s="87" t="n"/>
      <c r="F481" s="87" t="n"/>
    </row>
    <row r="482">
      <c r="D482" s="87" t="n"/>
      <c r="F482" s="87" t="n"/>
    </row>
    <row r="483">
      <c r="D483" s="87" t="n"/>
      <c r="F483" s="87" t="n"/>
    </row>
    <row r="484">
      <c r="D484" s="87" t="n"/>
      <c r="F484" s="87" t="n"/>
    </row>
    <row r="485">
      <c r="D485" s="87" t="n"/>
      <c r="F485" s="87" t="n"/>
    </row>
    <row r="486">
      <c r="D486" s="87" t="n"/>
      <c r="F486" s="87" t="n"/>
    </row>
    <row r="487">
      <c r="D487" s="87" t="n"/>
      <c r="F487" s="87" t="n"/>
    </row>
    <row r="488">
      <c r="D488" s="87" t="n"/>
      <c r="F488" s="87" t="n"/>
    </row>
    <row r="489">
      <c r="D489" s="87" t="n"/>
      <c r="F489" s="87" t="n"/>
    </row>
    <row r="490">
      <c r="D490" s="87" t="n"/>
      <c r="F490" s="87" t="n"/>
    </row>
    <row r="491">
      <c r="D491" s="87" t="n"/>
      <c r="F491" s="87" t="n"/>
    </row>
    <row r="492">
      <c r="D492" s="87" t="n"/>
      <c r="F492" s="87" t="n"/>
    </row>
    <row r="493">
      <c r="D493" s="87" t="n"/>
      <c r="F493" s="87" t="n"/>
    </row>
    <row r="494">
      <c r="D494" s="87" t="n"/>
      <c r="F494" s="87" t="n"/>
    </row>
    <row r="495">
      <c r="D495" s="87" t="n"/>
      <c r="F495" s="87" t="n"/>
    </row>
    <row r="496">
      <c r="D496" s="87" t="n"/>
      <c r="F496" s="87" t="n"/>
    </row>
    <row r="497">
      <c r="D497" s="87" t="n"/>
      <c r="F497" s="87" t="n"/>
    </row>
    <row r="498">
      <c r="D498" s="87" t="n"/>
      <c r="F498" s="87" t="n"/>
    </row>
    <row r="499">
      <c r="D499" s="87" t="n"/>
      <c r="F499" s="87" t="n"/>
    </row>
    <row r="500">
      <c r="D500" s="87" t="n"/>
      <c r="F500" s="87" t="n"/>
    </row>
    <row r="501">
      <c r="D501" s="87" t="n"/>
      <c r="F501" s="87" t="n"/>
    </row>
    <row r="502">
      <c r="D502" s="87" t="n"/>
      <c r="F502" s="87" t="n"/>
    </row>
    <row r="503">
      <c r="D503" s="87" t="n"/>
      <c r="F503" s="87" t="n"/>
    </row>
    <row r="504">
      <c r="D504" s="87" t="n"/>
      <c r="F504" s="87" t="n"/>
    </row>
    <row r="505">
      <c r="D505" s="87" t="n"/>
      <c r="F505" s="87" t="n"/>
    </row>
    <row r="506">
      <c r="D506" s="87" t="n"/>
      <c r="F506" s="87" t="n"/>
    </row>
    <row r="507">
      <c r="D507" s="87" t="n"/>
      <c r="F507" s="87" t="n"/>
    </row>
    <row r="508">
      <c r="D508" s="87" t="n"/>
      <c r="F508" s="87" t="n"/>
    </row>
    <row r="509">
      <c r="D509" s="87" t="n"/>
      <c r="F509" s="87" t="n"/>
    </row>
    <row r="510">
      <c r="D510" s="87" t="n"/>
      <c r="F510" s="87" t="n"/>
    </row>
    <row r="511">
      <c r="D511" s="87" t="n"/>
      <c r="F511" s="87" t="n"/>
    </row>
    <row r="512">
      <c r="D512" s="87" t="n"/>
      <c r="F512" s="87" t="n"/>
    </row>
    <row r="513">
      <c r="D513" s="87" t="n"/>
      <c r="F513" s="87" t="n"/>
    </row>
    <row r="514">
      <c r="D514" s="87" t="n"/>
      <c r="F514" s="87" t="n"/>
    </row>
    <row r="515">
      <c r="D515" s="87" t="n"/>
      <c r="F515" s="87" t="n"/>
    </row>
    <row r="516">
      <c r="D516" s="87" t="n"/>
      <c r="F516" s="87" t="n"/>
    </row>
    <row r="517">
      <c r="D517" s="87" t="n"/>
      <c r="F517" s="87" t="n"/>
    </row>
    <row r="518">
      <c r="D518" s="87" t="n"/>
      <c r="F518" s="87" t="n"/>
    </row>
    <row r="519">
      <c r="D519" s="87" t="n"/>
      <c r="F519" s="87" t="n"/>
    </row>
    <row r="520">
      <c r="D520" s="87" t="n"/>
      <c r="F520" s="87" t="n"/>
    </row>
    <row r="521">
      <c r="D521" s="87" t="n"/>
      <c r="F521" s="87" t="n"/>
    </row>
    <row r="522">
      <c r="D522" s="87" t="n"/>
      <c r="F522" s="87" t="n"/>
    </row>
    <row r="523">
      <c r="D523" s="87" t="n"/>
      <c r="F523" s="87" t="n"/>
    </row>
    <row r="524">
      <c r="D524" s="87" t="n"/>
      <c r="F524" s="87" t="n"/>
    </row>
    <row r="525">
      <c r="D525" s="87" t="n"/>
      <c r="F525" s="87" t="n"/>
    </row>
    <row r="526">
      <c r="D526" s="87" t="n"/>
      <c r="F526" s="87" t="n"/>
    </row>
    <row r="527">
      <c r="D527" s="87" t="n"/>
      <c r="F527" s="87" t="n"/>
    </row>
    <row r="528">
      <c r="D528" s="87" t="n"/>
      <c r="F528" s="87" t="n"/>
    </row>
    <row r="529">
      <c r="D529" s="87" t="n"/>
      <c r="F529" s="87" t="n"/>
    </row>
    <row r="530">
      <c r="D530" s="87" t="n"/>
      <c r="F530" s="87" t="n"/>
    </row>
    <row r="531">
      <c r="D531" s="87" t="n"/>
      <c r="F531" s="87" t="n"/>
    </row>
    <row r="532">
      <c r="D532" s="87" t="n"/>
      <c r="F532" s="87" t="n"/>
    </row>
    <row r="533">
      <c r="D533" s="87" t="n"/>
      <c r="F533" s="87" t="n"/>
    </row>
    <row r="534">
      <c r="D534" s="87" t="n"/>
      <c r="F534" s="87" t="n"/>
    </row>
    <row r="535">
      <c r="D535" s="87" t="n"/>
      <c r="F535" s="87" t="n"/>
    </row>
    <row r="536">
      <c r="D536" s="87" t="n"/>
      <c r="F536" s="87" t="n"/>
    </row>
    <row r="537">
      <c r="D537" s="87" t="n"/>
      <c r="F537" s="87" t="n"/>
    </row>
    <row r="538">
      <c r="D538" s="87" t="n"/>
      <c r="F538" s="87" t="n"/>
    </row>
    <row r="539">
      <c r="D539" s="87" t="n"/>
      <c r="F539" s="87" t="n"/>
    </row>
    <row r="540">
      <c r="D540" s="87" t="n"/>
      <c r="F540" s="87" t="n"/>
    </row>
    <row r="541">
      <c r="D541" s="87" t="n"/>
      <c r="F541" s="87" t="n"/>
    </row>
    <row r="542">
      <c r="D542" s="87" t="n"/>
      <c r="F542" s="87" t="n"/>
    </row>
    <row r="543">
      <c r="D543" s="87" t="n"/>
      <c r="F543" s="87" t="n"/>
    </row>
    <row r="544">
      <c r="D544" s="87" t="n"/>
      <c r="F544" s="87" t="n"/>
    </row>
    <row r="545">
      <c r="D545" s="87" t="n"/>
      <c r="F545" s="87" t="n"/>
    </row>
    <row r="546">
      <c r="D546" s="87" t="n"/>
      <c r="F546" s="87" t="n"/>
    </row>
    <row r="547">
      <c r="D547" s="87" t="n"/>
      <c r="F547" s="87" t="n"/>
    </row>
    <row r="548">
      <c r="D548" s="87" t="n"/>
      <c r="F548" s="87" t="n"/>
    </row>
    <row r="549">
      <c r="D549" s="87" t="n"/>
      <c r="F549" s="87" t="n"/>
    </row>
    <row r="550">
      <c r="D550" s="87" t="n"/>
      <c r="F550" s="87" t="n"/>
    </row>
    <row r="551">
      <c r="D551" s="87" t="n"/>
      <c r="F551" s="87" t="n"/>
    </row>
    <row r="552">
      <c r="D552" s="87" t="n"/>
      <c r="F552" s="87" t="n"/>
    </row>
    <row r="553">
      <c r="D553" s="87" t="n"/>
      <c r="F553" s="87" t="n"/>
    </row>
    <row r="554">
      <c r="D554" s="87" t="n"/>
      <c r="F554" s="87" t="n"/>
    </row>
    <row r="555">
      <c r="D555" s="87" t="n"/>
      <c r="F555" s="87" t="n"/>
    </row>
    <row r="556">
      <c r="D556" s="87" t="n"/>
      <c r="F556" s="87" t="n"/>
    </row>
    <row r="557">
      <c r="D557" s="87" t="n"/>
      <c r="F557" s="87" t="n"/>
    </row>
    <row r="558">
      <c r="D558" s="87" t="n"/>
      <c r="F558" s="87" t="n"/>
    </row>
    <row r="559">
      <c r="D559" s="87" t="n"/>
      <c r="F559" s="87" t="n"/>
    </row>
    <row r="560">
      <c r="D560" s="87" t="n"/>
      <c r="F560" s="87" t="n"/>
    </row>
    <row r="561">
      <c r="D561" s="87" t="n"/>
      <c r="F561" s="87" t="n"/>
    </row>
    <row r="562">
      <c r="D562" s="87" t="n"/>
      <c r="F562" s="87" t="n"/>
    </row>
    <row r="563">
      <c r="D563" s="87" t="n"/>
      <c r="F563" s="87" t="n"/>
    </row>
    <row r="564">
      <c r="D564" s="87" t="n"/>
      <c r="F564" s="87" t="n"/>
    </row>
    <row r="565">
      <c r="D565" s="87" t="n"/>
      <c r="F565" s="87" t="n"/>
    </row>
    <row r="566">
      <c r="D566" s="87" t="n"/>
      <c r="F566" s="87" t="n"/>
    </row>
    <row r="567">
      <c r="D567" s="87" t="n"/>
      <c r="F567" s="87" t="n"/>
    </row>
    <row r="568">
      <c r="D568" s="87" t="n"/>
      <c r="F568" s="87" t="n"/>
    </row>
    <row r="569">
      <c r="D569" s="87" t="n"/>
      <c r="F569" s="87" t="n"/>
    </row>
    <row r="570">
      <c r="D570" s="87" t="n"/>
      <c r="F570" s="87" t="n"/>
    </row>
    <row r="571">
      <c r="D571" s="87" t="n"/>
      <c r="F571" s="87" t="n"/>
    </row>
    <row r="572">
      <c r="D572" s="87" t="n"/>
      <c r="F572" s="87" t="n"/>
    </row>
    <row r="573">
      <c r="D573" s="87" t="n"/>
      <c r="F573" s="87" t="n"/>
    </row>
    <row r="574">
      <c r="D574" s="87" t="n"/>
      <c r="F574" s="87" t="n"/>
    </row>
    <row r="575">
      <c r="D575" s="87" t="n"/>
      <c r="F575" s="87" t="n"/>
    </row>
    <row r="576">
      <c r="D576" s="87" t="n"/>
      <c r="F576" s="87" t="n"/>
    </row>
    <row r="577">
      <c r="D577" s="87" t="n"/>
      <c r="F577" s="87" t="n"/>
    </row>
    <row r="578">
      <c r="D578" s="87" t="n"/>
      <c r="F578" s="87" t="n"/>
    </row>
    <row r="579">
      <c r="D579" s="87" t="n"/>
      <c r="F579" s="87" t="n"/>
    </row>
    <row r="580">
      <c r="D580" s="87" t="n"/>
      <c r="F580" s="87" t="n"/>
    </row>
    <row r="581">
      <c r="D581" s="87" t="n"/>
      <c r="F581" s="87" t="n"/>
    </row>
    <row r="582">
      <c r="D582" s="87" t="n"/>
      <c r="F582" s="87" t="n"/>
    </row>
    <row r="583">
      <c r="D583" s="87" t="n"/>
      <c r="F583" s="87" t="n"/>
    </row>
    <row r="584">
      <c r="D584" s="87" t="n"/>
      <c r="F584" s="87" t="n"/>
    </row>
    <row r="585">
      <c r="D585" s="87" t="n"/>
      <c r="F585" s="87" t="n"/>
    </row>
    <row r="586">
      <c r="D586" s="87" t="n"/>
      <c r="F586" s="87" t="n"/>
    </row>
    <row r="587">
      <c r="D587" s="87" t="n"/>
      <c r="F587" s="87" t="n"/>
    </row>
    <row r="588">
      <c r="D588" s="87" t="n"/>
      <c r="F588" s="87" t="n"/>
    </row>
    <row r="589">
      <c r="D589" s="87" t="n"/>
      <c r="F589" s="87" t="n"/>
    </row>
    <row r="590">
      <c r="D590" s="87" t="n"/>
      <c r="F590" s="87" t="n"/>
    </row>
    <row r="591">
      <c r="D591" s="87" t="n"/>
      <c r="F591" s="87" t="n"/>
    </row>
    <row r="592">
      <c r="D592" s="87" t="n"/>
      <c r="F592" s="87" t="n"/>
    </row>
    <row r="593">
      <c r="D593" s="87" t="n"/>
      <c r="F593" s="87" t="n"/>
    </row>
    <row r="594">
      <c r="D594" s="87" t="n"/>
      <c r="F594" s="87" t="n"/>
    </row>
    <row r="595">
      <c r="D595" s="87" t="n"/>
      <c r="F595" s="87" t="n"/>
    </row>
    <row r="596">
      <c r="D596" s="87" t="n"/>
      <c r="F596" s="87" t="n"/>
    </row>
    <row r="597">
      <c r="D597" s="87" t="n"/>
      <c r="F597" s="87" t="n"/>
    </row>
    <row r="598">
      <c r="D598" s="87" t="n"/>
      <c r="F598" s="87" t="n"/>
    </row>
    <row r="599">
      <c r="D599" s="87" t="n"/>
      <c r="F599" s="87" t="n"/>
    </row>
    <row r="600">
      <c r="D600" s="87" t="n"/>
      <c r="F600" s="87" t="n"/>
    </row>
    <row r="601">
      <c r="D601" s="87" t="n"/>
      <c r="F601" s="87" t="n"/>
    </row>
    <row r="602">
      <c r="D602" s="87" t="n"/>
      <c r="F602" s="87" t="n"/>
    </row>
    <row r="603">
      <c r="D603" s="87" t="n"/>
      <c r="F603" s="87" t="n"/>
    </row>
    <row r="604">
      <c r="D604" s="87" t="n"/>
      <c r="F604" s="87" t="n"/>
    </row>
    <row r="605">
      <c r="D605" s="87" t="n"/>
      <c r="F605" s="87" t="n"/>
    </row>
    <row r="606">
      <c r="D606" s="87" t="n"/>
      <c r="F606" s="87" t="n"/>
    </row>
    <row r="607">
      <c r="D607" s="87" t="n"/>
      <c r="F607" s="87" t="n"/>
    </row>
    <row r="608">
      <c r="D608" s="87" t="n"/>
      <c r="F608" s="87" t="n"/>
    </row>
    <row r="609">
      <c r="D609" s="87" t="n"/>
      <c r="F609" s="87" t="n"/>
    </row>
    <row r="610">
      <c r="D610" s="87" t="n"/>
      <c r="F610" s="87" t="n"/>
    </row>
    <row r="611">
      <c r="D611" s="87" t="n"/>
      <c r="F611" s="87" t="n"/>
    </row>
    <row r="612">
      <c r="D612" s="87" t="n"/>
      <c r="F612" s="87" t="n"/>
    </row>
    <row r="613">
      <c r="D613" s="87" t="n"/>
      <c r="F613" s="87" t="n"/>
    </row>
    <row r="614">
      <c r="D614" s="87" t="n"/>
      <c r="F614" s="87" t="n"/>
    </row>
    <row r="615">
      <c r="D615" s="87" t="n"/>
      <c r="F615" s="87" t="n"/>
    </row>
    <row r="616">
      <c r="D616" s="87" t="n"/>
      <c r="F616" s="87" t="n"/>
    </row>
    <row r="617">
      <c r="D617" s="87" t="n"/>
      <c r="F617" s="87" t="n"/>
    </row>
    <row r="618">
      <c r="D618" s="87" t="n"/>
      <c r="F618" s="87" t="n"/>
    </row>
    <row r="619">
      <c r="D619" s="87" t="n"/>
      <c r="F619" s="87" t="n"/>
    </row>
    <row r="620">
      <c r="D620" s="87" t="n"/>
      <c r="F620" s="87" t="n"/>
    </row>
    <row r="621">
      <c r="D621" s="87" t="n"/>
      <c r="F621" s="87" t="n"/>
    </row>
    <row r="622">
      <c r="D622" s="87" t="n"/>
      <c r="F622" s="87" t="n"/>
    </row>
    <row r="623">
      <c r="D623" s="87" t="n"/>
      <c r="F623" s="87" t="n"/>
    </row>
    <row r="624">
      <c r="D624" s="87" t="n"/>
      <c r="F624" s="87" t="n"/>
    </row>
    <row r="625">
      <c r="D625" s="87" t="n"/>
      <c r="F625" s="87" t="n"/>
    </row>
    <row r="626">
      <c r="D626" s="87" t="n"/>
      <c r="F626" s="87" t="n"/>
    </row>
    <row r="627">
      <c r="D627" s="87" t="n"/>
      <c r="F627" s="87" t="n"/>
    </row>
    <row r="628">
      <c r="D628" s="87" t="n"/>
      <c r="F628" s="87" t="n"/>
    </row>
    <row r="629">
      <c r="D629" s="87" t="n"/>
      <c r="F629" s="87" t="n"/>
    </row>
    <row r="630">
      <c r="D630" s="87" t="n"/>
      <c r="F630" s="87" t="n"/>
    </row>
    <row r="631">
      <c r="D631" s="87" t="n"/>
      <c r="F631" s="87" t="n"/>
    </row>
    <row r="632">
      <c r="D632" s="87" t="n"/>
      <c r="F632" s="87" t="n"/>
    </row>
    <row r="633">
      <c r="D633" s="87" t="n"/>
      <c r="F633" s="87" t="n"/>
    </row>
    <row r="634">
      <c r="D634" s="87" t="n"/>
      <c r="F634" s="87" t="n"/>
    </row>
    <row r="635">
      <c r="D635" s="87" t="n"/>
      <c r="F635" s="87" t="n"/>
    </row>
    <row r="636">
      <c r="D636" s="87" t="n"/>
      <c r="F636" s="87" t="n"/>
    </row>
    <row r="637">
      <c r="D637" s="87" t="n"/>
      <c r="F637" s="87" t="n"/>
    </row>
    <row r="638">
      <c r="D638" s="87" t="n"/>
      <c r="F638" s="87" t="n"/>
    </row>
    <row r="639">
      <c r="D639" s="87" t="n"/>
      <c r="F639" s="87" t="n"/>
    </row>
    <row r="640">
      <c r="D640" s="87" t="n"/>
      <c r="F640" s="87" t="n"/>
    </row>
    <row r="641">
      <c r="D641" s="87" t="n"/>
      <c r="F641" s="87" t="n"/>
    </row>
    <row r="642">
      <c r="D642" s="87" t="n"/>
      <c r="F642" s="87" t="n"/>
    </row>
    <row r="643">
      <c r="D643" s="87" t="n"/>
      <c r="F643" s="87" t="n"/>
    </row>
    <row r="644">
      <c r="D644" s="87" t="n"/>
      <c r="F644" s="87" t="n"/>
    </row>
    <row r="645">
      <c r="D645" s="87" t="n"/>
      <c r="F645" s="87" t="n"/>
    </row>
    <row r="646">
      <c r="D646" s="87" t="n"/>
      <c r="F646" s="87" t="n"/>
    </row>
    <row r="647">
      <c r="D647" s="87" t="n"/>
      <c r="F647" s="87" t="n"/>
    </row>
    <row r="648">
      <c r="D648" s="87" t="n"/>
      <c r="F648" s="87" t="n"/>
    </row>
    <row r="649">
      <c r="D649" s="87" t="n"/>
      <c r="F649" s="87" t="n"/>
    </row>
    <row r="650">
      <c r="D650" s="87" t="n"/>
      <c r="F650" s="87" t="n"/>
    </row>
    <row r="651">
      <c r="D651" s="87" t="n"/>
      <c r="F651" s="87" t="n"/>
    </row>
    <row r="652">
      <c r="D652" s="87" t="n"/>
      <c r="F652" s="87" t="n"/>
    </row>
    <row r="653">
      <c r="D653" s="87" t="n"/>
      <c r="F653" s="87" t="n"/>
    </row>
    <row r="654">
      <c r="D654" s="87" t="n"/>
      <c r="F654" s="87" t="n"/>
    </row>
    <row r="655">
      <c r="D655" s="87" t="n"/>
      <c r="F655" s="87" t="n"/>
    </row>
    <row r="656">
      <c r="D656" s="87" t="n"/>
      <c r="F656" s="87" t="n"/>
    </row>
    <row r="657">
      <c r="D657" s="87" t="n"/>
      <c r="F657" s="87" t="n"/>
    </row>
    <row r="658">
      <c r="D658" s="87" t="n"/>
      <c r="F658" s="87" t="n"/>
    </row>
    <row r="659">
      <c r="D659" s="87" t="n"/>
      <c r="F659" s="87" t="n"/>
    </row>
    <row r="660">
      <c r="D660" s="87" t="n"/>
      <c r="F660" s="87" t="n"/>
    </row>
    <row r="661">
      <c r="D661" s="87" t="n"/>
      <c r="F661" s="87" t="n"/>
    </row>
    <row r="662">
      <c r="D662" s="87" t="n"/>
      <c r="F662" s="87" t="n"/>
    </row>
    <row r="663">
      <c r="D663" s="87" t="n"/>
      <c r="F663" s="87" t="n"/>
    </row>
    <row r="664">
      <c r="D664" s="87" t="n"/>
      <c r="F664" s="87" t="n"/>
    </row>
    <row r="665">
      <c r="D665" s="87" t="n"/>
      <c r="F665" s="87" t="n"/>
    </row>
    <row r="666">
      <c r="D666" s="87" t="n"/>
      <c r="F666" s="87" t="n"/>
    </row>
    <row r="667">
      <c r="D667" s="87" t="n"/>
      <c r="F667" s="87" t="n"/>
    </row>
    <row r="668">
      <c r="D668" s="87" t="n"/>
      <c r="F668" s="87" t="n"/>
    </row>
    <row r="669">
      <c r="D669" s="87" t="n"/>
      <c r="F669" s="87" t="n"/>
    </row>
    <row r="670">
      <c r="D670" s="87" t="n"/>
      <c r="F670" s="87" t="n"/>
    </row>
    <row r="671">
      <c r="D671" s="87" t="n"/>
      <c r="F671" s="87" t="n"/>
    </row>
    <row r="672">
      <c r="D672" s="87" t="n"/>
      <c r="F672" s="87" t="n"/>
    </row>
    <row r="673">
      <c r="D673" s="87" t="n"/>
      <c r="F673" s="87" t="n"/>
    </row>
    <row r="674">
      <c r="D674" s="87" t="n"/>
      <c r="F674" s="87" t="n"/>
    </row>
    <row r="675">
      <c r="D675" s="87" t="n"/>
      <c r="F675" s="87" t="n"/>
    </row>
    <row r="676">
      <c r="D676" s="87" t="n"/>
      <c r="F676" s="87" t="n"/>
    </row>
    <row r="677">
      <c r="D677" s="87" t="n"/>
      <c r="F677" s="87" t="n"/>
    </row>
    <row r="678">
      <c r="D678" s="87" t="n"/>
      <c r="F678" s="87" t="n"/>
    </row>
    <row r="679">
      <c r="D679" s="87" t="n"/>
      <c r="F679" s="87" t="n"/>
    </row>
    <row r="680">
      <c r="D680" s="87" t="n"/>
      <c r="F680" s="87" t="n"/>
    </row>
    <row r="681">
      <c r="D681" s="87" t="n"/>
      <c r="F681" s="87" t="n"/>
    </row>
    <row r="682">
      <c r="D682" s="87" t="n"/>
      <c r="F682" s="87" t="n"/>
    </row>
    <row r="683">
      <c r="D683" s="87" t="n"/>
      <c r="F683" s="87" t="n"/>
    </row>
    <row r="684">
      <c r="D684" s="87" t="n"/>
      <c r="F684" s="87" t="n"/>
    </row>
    <row r="685">
      <c r="D685" s="87" t="n"/>
      <c r="F685" s="87" t="n"/>
    </row>
    <row r="686">
      <c r="D686" s="87" t="n"/>
      <c r="F686" s="87" t="n"/>
    </row>
    <row r="687">
      <c r="D687" s="87" t="n"/>
      <c r="F687" s="87" t="n"/>
    </row>
    <row r="688">
      <c r="D688" s="87" t="n"/>
      <c r="F688" s="87" t="n"/>
    </row>
    <row r="689">
      <c r="D689" s="87" t="n"/>
      <c r="F689" s="87" t="n"/>
    </row>
    <row r="690">
      <c r="D690" s="87" t="n"/>
      <c r="F690" s="87" t="n"/>
    </row>
    <row r="691">
      <c r="D691" s="87" t="n"/>
      <c r="F691" s="87" t="n"/>
    </row>
    <row r="692">
      <c r="D692" s="87" t="n"/>
      <c r="F692" s="87" t="n"/>
    </row>
    <row r="693">
      <c r="D693" s="87" t="n"/>
      <c r="F693" s="87" t="n"/>
    </row>
    <row r="694">
      <c r="D694" s="87" t="n"/>
      <c r="F694" s="87" t="n"/>
    </row>
    <row r="695">
      <c r="D695" s="87" t="n"/>
      <c r="F695" s="87" t="n"/>
    </row>
    <row r="696">
      <c r="D696" s="87" t="n"/>
      <c r="F696" s="87" t="n"/>
    </row>
    <row r="697">
      <c r="D697" s="87" t="n"/>
      <c r="F697" s="87" t="n"/>
    </row>
    <row r="698">
      <c r="D698" s="87" t="n"/>
      <c r="F698" s="87" t="n"/>
    </row>
    <row r="699">
      <c r="D699" s="87" t="n"/>
      <c r="F699" s="87" t="n"/>
    </row>
    <row r="700">
      <c r="D700" s="87" t="n"/>
      <c r="F700" s="87" t="n"/>
    </row>
    <row r="701">
      <c r="D701" s="87" t="n"/>
      <c r="F701" s="87" t="n"/>
    </row>
    <row r="702">
      <c r="D702" s="87" t="n"/>
      <c r="F702" s="87" t="n"/>
    </row>
    <row r="703">
      <c r="D703" s="87" t="n"/>
      <c r="F703" s="87" t="n"/>
    </row>
    <row r="704">
      <c r="D704" s="87" t="n"/>
      <c r="F704" s="87" t="n"/>
    </row>
    <row r="705">
      <c r="D705" s="87" t="n"/>
      <c r="F705" s="87" t="n"/>
    </row>
    <row r="706">
      <c r="D706" s="87" t="n"/>
      <c r="F706" s="87" t="n"/>
    </row>
    <row r="707">
      <c r="D707" s="87" t="n"/>
      <c r="F707" s="87" t="n"/>
    </row>
    <row r="708">
      <c r="D708" s="87" t="n"/>
      <c r="F708" s="87" t="n"/>
    </row>
    <row r="709">
      <c r="D709" s="87" t="n"/>
      <c r="F709" s="87" t="n"/>
    </row>
    <row r="710">
      <c r="D710" s="87" t="n"/>
      <c r="F710" s="87" t="n"/>
    </row>
    <row r="711">
      <c r="D711" s="87" t="n"/>
      <c r="F711" s="87" t="n"/>
    </row>
    <row r="712">
      <c r="D712" s="87" t="n"/>
      <c r="F712" s="87" t="n"/>
    </row>
    <row r="713">
      <c r="D713" s="87" t="n"/>
      <c r="F713" s="87" t="n"/>
    </row>
    <row r="714">
      <c r="D714" s="87" t="n"/>
      <c r="F714" s="87" t="n"/>
    </row>
    <row r="715">
      <c r="D715" s="87" t="n"/>
      <c r="F715" s="87" t="n"/>
    </row>
    <row r="716">
      <c r="D716" s="87" t="n"/>
      <c r="F716" s="87" t="n"/>
    </row>
    <row r="717">
      <c r="D717" s="87" t="n"/>
      <c r="F717" s="87" t="n"/>
    </row>
    <row r="718">
      <c r="D718" s="87" t="n"/>
      <c r="F718" s="87" t="n"/>
    </row>
    <row r="719">
      <c r="D719" s="87" t="n"/>
      <c r="F719" s="87" t="n"/>
    </row>
    <row r="720">
      <c r="D720" s="87" t="n"/>
      <c r="F720" s="87" t="n"/>
    </row>
    <row r="721">
      <c r="D721" s="87" t="n"/>
      <c r="F721" s="87" t="n"/>
    </row>
    <row r="722">
      <c r="D722" s="87" t="n"/>
      <c r="F722" s="87" t="n"/>
    </row>
    <row r="723">
      <c r="D723" s="87" t="n"/>
      <c r="F723" s="87" t="n"/>
    </row>
    <row r="724">
      <c r="D724" s="87" t="n"/>
      <c r="F724" s="87" t="n"/>
    </row>
    <row r="725">
      <c r="D725" s="87" t="n"/>
      <c r="F725" s="87" t="n"/>
    </row>
    <row r="726">
      <c r="D726" s="87" t="n"/>
      <c r="F726" s="87" t="n"/>
    </row>
    <row r="727">
      <c r="D727" s="87" t="n"/>
      <c r="F727" s="87" t="n"/>
    </row>
    <row r="728">
      <c r="D728" s="87" t="n"/>
      <c r="F728" s="87" t="n"/>
    </row>
    <row r="729">
      <c r="D729" s="87" t="n"/>
      <c r="F729" s="87" t="n"/>
    </row>
    <row r="730">
      <c r="D730" s="87" t="n"/>
      <c r="F730" s="87" t="n"/>
    </row>
    <row r="731">
      <c r="D731" s="87" t="n"/>
      <c r="F731" s="87" t="n"/>
    </row>
    <row r="732">
      <c r="D732" s="87" t="n"/>
      <c r="F732" s="87" t="n"/>
    </row>
    <row r="733">
      <c r="D733" s="87" t="n"/>
      <c r="F733" s="87" t="n"/>
    </row>
    <row r="734">
      <c r="D734" s="87" t="n"/>
      <c r="F734" s="87" t="n"/>
    </row>
    <row r="735">
      <c r="D735" s="87" t="n"/>
      <c r="F735" s="87" t="n"/>
    </row>
    <row r="736">
      <c r="D736" s="87" t="n"/>
      <c r="F736" s="87" t="n"/>
    </row>
    <row r="737">
      <c r="D737" s="87" t="n"/>
      <c r="F737" s="87" t="n"/>
    </row>
    <row r="738">
      <c r="D738" s="87" t="n"/>
      <c r="F738" s="87" t="n"/>
    </row>
    <row r="739">
      <c r="D739" s="87" t="n"/>
      <c r="F739" s="87" t="n"/>
    </row>
    <row r="740">
      <c r="D740" s="87" t="n"/>
      <c r="F740" s="87" t="n"/>
    </row>
    <row r="741">
      <c r="D741" s="87" t="n"/>
      <c r="F741" s="87" t="n"/>
    </row>
    <row r="742">
      <c r="D742" s="87" t="n"/>
      <c r="F742" s="87" t="n"/>
    </row>
    <row r="743">
      <c r="D743" s="87" t="n"/>
      <c r="F743" s="87" t="n"/>
    </row>
    <row r="744">
      <c r="D744" s="87" t="n"/>
      <c r="F744" s="87" t="n"/>
    </row>
    <row r="745">
      <c r="D745" s="87" t="n"/>
      <c r="F745" s="87" t="n"/>
    </row>
    <row r="746">
      <c r="D746" s="87" t="n"/>
      <c r="F746" s="87" t="n"/>
    </row>
    <row r="747">
      <c r="D747" s="87" t="n"/>
      <c r="F747" s="87" t="n"/>
    </row>
    <row r="748">
      <c r="D748" s="87" t="n"/>
      <c r="F748" s="87" t="n"/>
    </row>
    <row r="749">
      <c r="D749" s="87" t="n"/>
      <c r="F749" s="87" t="n"/>
    </row>
    <row r="750">
      <c r="D750" s="87" t="n"/>
      <c r="F750" s="87" t="n"/>
    </row>
    <row r="751">
      <c r="D751" s="87" t="n"/>
      <c r="F751" s="87" t="n"/>
    </row>
    <row r="752">
      <c r="D752" s="87" t="n"/>
      <c r="F752" s="87" t="n"/>
    </row>
    <row r="753">
      <c r="D753" s="87" t="n"/>
      <c r="F753" s="87" t="n"/>
    </row>
    <row r="754">
      <c r="D754" s="87" t="n"/>
      <c r="F754" s="87" t="n"/>
    </row>
    <row r="755">
      <c r="D755" s="87" t="n"/>
      <c r="F755" s="87" t="n"/>
    </row>
    <row r="756">
      <c r="D756" s="87" t="n"/>
      <c r="F756" s="87" t="n"/>
    </row>
    <row r="757">
      <c r="D757" s="87" t="n"/>
      <c r="F757" s="87" t="n"/>
    </row>
    <row r="758">
      <c r="D758" s="87" t="n"/>
      <c r="F758" s="87" t="n"/>
    </row>
    <row r="759">
      <c r="D759" s="87" t="n"/>
      <c r="F759" s="87" t="n"/>
    </row>
    <row r="760">
      <c r="D760" s="87" t="n"/>
      <c r="F760" s="87" t="n"/>
    </row>
    <row r="761">
      <c r="D761" s="87" t="n"/>
      <c r="F761" s="87" t="n"/>
    </row>
    <row r="762">
      <c r="D762" s="87" t="n"/>
      <c r="F762" s="87" t="n"/>
    </row>
    <row r="763">
      <c r="D763" s="87" t="n"/>
      <c r="F763" s="87" t="n"/>
    </row>
    <row r="764">
      <c r="D764" s="87" t="n"/>
      <c r="F764" s="87" t="n"/>
    </row>
    <row r="765">
      <c r="D765" s="87" t="n"/>
      <c r="F765" s="87" t="n"/>
    </row>
    <row r="766">
      <c r="D766" s="87" t="n"/>
      <c r="F766" s="87" t="n"/>
    </row>
    <row r="767">
      <c r="D767" s="87" t="n"/>
      <c r="F767" s="87" t="n"/>
    </row>
    <row r="768">
      <c r="D768" s="87" t="n"/>
      <c r="F768" s="87" t="n"/>
    </row>
    <row r="769">
      <c r="D769" s="87" t="n"/>
      <c r="F769" s="87" t="n"/>
    </row>
    <row r="770">
      <c r="D770" s="87" t="n"/>
      <c r="F770" s="87" t="n"/>
    </row>
    <row r="771">
      <c r="D771" s="87" t="n"/>
      <c r="F771" s="87" t="n"/>
    </row>
    <row r="772">
      <c r="D772" s="87" t="n"/>
      <c r="F772" s="87" t="n"/>
    </row>
    <row r="773">
      <c r="D773" s="87" t="n"/>
      <c r="F773" s="87" t="n"/>
    </row>
    <row r="774">
      <c r="D774" s="87" t="n"/>
      <c r="F774" s="87" t="n"/>
    </row>
    <row r="775">
      <c r="D775" s="87" t="n"/>
      <c r="F775" s="87" t="n"/>
    </row>
    <row r="776">
      <c r="D776" s="87" t="n"/>
      <c r="F776" s="87" t="n"/>
    </row>
    <row r="777">
      <c r="D777" s="87" t="n"/>
      <c r="F777" s="87" t="n"/>
    </row>
    <row r="778">
      <c r="D778" s="87" t="n"/>
      <c r="F778" s="87" t="n"/>
    </row>
    <row r="779">
      <c r="D779" s="87" t="n"/>
      <c r="F779" s="87" t="n"/>
    </row>
    <row r="780">
      <c r="D780" s="87" t="n"/>
      <c r="F780" s="87" t="n"/>
    </row>
    <row r="781">
      <c r="D781" s="87" t="n"/>
      <c r="F781" s="87" t="n"/>
    </row>
    <row r="782">
      <c r="D782" s="87" t="n"/>
      <c r="F782" s="87" t="n"/>
    </row>
    <row r="783">
      <c r="D783" s="87" t="n"/>
      <c r="F783" s="87" t="n"/>
    </row>
    <row r="784">
      <c r="D784" s="87" t="n"/>
      <c r="F784" s="87" t="n"/>
    </row>
    <row r="785">
      <c r="D785" s="87" t="n"/>
      <c r="F785" s="87" t="n"/>
    </row>
    <row r="786">
      <c r="D786" s="87" t="n"/>
      <c r="F786" s="87" t="n"/>
    </row>
    <row r="787">
      <c r="D787" s="87" t="n"/>
      <c r="F787" s="87" t="n"/>
    </row>
    <row r="788">
      <c r="D788" s="87" t="n"/>
      <c r="F788" s="87" t="n"/>
    </row>
    <row r="789">
      <c r="D789" s="87" t="n"/>
      <c r="F789" s="87" t="n"/>
    </row>
    <row r="790">
      <c r="D790" s="87" t="n"/>
      <c r="F790" s="87" t="n"/>
    </row>
    <row r="791">
      <c r="D791" s="87" t="n"/>
      <c r="F791" s="87" t="n"/>
    </row>
    <row r="792">
      <c r="D792" s="87" t="n"/>
      <c r="F792" s="87" t="n"/>
    </row>
    <row r="793">
      <c r="D793" s="87" t="n"/>
      <c r="F793" s="87" t="n"/>
    </row>
    <row r="794">
      <c r="D794" s="87" t="n"/>
      <c r="F794" s="87" t="n"/>
    </row>
    <row r="795">
      <c r="D795" s="87" t="n"/>
      <c r="F795" s="87" t="n"/>
    </row>
    <row r="796">
      <c r="D796" s="87" t="n"/>
      <c r="F796" s="87" t="n"/>
    </row>
    <row r="797">
      <c r="D797" s="87" t="n"/>
      <c r="F797" s="87" t="n"/>
    </row>
    <row r="798">
      <c r="D798" s="87" t="n"/>
      <c r="F798" s="87" t="n"/>
    </row>
    <row r="799">
      <c r="D799" s="87" t="n"/>
      <c r="F799" s="87" t="n"/>
    </row>
    <row r="800">
      <c r="D800" s="87" t="n"/>
      <c r="F800" s="87" t="n"/>
    </row>
    <row r="801">
      <c r="D801" s="87" t="n"/>
      <c r="F801" s="87" t="n"/>
    </row>
    <row r="802">
      <c r="D802" s="87" t="n"/>
      <c r="F802" s="87" t="n"/>
    </row>
    <row r="803">
      <c r="D803" s="87" t="n"/>
      <c r="F803" s="87" t="n"/>
    </row>
    <row r="804">
      <c r="D804" s="87" t="n"/>
      <c r="F804" s="87" t="n"/>
    </row>
    <row r="805">
      <c r="D805" s="87" t="n"/>
      <c r="F805" s="87" t="n"/>
    </row>
    <row r="806">
      <c r="D806" s="87" t="n"/>
      <c r="F806" s="87" t="n"/>
    </row>
    <row r="807">
      <c r="D807" s="87" t="n"/>
      <c r="F807" s="87" t="n"/>
    </row>
    <row r="808">
      <c r="D808" s="87" t="n"/>
      <c r="F808" s="87" t="n"/>
    </row>
    <row r="809">
      <c r="D809" s="87" t="n"/>
      <c r="F809" s="87" t="n"/>
    </row>
    <row r="810">
      <c r="D810" s="87" t="n"/>
      <c r="F810" s="87" t="n"/>
    </row>
    <row r="811">
      <c r="D811" s="87" t="n"/>
      <c r="F811" s="87" t="n"/>
    </row>
    <row r="812">
      <c r="D812" s="87" t="n"/>
      <c r="F812" s="87" t="n"/>
    </row>
    <row r="813">
      <c r="D813" s="87" t="n"/>
      <c r="F813" s="87" t="n"/>
    </row>
    <row r="814">
      <c r="D814" s="87" t="n"/>
      <c r="F814" s="87" t="n"/>
    </row>
    <row r="815">
      <c r="D815" s="87" t="n"/>
      <c r="F815" s="87" t="n"/>
    </row>
    <row r="816">
      <c r="D816" s="87" t="n"/>
      <c r="F816" s="87" t="n"/>
    </row>
    <row r="817">
      <c r="D817" s="87" t="n"/>
      <c r="F817" s="87" t="n"/>
    </row>
    <row r="818">
      <c r="D818" s="87" t="n"/>
      <c r="F818" s="87" t="n"/>
    </row>
    <row r="819">
      <c r="D819" s="87" t="n"/>
      <c r="F819" s="87" t="n"/>
    </row>
    <row r="820">
      <c r="D820" s="87" t="n"/>
      <c r="F820" s="87" t="n"/>
    </row>
    <row r="821">
      <c r="D821" s="87" t="n"/>
      <c r="F821" s="87" t="n"/>
    </row>
    <row r="822">
      <c r="D822" s="87" t="n"/>
      <c r="F822" s="87" t="n"/>
    </row>
    <row r="823">
      <c r="D823" s="87" t="n"/>
      <c r="F823" s="87" t="n"/>
    </row>
    <row r="824">
      <c r="D824" s="87" t="n"/>
      <c r="F824" s="87" t="n"/>
    </row>
    <row r="825">
      <c r="D825" s="87" t="n"/>
      <c r="F825" s="87" t="n"/>
    </row>
    <row r="826">
      <c r="D826" s="87" t="n"/>
      <c r="F826" s="87" t="n"/>
    </row>
    <row r="827">
      <c r="D827" s="87" t="n"/>
      <c r="F827" s="87" t="n"/>
    </row>
    <row r="828">
      <c r="D828" s="87" t="n"/>
      <c r="F828" s="87" t="n"/>
    </row>
    <row r="829">
      <c r="D829" s="87" t="n"/>
      <c r="F829" s="87" t="n"/>
    </row>
    <row r="830">
      <c r="D830" s="87" t="n"/>
      <c r="F830" s="87" t="n"/>
    </row>
    <row r="831">
      <c r="D831" s="87" t="n"/>
      <c r="F831" s="87" t="n"/>
    </row>
    <row r="832">
      <c r="D832" s="87" t="n"/>
      <c r="F832" s="87" t="n"/>
    </row>
    <row r="833">
      <c r="D833" s="87" t="n"/>
      <c r="F833" s="87" t="n"/>
    </row>
    <row r="834">
      <c r="D834" s="87" t="n"/>
      <c r="F834" s="87" t="n"/>
    </row>
    <row r="835">
      <c r="D835" s="87" t="n"/>
      <c r="F835" s="87" t="n"/>
    </row>
    <row r="836">
      <c r="D836" s="87" t="n"/>
      <c r="F836" s="87" t="n"/>
    </row>
    <row r="837">
      <c r="D837" s="87" t="n"/>
      <c r="F837" s="87" t="n"/>
    </row>
    <row r="838">
      <c r="D838" s="87" t="n"/>
      <c r="F838" s="87" t="n"/>
    </row>
    <row r="839">
      <c r="D839" s="87" t="n"/>
      <c r="F839" s="87" t="n"/>
    </row>
    <row r="840">
      <c r="D840" s="87" t="n"/>
      <c r="F840" s="87" t="n"/>
    </row>
    <row r="841">
      <c r="D841" s="87" t="n"/>
      <c r="F841" s="87" t="n"/>
    </row>
    <row r="842">
      <c r="D842" s="87" t="n"/>
      <c r="F842" s="87" t="n"/>
    </row>
    <row r="843">
      <c r="D843" s="87" t="n"/>
      <c r="F843" s="87" t="n"/>
    </row>
    <row r="844">
      <c r="D844" s="87" t="n"/>
      <c r="F844" s="87" t="n"/>
    </row>
    <row r="845">
      <c r="D845" s="87" t="n"/>
      <c r="F845" s="87" t="n"/>
    </row>
    <row r="846">
      <c r="D846" s="87" t="n"/>
      <c r="F846" s="87" t="n"/>
    </row>
    <row r="847">
      <c r="D847" s="87" t="n"/>
      <c r="F847" s="87" t="n"/>
    </row>
    <row r="848">
      <c r="D848" s="87" t="n"/>
      <c r="F848" s="87" t="n"/>
    </row>
    <row r="849">
      <c r="D849" s="87" t="n"/>
      <c r="F849" s="87" t="n"/>
    </row>
    <row r="850">
      <c r="D850" s="87" t="n"/>
      <c r="F850" s="87" t="n"/>
    </row>
    <row r="851">
      <c r="D851" s="87" t="n"/>
      <c r="F851" s="87" t="n"/>
    </row>
    <row r="852">
      <c r="D852" s="87" t="n"/>
      <c r="F852" s="87" t="n"/>
    </row>
    <row r="853">
      <c r="D853" s="87" t="n"/>
      <c r="F853" s="87" t="n"/>
    </row>
    <row r="854">
      <c r="D854" s="87" t="n"/>
      <c r="F854" s="87" t="n"/>
    </row>
    <row r="855">
      <c r="D855" s="87" t="n"/>
      <c r="F855" s="87" t="n"/>
    </row>
    <row r="856">
      <c r="D856" s="87" t="n"/>
      <c r="F856" s="87" t="n"/>
    </row>
    <row r="857">
      <c r="D857" s="87" t="n"/>
      <c r="F857" s="87" t="n"/>
    </row>
    <row r="858">
      <c r="D858" s="87" t="n"/>
      <c r="F858" s="87" t="n"/>
    </row>
    <row r="859">
      <c r="D859" s="87" t="n"/>
      <c r="F859" s="87" t="n"/>
    </row>
    <row r="860">
      <c r="D860" s="87" t="n"/>
      <c r="F860" s="87" t="n"/>
    </row>
    <row r="861">
      <c r="D861" s="87" t="n"/>
      <c r="F861" s="87" t="n"/>
    </row>
    <row r="862">
      <c r="D862" s="87" t="n"/>
      <c r="F862" s="87" t="n"/>
    </row>
    <row r="863">
      <c r="D863" s="87" t="n"/>
      <c r="F863" s="87" t="n"/>
    </row>
    <row r="864">
      <c r="D864" s="87" t="n"/>
      <c r="F864" s="87" t="n"/>
    </row>
    <row r="865">
      <c r="D865" s="87" t="n"/>
      <c r="F865" s="87" t="n"/>
    </row>
    <row r="866">
      <c r="D866" s="87" t="n"/>
      <c r="F866" s="87" t="n"/>
    </row>
    <row r="867">
      <c r="D867" s="87" t="n"/>
      <c r="F867" s="87" t="n"/>
    </row>
    <row r="868">
      <c r="D868" s="87" t="n"/>
      <c r="F868" s="87" t="n"/>
    </row>
    <row r="869">
      <c r="D869" s="87" t="n"/>
      <c r="F869" s="87" t="n"/>
    </row>
    <row r="870">
      <c r="D870" s="87" t="n"/>
      <c r="F870" s="87" t="n"/>
    </row>
    <row r="871">
      <c r="D871" s="87" t="n"/>
      <c r="F871" s="87" t="n"/>
    </row>
    <row r="872">
      <c r="D872" s="87" t="n"/>
      <c r="F872" s="87" t="n"/>
    </row>
    <row r="873">
      <c r="D873" s="87" t="n"/>
      <c r="F873" s="87" t="n"/>
    </row>
    <row r="874">
      <c r="D874" s="87" t="n"/>
      <c r="F874" s="87" t="n"/>
    </row>
    <row r="875">
      <c r="D875" s="87" t="n"/>
      <c r="F875" s="87" t="n"/>
    </row>
    <row r="876">
      <c r="D876" s="87" t="n"/>
      <c r="F876" s="87" t="n"/>
    </row>
    <row r="877">
      <c r="D877" s="87" t="n"/>
      <c r="F877" s="87" t="n"/>
    </row>
    <row r="878">
      <c r="D878" s="87" t="n"/>
      <c r="F878" s="87" t="n"/>
    </row>
    <row r="879">
      <c r="D879" s="87" t="n"/>
      <c r="F879" s="87" t="n"/>
    </row>
    <row r="880">
      <c r="D880" s="87" t="n"/>
      <c r="F880" s="87" t="n"/>
    </row>
    <row r="881">
      <c r="D881" s="87" t="n"/>
      <c r="F881" s="87" t="n"/>
    </row>
    <row r="882">
      <c r="D882" s="87" t="n"/>
      <c r="F882" s="87" t="n"/>
    </row>
    <row r="883">
      <c r="D883" s="87" t="n"/>
      <c r="F883" s="87" t="n"/>
    </row>
    <row r="884">
      <c r="D884" s="87" t="n"/>
      <c r="F884" s="87" t="n"/>
    </row>
    <row r="885">
      <c r="D885" s="87" t="n"/>
      <c r="F885" s="87" t="n"/>
    </row>
    <row r="886">
      <c r="D886" s="87" t="n"/>
      <c r="F886" s="87" t="n"/>
    </row>
    <row r="887">
      <c r="D887" s="87" t="n"/>
      <c r="F887" s="87" t="n"/>
    </row>
    <row r="888">
      <c r="D888" s="87" t="n"/>
      <c r="F888" s="87" t="n"/>
    </row>
    <row r="889">
      <c r="D889" s="87" t="n"/>
      <c r="F889" s="87" t="n"/>
    </row>
    <row r="890">
      <c r="D890" s="87" t="n"/>
      <c r="F890" s="87" t="n"/>
    </row>
    <row r="891">
      <c r="D891" s="87" t="n"/>
      <c r="F891" s="87" t="n"/>
    </row>
    <row r="892">
      <c r="D892" s="87" t="n"/>
      <c r="F892" s="87" t="n"/>
    </row>
    <row r="893">
      <c r="D893" s="87" t="n"/>
      <c r="F893" s="87" t="n"/>
    </row>
    <row r="894">
      <c r="D894" s="87" t="n"/>
      <c r="F894" s="87" t="n"/>
    </row>
    <row r="895">
      <c r="D895" s="87" t="n"/>
      <c r="F895" s="87" t="n"/>
    </row>
    <row r="896">
      <c r="D896" s="87" t="n"/>
      <c r="F896" s="87" t="n"/>
    </row>
    <row r="897">
      <c r="D897" s="87" t="n"/>
      <c r="F897" s="87" t="n"/>
    </row>
    <row r="898">
      <c r="D898" s="87" t="n"/>
      <c r="F898" s="87" t="n"/>
    </row>
    <row r="899">
      <c r="D899" s="87" t="n"/>
      <c r="F899" s="87" t="n"/>
    </row>
    <row r="900">
      <c r="D900" s="87" t="n"/>
      <c r="F900" s="87" t="n"/>
    </row>
    <row r="901">
      <c r="D901" s="87" t="n"/>
      <c r="F901" s="87" t="n"/>
    </row>
    <row r="902">
      <c r="D902" s="87" t="n"/>
      <c r="F902" s="87" t="n"/>
    </row>
    <row r="903">
      <c r="D903" s="87" t="n"/>
      <c r="F903" s="87" t="n"/>
    </row>
    <row r="904">
      <c r="D904" s="87" t="n"/>
      <c r="F904" s="87" t="n"/>
    </row>
    <row r="905">
      <c r="D905" s="87" t="n"/>
      <c r="F905" s="87" t="n"/>
    </row>
    <row r="906">
      <c r="D906" s="87" t="n"/>
      <c r="F906" s="87" t="n"/>
    </row>
    <row r="907">
      <c r="D907" s="87" t="n"/>
      <c r="F907" s="87" t="n"/>
    </row>
    <row r="908">
      <c r="D908" s="87" t="n"/>
      <c r="F908" s="87" t="n"/>
    </row>
    <row r="909">
      <c r="D909" s="87" t="n"/>
      <c r="F909" s="87" t="n"/>
    </row>
    <row r="910">
      <c r="D910" s="87" t="n"/>
      <c r="F910" s="87" t="n"/>
    </row>
    <row r="911">
      <c r="D911" s="87" t="n"/>
      <c r="F911" s="87" t="n"/>
    </row>
    <row r="912">
      <c r="D912" s="87" t="n"/>
      <c r="F912" s="87" t="n"/>
    </row>
    <row r="913">
      <c r="D913" s="87" t="n"/>
      <c r="F913" s="87" t="n"/>
    </row>
    <row r="914">
      <c r="D914" s="87" t="n"/>
      <c r="F914" s="87" t="n"/>
    </row>
    <row r="915">
      <c r="D915" s="87" t="n"/>
      <c r="F915" s="87" t="n"/>
    </row>
    <row r="916">
      <c r="D916" s="87" t="n"/>
      <c r="F916" s="87" t="n"/>
    </row>
    <row r="917">
      <c r="D917" s="87" t="n"/>
      <c r="F917" s="87" t="n"/>
    </row>
    <row r="918">
      <c r="D918" s="87" t="n"/>
      <c r="F918" s="87" t="n"/>
    </row>
    <row r="919">
      <c r="D919" s="87" t="n"/>
      <c r="F919" s="87" t="n"/>
    </row>
    <row r="920">
      <c r="D920" s="87" t="n"/>
      <c r="F920" s="87" t="n"/>
    </row>
    <row r="921">
      <c r="D921" s="87" t="n"/>
      <c r="F921" s="87" t="n"/>
    </row>
    <row r="922">
      <c r="D922" s="87" t="n"/>
      <c r="F922" s="87" t="n"/>
    </row>
    <row r="923">
      <c r="D923" s="87" t="n"/>
      <c r="F923" s="87" t="n"/>
    </row>
    <row r="924">
      <c r="D924" s="87" t="n"/>
      <c r="F924" s="87" t="n"/>
    </row>
    <row r="925">
      <c r="D925" s="87" t="n"/>
      <c r="F925" s="87" t="n"/>
    </row>
    <row r="926">
      <c r="D926" s="87" t="n"/>
      <c r="F926" s="87" t="n"/>
    </row>
    <row r="927">
      <c r="D927" s="87" t="n"/>
      <c r="F927" s="87" t="n"/>
    </row>
    <row r="928">
      <c r="D928" s="87" t="n"/>
      <c r="F928" s="87" t="n"/>
    </row>
    <row r="929">
      <c r="D929" s="87" t="n"/>
      <c r="F929" s="87" t="n"/>
    </row>
    <row r="930">
      <c r="D930" s="87" t="n"/>
      <c r="F930" s="87" t="n"/>
    </row>
    <row r="931">
      <c r="D931" s="87" t="n"/>
      <c r="F931" s="87" t="n"/>
    </row>
    <row r="932">
      <c r="D932" s="87" t="n"/>
      <c r="F932" s="87" t="n"/>
    </row>
    <row r="933">
      <c r="D933" s="87" t="n"/>
      <c r="F933" s="87" t="n"/>
    </row>
    <row r="934">
      <c r="D934" s="87" t="n"/>
      <c r="F934" s="87" t="n"/>
    </row>
    <row r="935">
      <c r="D935" s="87" t="n"/>
      <c r="F935" s="87" t="n"/>
    </row>
    <row r="936">
      <c r="D936" s="87" t="n"/>
      <c r="F936" s="87" t="n"/>
    </row>
    <row r="937">
      <c r="D937" s="87" t="n"/>
      <c r="F937" s="87" t="n"/>
    </row>
    <row r="938">
      <c r="D938" s="87" t="n"/>
      <c r="F938" s="87" t="n"/>
    </row>
    <row r="939">
      <c r="D939" s="87" t="n"/>
      <c r="F939" s="87" t="n"/>
    </row>
    <row r="940">
      <c r="D940" s="87" t="n"/>
      <c r="F940" s="87" t="n"/>
    </row>
    <row r="941">
      <c r="D941" s="87" t="n"/>
      <c r="F941" s="87" t="n"/>
    </row>
    <row r="942">
      <c r="D942" s="87" t="n"/>
      <c r="F942" s="87" t="n"/>
    </row>
    <row r="943">
      <c r="D943" s="87" t="n"/>
      <c r="F943" s="87" t="n"/>
    </row>
    <row r="944">
      <c r="D944" s="87" t="n"/>
      <c r="F944" s="87" t="n"/>
    </row>
    <row r="945">
      <c r="D945" s="87" t="n"/>
      <c r="F945" s="87" t="n"/>
    </row>
    <row r="946">
      <c r="D946" s="87" t="n"/>
      <c r="F946" s="87" t="n"/>
    </row>
    <row r="947">
      <c r="D947" s="87" t="n"/>
      <c r="F947" s="87" t="n"/>
    </row>
    <row r="948">
      <c r="D948" s="87" t="n"/>
      <c r="F948" s="87" t="n"/>
    </row>
    <row r="949">
      <c r="D949" s="87" t="n"/>
      <c r="F949" s="87" t="n"/>
    </row>
    <row r="950">
      <c r="D950" s="87" t="n"/>
      <c r="F950" s="87" t="n"/>
    </row>
    <row r="951">
      <c r="D951" s="87" t="n"/>
      <c r="F951" s="87" t="n"/>
    </row>
    <row r="952">
      <c r="D952" s="87" t="n"/>
      <c r="F952" s="87" t="n"/>
    </row>
    <row r="953">
      <c r="D953" s="87" t="n"/>
      <c r="F953" s="87" t="n"/>
    </row>
    <row r="954">
      <c r="D954" s="87" t="n"/>
      <c r="F954" s="87" t="n"/>
    </row>
    <row r="955">
      <c r="D955" s="87" t="n"/>
      <c r="F955" s="87" t="n"/>
    </row>
    <row r="956">
      <c r="D956" s="87" t="n"/>
      <c r="F956" s="87" t="n"/>
    </row>
    <row r="957">
      <c r="D957" s="87" t="n"/>
      <c r="F957" s="87" t="n"/>
    </row>
    <row r="958">
      <c r="D958" s="87" t="n"/>
      <c r="F958" s="87" t="n"/>
    </row>
    <row r="959">
      <c r="D959" s="87" t="n"/>
      <c r="F959" s="87" t="n"/>
    </row>
    <row r="960">
      <c r="D960" s="87" t="n"/>
      <c r="F960" s="87" t="n"/>
    </row>
    <row r="961">
      <c r="D961" s="87" t="n"/>
      <c r="F961" s="87" t="n"/>
    </row>
    <row r="962">
      <c r="D962" s="87" t="n"/>
      <c r="F962" s="87" t="n"/>
    </row>
    <row r="963">
      <c r="D963" s="87" t="n"/>
      <c r="F963" s="87" t="n"/>
    </row>
    <row r="964">
      <c r="D964" s="87" t="n"/>
      <c r="F964" s="87" t="n"/>
    </row>
    <row r="965">
      <c r="D965" s="87" t="n"/>
      <c r="F965" s="87" t="n"/>
    </row>
    <row r="966">
      <c r="D966" s="87" t="n"/>
      <c r="F966" s="87" t="n"/>
    </row>
    <row r="967">
      <c r="D967" s="87" t="n"/>
      <c r="F967" s="87" t="n"/>
    </row>
    <row r="968">
      <c r="D968" s="87" t="n"/>
      <c r="F968" s="87" t="n"/>
    </row>
    <row r="969">
      <c r="D969" s="87" t="n"/>
      <c r="F969" s="87" t="n"/>
    </row>
    <row r="970">
      <c r="D970" s="87" t="n"/>
      <c r="F970" s="87" t="n"/>
    </row>
    <row r="971">
      <c r="D971" s="87" t="n"/>
      <c r="F971" s="87" t="n"/>
    </row>
    <row r="972">
      <c r="D972" s="87" t="n"/>
      <c r="F972" s="87" t="n"/>
    </row>
    <row r="973">
      <c r="D973" s="87" t="n"/>
      <c r="F973" s="87" t="n"/>
    </row>
    <row r="974">
      <c r="D974" s="87" t="n"/>
      <c r="F974" s="87" t="n"/>
    </row>
    <row r="975">
      <c r="D975" s="87" t="n"/>
      <c r="F975" s="87" t="n"/>
    </row>
    <row r="976">
      <c r="D976" s="87" t="n"/>
      <c r="F976" s="87" t="n"/>
    </row>
    <row r="977">
      <c r="D977" s="87" t="n"/>
      <c r="F977" s="87" t="n"/>
    </row>
    <row r="978">
      <c r="D978" s="87" t="n"/>
      <c r="F978" s="87" t="n"/>
    </row>
    <row r="979">
      <c r="D979" s="87" t="n"/>
      <c r="F979" s="87" t="n"/>
    </row>
    <row r="980">
      <c r="D980" s="87" t="n"/>
      <c r="F980" s="87" t="n"/>
    </row>
    <row r="981">
      <c r="D981" s="87" t="n"/>
      <c r="F981" s="87" t="n"/>
    </row>
    <row r="982">
      <c r="D982" s="87" t="n"/>
      <c r="F982" s="87" t="n"/>
    </row>
    <row r="983">
      <c r="D983" s="87" t="n"/>
      <c r="F983" s="87" t="n"/>
    </row>
    <row r="984">
      <c r="D984" s="87" t="n"/>
      <c r="F984" s="87" t="n"/>
    </row>
    <row r="985">
      <c r="D985" s="87" t="n"/>
      <c r="F985" s="87" t="n"/>
    </row>
    <row r="986">
      <c r="D986" s="87" t="n"/>
      <c r="F986" s="87" t="n"/>
    </row>
    <row r="987">
      <c r="D987" s="87" t="n"/>
      <c r="F987" s="87" t="n"/>
    </row>
    <row r="988">
      <c r="D988" s="87" t="n"/>
      <c r="F988" s="87" t="n"/>
    </row>
    <row r="989">
      <c r="D989" s="87" t="n"/>
      <c r="F989" s="87" t="n"/>
    </row>
    <row r="990">
      <c r="D990" s="87" t="n"/>
      <c r="F990" s="87" t="n"/>
    </row>
    <row r="991">
      <c r="D991" s="87" t="n"/>
      <c r="F991" s="87" t="n"/>
    </row>
    <row r="992">
      <c r="D992" s="87" t="n"/>
      <c r="F992" s="87" t="n"/>
    </row>
    <row r="993">
      <c r="D993" s="87" t="n"/>
      <c r="F993" s="87" t="n"/>
    </row>
    <row r="994">
      <c r="D994" s="87" t="n"/>
      <c r="F994" s="87" t="n"/>
    </row>
    <row r="995">
      <c r="D995" s="87" t="n"/>
      <c r="F995" s="87" t="n"/>
    </row>
    <row r="996">
      <c r="D996" s="87" t="n"/>
      <c r="F996" s="87" t="n"/>
    </row>
    <row r="997">
      <c r="D997" s="87" t="n"/>
      <c r="F997" s="87" t="n"/>
    </row>
    <row r="998">
      <c r="D998" s="87" t="n"/>
      <c r="F998" s="87" t="n"/>
    </row>
    <row r="999">
      <c r="D999" s="87" t="n"/>
      <c r="F999" s="87" t="n"/>
    </row>
    <row r="1000">
      <c r="D1000" s="87" t="n"/>
      <c r="F1000" s="87" t="n"/>
    </row>
  </sheetData>
  <mergeCells count="66">
    <mergeCell ref="B91:C91"/>
    <mergeCell ref="B97:C97"/>
    <mergeCell ref="A24:B24"/>
    <mergeCell ref="B16:C16"/>
    <mergeCell ref="B54:C54"/>
    <mergeCell ref="B100:C100"/>
    <mergeCell ref="B7:C7"/>
    <mergeCell ref="B90:C90"/>
    <mergeCell ref="B81:C8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B52:C52"/>
    <mergeCell ref="B21:C21"/>
    <mergeCell ref="B48:C48"/>
    <mergeCell ref="B70:C70"/>
    <mergeCell ref="A99:B99"/>
    <mergeCell ref="B42:C42"/>
    <mergeCell ref="A46:B46"/>
    <mergeCell ref="B61:C61"/>
    <mergeCell ref="B101:C101"/>
    <mergeCell ref="B17:C17"/>
    <mergeCell ref="B88:C88"/>
    <mergeCell ref="B8:C8"/>
    <mergeCell ref="B82:C82"/>
    <mergeCell ref="B53:C53"/>
    <mergeCell ref="B73:C73"/>
    <mergeCell ref="B69:C69"/>
    <mergeCell ref="B38:C38"/>
    <mergeCell ref="B44:C44"/>
    <mergeCell ref="B29:C29"/>
    <mergeCell ref="A77:B77"/>
    <mergeCell ref="B19:C19"/>
    <mergeCell ref="B34:C34"/>
    <mergeCell ref="B37:C37"/>
    <mergeCell ref="A111:C111"/>
    <mergeCell ref="B28:C28"/>
    <mergeCell ref="B103:C103"/>
    <mergeCell ref="B41:C41"/>
    <mergeCell ref="B40:C40"/>
    <mergeCell ref="B49:C49"/>
    <mergeCell ref="B92:C92"/>
    <mergeCell ref="B55:C55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79:C79"/>
    <mergeCell ref="B35:C35"/>
    <mergeCell ref="B106:C10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Y99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33" customWidth="1" style="270" min="3" max="3"/>
    <col width="15.13" customWidth="1" style="270" min="8" max="8"/>
  </cols>
  <sheetData>
    <row r="1">
      <c r="A1" s="111" t="inlineStr">
        <is>
          <t>LISTA DE PRECIOS DE PRODUCTOS CELTRAP/JABOCON</t>
        </is>
      </c>
      <c r="D1" s="215" t="n"/>
      <c r="E1" s="223" t="n"/>
      <c r="F1" s="223" t="n"/>
      <c r="G1" s="223" t="n"/>
      <c r="H1" s="223" t="n"/>
      <c r="I1" s="223" t="n"/>
      <c r="K1" s="103" t="n"/>
      <c r="L1" s="103" t="n"/>
      <c r="M1" s="223" t="n"/>
      <c r="N1" s="223" t="n"/>
      <c r="S1" s="223" t="n"/>
      <c r="T1" s="223" t="n"/>
      <c r="U1" s="223" t="n"/>
      <c r="V1" s="223" t="n"/>
      <c r="W1" s="223" t="n"/>
      <c r="X1" s="223" t="n"/>
    </row>
    <row r="2">
      <c r="A2" s="186" t="inlineStr">
        <is>
          <t>VIGENCIA:</t>
        </is>
      </c>
      <c r="B2" s="210" t="n">
        <v>44805</v>
      </c>
      <c r="C2" s="223" t="n"/>
      <c r="D2" s="215" t="n"/>
      <c r="E2" s="223" t="n"/>
      <c r="F2" s="223" t="n"/>
      <c r="G2" s="223" t="n"/>
      <c r="H2" s="223" t="n"/>
      <c r="I2" s="223" t="n"/>
      <c r="K2" s="111" t="n"/>
      <c r="L2" s="103" t="n"/>
      <c r="M2" s="223" t="n"/>
      <c r="N2" s="223" t="n"/>
      <c r="S2" s="223" t="n"/>
      <c r="T2" s="223" t="n"/>
      <c r="U2" s="223" t="n"/>
      <c r="V2" s="223" t="n"/>
      <c r="W2" s="223" t="n"/>
      <c r="X2" s="223" t="n"/>
    </row>
    <row r="3">
      <c r="A3" s="223" t="n"/>
      <c r="B3" s="223" t="n"/>
      <c r="C3" s="223" t="n"/>
      <c r="D3" s="215" t="n"/>
      <c r="E3" s="223" t="n"/>
      <c r="F3" s="223" t="n"/>
      <c r="G3" s="223" t="n"/>
      <c r="H3" s="223" t="n"/>
      <c r="I3" s="223" t="n"/>
      <c r="K3" s="223" t="n"/>
      <c r="L3" s="223" t="n"/>
      <c r="M3" s="223" t="n"/>
      <c r="N3" s="223" t="n"/>
      <c r="S3" s="223" t="n"/>
      <c r="T3" s="223" t="n"/>
      <c r="U3" s="223" t="n"/>
      <c r="V3" s="223" t="n"/>
      <c r="W3" s="223" t="n"/>
      <c r="X3" s="223" t="n"/>
    </row>
    <row r="4">
      <c r="A4" s="211" t="inlineStr">
        <is>
          <t>Artículos</t>
        </is>
      </c>
      <c r="B4" s="223" t="n"/>
      <c r="C4" s="223" t="n"/>
      <c r="D4" s="249" t="inlineStr">
        <is>
          <t>Costo</t>
        </is>
      </c>
      <c r="E4" s="223" t="n"/>
      <c r="F4" s="186" t="inlineStr">
        <is>
          <t xml:space="preserve">Mayorista </t>
        </is>
      </c>
      <c r="G4" s="186" t="inlineStr">
        <is>
          <t xml:space="preserve">Minorista </t>
        </is>
      </c>
      <c r="H4" s="111" t="inlineStr">
        <is>
          <t>Minorista con IVA</t>
        </is>
      </c>
      <c r="I4" s="111" t="inlineStr">
        <is>
          <t>Redondeado</t>
        </is>
      </c>
      <c r="K4" s="188" t="inlineStr">
        <is>
          <t>Lista</t>
        </is>
      </c>
      <c r="L4" s="201" t="n">
        <v>0.1</v>
      </c>
      <c r="M4" s="201" t="n">
        <v>0.15</v>
      </c>
      <c r="N4" s="201" t="n">
        <v>0.2</v>
      </c>
      <c r="S4" s="223" t="n"/>
      <c r="T4" s="223" t="n"/>
      <c r="U4" s="223" t="n"/>
      <c r="V4" s="223" t="n"/>
      <c r="W4" s="223" t="n"/>
      <c r="X4" s="103" t="n"/>
    </row>
    <row r="5">
      <c r="A5" s="131" t="n"/>
      <c r="B5" s="223" t="n"/>
      <c r="C5" s="223" t="n"/>
      <c r="D5" s="215" t="n"/>
      <c r="E5" s="223" t="n"/>
      <c r="F5" s="223" t="n"/>
      <c r="G5" s="223" t="n"/>
      <c r="H5" s="223" t="n"/>
      <c r="I5" s="223" t="n"/>
      <c r="K5" s="188" t="n"/>
      <c r="L5" s="188" t="n"/>
      <c r="M5" s="188" t="n"/>
      <c r="N5" s="188" t="n"/>
      <c r="S5" s="223" t="n"/>
      <c r="T5" s="223" t="n"/>
      <c r="U5" s="223" t="n"/>
      <c r="V5" s="223" t="n"/>
      <c r="W5" s="223" t="n"/>
      <c r="X5" s="103" t="n"/>
    </row>
    <row r="6">
      <c r="A6" s="117" t="inlineStr">
        <is>
          <t>JABONES</t>
        </is>
      </c>
      <c r="B6" s="223" t="n"/>
      <c r="C6" s="223" t="n"/>
      <c r="D6" s="215" t="n"/>
      <c r="E6" s="223" t="n"/>
      <c r="F6" s="223" t="n"/>
      <c r="G6" s="223" t="n"/>
      <c r="H6" s="223" t="n"/>
      <c r="I6" s="223" t="n"/>
      <c r="K6" s="200" t="n"/>
      <c r="L6" s="200" t="n"/>
      <c r="M6" s="200" t="n"/>
      <c r="N6" s="200" t="n"/>
      <c r="S6" s="223" t="n"/>
      <c r="T6" s="223" t="n"/>
      <c r="U6" s="223" t="n"/>
      <c r="V6" s="223" t="n"/>
      <c r="W6" s="223" t="n"/>
      <c r="X6" s="223" t="n"/>
    </row>
    <row r="7">
      <c r="A7" s="124" t="n">
        <v>701</v>
      </c>
      <c r="B7" s="223" t="inlineStr">
        <is>
          <t>Botella 1 lt. Servicio Dilución DMQ</t>
        </is>
      </c>
      <c r="D7" s="215">
        <f>E7*0.93*0.98</f>
        <v/>
      </c>
      <c r="E7" s="238" t="n">
        <v>765.5</v>
      </c>
      <c r="F7" s="215">
        <f>D7*1.3*1.105</f>
        <v/>
      </c>
      <c r="G7" s="215">
        <f>D7*1.3*1.105/0.9</f>
        <v/>
      </c>
      <c r="H7" s="215">
        <f>G7*1.21</f>
        <v/>
      </c>
      <c r="I7" s="215">
        <f>ROUND(H7/100,0)*100</f>
        <v/>
      </c>
      <c r="K7" s="238" t="n">
        <v>777.63</v>
      </c>
      <c r="L7" s="256" t="n">
        <v>699.87</v>
      </c>
      <c r="M7" s="256" t="n">
        <v>660.99</v>
      </c>
      <c r="N7" s="238" t="n">
        <v>765.5</v>
      </c>
      <c r="S7" s="223" t="n"/>
      <c r="T7" s="223" t="n"/>
      <c r="U7" s="223" t="n"/>
      <c r="V7" s="223" t="n"/>
      <c r="W7" s="223" t="n"/>
      <c r="X7" s="223" t="n"/>
    </row>
    <row r="8">
      <c r="A8" s="124" t="n">
        <v>720</v>
      </c>
      <c r="B8" s="223" t="inlineStr">
        <is>
          <t>Bidon x 5 lts. Jabón Líquido Tocador</t>
        </is>
      </c>
      <c r="D8" s="215">
        <f>E8*0.93*0.98</f>
        <v/>
      </c>
      <c r="E8" s="236" t="n">
        <v>2400.87</v>
      </c>
      <c r="F8" s="218">
        <f>D8*1.3*1.105</f>
        <v/>
      </c>
      <c r="G8" s="219">
        <f>D8*1.3*1.105/0.9</f>
        <v/>
      </c>
      <c r="H8" s="220">
        <f>G8*1.21</f>
        <v/>
      </c>
      <c r="I8" s="215">
        <f>ROUND(H8/100,0)*100</f>
        <v/>
      </c>
      <c r="K8" s="236" t="n">
        <v>2438.92</v>
      </c>
      <c r="L8" s="257" t="n">
        <v>2195.03</v>
      </c>
      <c r="M8" s="257" t="n">
        <v>2073.08</v>
      </c>
      <c r="N8" s="236" t="n">
        <v>2400.87</v>
      </c>
      <c r="S8" s="223" t="n"/>
      <c r="T8" s="223" t="n"/>
      <c r="U8" s="223" t="n"/>
      <c r="V8" s="223" t="n"/>
      <c r="W8" s="223" t="n"/>
      <c r="X8" s="223" t="n"/>
    </row>
    <row r="9">
      <c r="A9" s="124" t="n"/>
      <c r="B9" s="223" t="n"/>
      <c r="C9" s="223" t="n"/>
      <c r="D9" s="215">
        <f>E9*0.93*0.98</f>
        <v/>
      </c>
      <c r="E9" s="223" t="n"/>
      <c r="F9" s="222" t="n"/>
      <c r="G9" s="222" t="n"/>
      <c r="H9" s="222" t="n"/>
      <c r="I9" s="223" t="n"/>
      <c r="K9" s="200" t="n"/>
      <c r="L9" s="200" t="n"/>
      <c r="M9" s="200" t="n"/>
      <c r="N9" s="223" t="n"/>
      <c r="S9" s="223" t="n"/>
      <c r="T9" s="223" t="n"/>
      <c r="U9" s="223" t="n"/>
      <c r="V9" s="223" t="n"/>
      <c r="W9" s="223" t="n"/>
      <c r="X9" s="223" t="n"/>
    </row>
    <row r="10">
      <c r="A10" s="117" t="inlineStr">
        <is>
          <t>TOALLAS</t>
        </is>
      </c>
      <c r="B10" s="223" t="n"/>
      <c r="C10" s="223" t="n"/>
      <c r="D10" s="215">
        <f>E10*0.93*0.98</f>
        <v/>
      </c>
      <c r="E10" s="223" t="n"/>
      <c r="F10" s="222" t="n"/>
      <c r="G10" s="222" t="n"/>
      <c r="H10" s="222" t="n"/>
      <c r="I10" s="223" t="n"/>
      <c r="K10" s="200" t="n"/>
      <c r="L10" s="200" t="n"/>
      <c r="M10" s="200" t="n"/>
      <c r="N10" s="223" t="n"/>
      <c r="S10" s="223" t="n"/>
      <c r="T10" s="223" t="n"/>
      <c r="U10" s="223" t="n"/>
      <c r="V10" s="223" t="n"/>
      <c r="W10" s="223" t="n"/>
      <c r="X10" s="223" t="n"/>
    </row>
    <row r="11">
      <c r="A11" s="131" t="n"/>
      <c r="B11" s="223" t="n"/>
      <c r="C11" s="223" t="n"/>
      <c r="D11" s="215">
        <f>E11*0.93*0.98</f>
        <v/>
      </c>
      <c r="E11" s="223" t="n"/>
      <c r="F11" s="222" t="n"/>
      <c r="G11" s="222" t="n"/>
      <c r="H11" s="222" t="n"/>
      <c r="I11" s="223" t="n"/>
      <c r="K11" s="200" t="n"/>
      <c r="L11" s="200" t="n"/>
      <c r="M11" s="200" t="n"/>
      <c r="N11" s="223" t="n"/>
      <c r="S11" s="223" t="n"/>
      <c r="T11" s="223" t="n"/>
      <c r="U11" s="223" t="n"/>
      <c r="V11" s="223" t="n"/>
      <c r="W11" s="223" t="n"/>
      <c r="X11" s="223" t="n"/>
    </row>
    <row r="12">
      <c r="A12" s="182" t="n">
        <v>901</v>
      </c>
      <c r="B12" s="224" t="inlineStr">
        <is>
          <t>Toallas Blancas Super 21x25</t>
        </is>
      </c>
      <c r="C12" s="224" t="n"/>
      <c r="D12" s="227">
        <f>E12*0.93*0.98</f>
        <v/>
      </c>
      <c r="E12" s="238" t="n">
        <v>2848.96</v>
      </c>
      <c r="F12" s="227">
        <f>D12*1.3*1.105</f>
        <v/>
      </c>
      <c r="G12" s="226">
        <f>D12*1.3*1.105/0.9</f>
        <v/>
      </c>
      <c r="H12" s="227">
        <f>G12*1.21</f>
        <v/>
      </c>
      <c r="I12" s="227">
        <f>ROUND(H12/100,0)*100</f>
        <v/>
      </c>
      <c r="J12" s="193" t="n"/>
      <c r="K12" s="238" t="n">
        <v>2894.1</v>
      </c>
      <c r="L12" s="256" t="n">
        <v>2604.69</v>
      </c>
      <c r="M12" s="256" t="n">
        <v>2459.99</v>
      </c>
      <c r="N12" s="238" t="n">
        <v>2848.96</v>
      </c>
      <c r="O12" s="193" t="n"/>
      <c r="P12" s="193" t="n"/>
      <c r="Q12" s="193" t="n"/>
      <c r="R12" s="193" t="n"/>
      <c r="S12" s="224" t="n"/>
      <c r="T12" s="224" t="n"/>
      <c r="U12" s="224" t="n"/>
      <c r="V12" s="224" t="n"/>
      <c r="W12" s="224" t="n"/>
      <c r="X12" s="224" t="n"/>
      <c r="Y12" s="193" t="n"/>
    </row>
    <row r="13">
      <c r="A13" s="124" t="n">
        <v>902</v>
      </c>
      <c r="B13" s="223" t="inlineStr">
        <is>
          <t>Toallas Blancas Pura Simple</t>
        </is>
      </c>
      <c r="C13" s="223" t="n"/>
      <c r="D13" s="215">
        <f>E13*0.93*0.98</f>
        <v/>
      </c>
      <c r="E13" s="236" t="n">
        <v>3158.87</v>
      </c>
      <c r="F13" s="220">
        <f>D13*1.3*1.105</f>
        <v/>
      </c>
      <c r="G13" s="219">
        <f>D13*1.3*1.105/0.9</f>
        <v/>
      </c>
      <c r="H13" s="220">
        <f>G13*1.21</f>
        <v/>
      </c>
      <c r="I13" s="215">
        <f>ROUND(H13/100,0)*100</f>
        <v/>
      </c>
      <c r="K13" s="236" t="n">
        <v>3209.28</v>
      </c>
      <c r="L13" s="257" t="n">
        <v>2888.35</v>
      </c>
      <c r="M13" s="257" t="n">
        <v>2727.89</v>
      </c>
      <c r="N13" s="236" t="n">
        <v>3158.87</v>
      </c>
      <c r="S13" s="223" t="n"/>
      <c r="T13" s="223" t="n"/>
      <c r="U13" s="223" t="n"/>
      <c r="V13" s="223" t="n"/>
      <c r="W13" s="223" t="n"/>
      <c r="X13" s="223" t="n"/>
    </row>
    <row r="14">
      <c r="A14" s="124" t="n">
        <v>903</v>
      </c>
      <c r="B14" s="223" t="inlineStr">
        <is>
          <t>Toallas Blancas Pura Doble</t>
        </is>
      </c>
      <c r="C14" s="223" t="n"/>
      <c r="D14" s="215">
        <f>E14*0.93*0.98</f>
        <v/>
      </c>
      <c r="E14" s="236" t="n">
        <v>3936.7</v>
      </c>
      <c r="F14" s="220">
        <f>D14*1.3*1.105</f>
        <v/>
      </c>
      <c r="G14" s="219">
        <f>D14*1.3*1.105/0.9</f>
        <v/>
      </c>
      <c r="H14" s="220">
        <f>G14*1.21</f>
        <v/>
      </c>
      <c r="I14" s="215">
        <f>ROUND(H14/100,0)*100</f>
        <v/>
      </c>
      <c r="K14" s="236" t="n">
        <v>3999.09</v>
      </c>
      <c r="L14" s="257" t="n">
        <v>3599.18</v>
      </c>
      <c r="M14" s="257" t="n">
        <v>3399.23</v>
      </c>
      <c r="N14" s="236" t="n">
        <v>3936.7</v>
      </c>
      <c r="S14" s="223" t="n"/>
      <c r="T14" s="223" t="n"/>
      <c r="U14" s="223" t="n"/>
      <c r="V14" s="223" t="n"/>
      <c r="W14" s="223" t="n"/>
      <c r="X14" s="223" t="n"/>
    </row>
    <row r="15">
      <c r="A15" s="124" t="n">
        <v>914</v>
      </c>
      <c r="B15" s="223" t="inlineStr">
        <is>
          <t>Toalla Blanca Unitas (17,5x25 cm)</t>
        </is>
      </c>
      <c r="D15" s="215">
        <f>E15*0.93*0.98</f>
        <v/>
      </c>
      <c r="E15" s="236" t="n">
        <v>2170.82</v>
      </c>
      <c r="F15" s="220">
        <f>D15*1.3*1.105</f>
        <v/>
      </c>
      <c r="G15" s="219">
        <f>D15*1.3*1.105/0.9</f>
        <v/>
      </c>
      <c r="H15" s="220">
        <f>G15*1.21</f>
        <v/>
      </c>
      <c r="I15" s="215">
        <f>ROUND(H15/100,0)*100</f>
        <v/>
      </c>
      <c r="K15" s="236" t="n">
        <v>2205.23</v>
      </c>
      <c r="L15" s="257" t="n">
        <v>1984.71</v>
      </c>
      <c r="M15" s="257" t="n">
        <v>1874.45</v>
      </c>
      <c r="N15" s="236" t="n">
        <v>2170.82</v>
      </c>
      <c r="S15" s="223" t="n"/>
      <c r="T15" s="223" t="n"/>
      <c r="U15" s="223" t="n"/>
      <c r="V15" s="223" t="n"/>
      <c r="W15" s="223" t="n"/>
      <c r="X15" s="223" t="n"/>
    </row>
    <row r="16">
      <c r="A16" s="124" t="n">
        <v>916</v>
      </c>
      <c r="B16" s="223" t="inlineStr">
        <is>
          <t>Toalla Blanca Especial 21 x 25 ( tiza )</t>
        </is>
      </c>
      <c r="D16" s="215">
        <f>E16*0.93*0.98</f>
        <v/>
      </c>
      <c r="E16" s="236" t="n">
        <v>2656.96</v>
      </c>
      <c r="F16" s="220">
        <f>D16*1.3*1.105</f>
        <v/>
      </c>
      <c r="G16" s="219">
        <f>D16*1.3*1.105/0.9</f>
        <v/>
      </c>
      <c r="H16" s="220">
        <f>G16*1.21</f>
        <v/>
      </c>
      <c r="I16" s="215">
        <f>ROUND(H16/100,0)*100</f>
        <v/>
      </c>
      <c r="K16" s="236" t="n">
        <v>2699.06</v>
      </c>
      <c r="L16" s="257" t="n">
        <v>2429.15</v>
      </c>
      <c r="M16" s="257" t="n">
        <v>2294.2</v>
      </c>
      <c r="N16" s="236" t="n">
        <v>2656.96</v>
      </c>
      <c r="S16" s="223" t="n"/>
      <c r="T16" s="223" t="n"/>
      <c r="U16" s="223" t="n"/>
      <c r="V16" s="223" t="n"/>
      <c r="W16" s="223" t="n"/>
      <c r="X16" s="223" t="n"/>
    </row>
    <row r="17">
      <c r="A17" s="124" t="n">
        <v>920</v>
      </c>
      <c r="B17" s="223" t="inlineStr">
        <is>
          <t>Toalla Blanca Especial 21 x 37 ( tiza )</t>
        </is>
      </c>
      <c r="D17" s="215">
        <f>E17*0.93*0.98</f>
        <v/>
      </c>
      <c r="E17" s="236" t="n">
        <v>3624.48</v>
      </c>
      <c r="F17" s="220">
        <f>D17*1.3*1.105</f>
        <v/>
      </c>
      <c r="G17" s="219">
        <f>D17*1.3*1.105/0.9</f>
        <v/>
      </c>
      <c r="H17" s="220">
        <f>G17*1.21</f>
        <v/>
      </c>
      <c r="I17" s="215">
        <f>ROUND(H17/100,0)*100</f>
        <v/>
      </c>
      <c r="K17" s="236" t="n">
        <v>3681.92</v>
      </c>
      <c r="L17" s="257" t="n">
        <v>3313.73</v>
      </c>
      <c r="M17" s="257" t="n">
        <v>3129.63</v>
      </c>
      <c r="N17" s="236" t="n">
        <v>3624.48</v>
      </c>
      <c r="S17" s="223" t="n"/>
      <c r="T17" s="223" t="n"/>
      <c r="U17" s="223" t="n"/>
      <c r="V17" s="223" t="n"/>
      <c r="W17" s="223" t="n"/>
      <c r="X17" s="223" t="n"/>
    </row>
    <row r="18">
      <c r="A18" s="124" t="n">
        <v>927</v>
      </c>
      <c r="B18" s="223" t="inlineStr">
        <is>
          <t>Toalla Blanca Especial 17,5 x 25 ( tiza ) Unita</t>
        </is>
      </c>
      <c r="D18" s="215">
        <f>E18*0.93*0.98</f>
        <v/>
      </c>
      <c r="E18" s="236" t="n">
        <v>2082.74</v>
      </c>
      <c r="F18" s="220">
        <f>D18*1.3*1.105</f>
        <v/>
      </c>
      <c r="G18" s="219">
        <f>D18*1.3*1.105/0.9</f>
        <v/>
      </c>
      <c r="H18" s="220">
        <f>G18*1.21</f>
        <v/>
      </c>
      <c r="I18" s="215">
        <f>ROUND(H18/100,0)*100</f>
        <v/>
      </c>
      <c r="K18" s="236" t="n">
        <v>2115.75</v>
      </c>
      <c r="L18" s="257" t="n">
        <v>1904.18</v>
      </c>
      <c r="M18" s="257" t="n">
        <v>1798.39</v>
      </c>
      <c r="N18" s="236" t="n">
        <v>2082.74</v>
      </c>
      <c r="S18" s="223" t="n"/>
      <c r="T18" s="223" t="n"/>
      <c r="U18" s="223" t="n"/>
      <c r="V18" s="223" t="n"/>
      <c r="W18" s="223" t="n"/>
      <c r="X18" s="223" t="n"/>
    </row>
    <row r="19">
      <c r="A19" s="182" t="n">
        <v>928</v>
      </c>
      <c r="B19" s="224" t="inlineStr">
        <is>
          <t>Cajas x 2500 Toallas Beige 21x37</t>
        </is>
      </c>
      <c r="D19" s="227">
        <f>E19*0.93*0.98</f>
        <v/>
      </c>
      <c r="E19" s="236" t="n">
        <v>3069.64</v>
      </c>
      <c r="F19" s="227">
        <f>D19*1.3*1.105</f>
        <v/>
      </c>
      <c r="G19" s="226">
        <f>D19*1.3*1.105/0.9</f>
        <v/>
      </c>
      <c r="H19" s="227">
        <f>G19*1.21</f>
        <v/>
      </c>
      <c r="I19" s="227">
        <f>ROUND(H19/100,0)*100</f>
        <v/>
      </c>
      <c r="J19" s="193" t="n"/>
      <c r="K19" s="236" t="n">
        <v>3118.29</v>
      </c>
      <c r="L19" s="257" t="n">
        <v>2806.46</v>
      </c>
      <c r="M19" s="257" t="n">
        <v>2650.55</v>
      </c>
      <c r="N19" s="236" t="n">
        <v>3069.64</v>
      </c>
      <c r="O19" s="193" t="n"/>
      <c r="P19" s="193" t="n"/>
      <c r="Q19" s="193" t="n"/>
      <c r="R19" s="193" t="n"/>
      <c r="S19" s="224" t="n"/>
      <c r="T19" s="224" t="n"/>
      <c r="U19" s="224" t="n"/>
      <c r="V19" s="224" t="n"/>
      <c r="W19" s="224" t="n"/>
      <c r="X19" s="224" t="n"/>
      <c r="Y19" s="193" t="n"/>
    </row>
    <row r="20">
      <c r="A20" s="182" t="n">
        <v>930</v>
      </c>
      <c r="B20" s="224" t="inlineStr">
        <is>
          <t>Toalla Blanca Super 21x37 cm</t>
        </is>
      </c>
      <c r="C20" s="224" t="n"/>
      <c r="D20" s="227">
        <f>E20*0.93*0.98</f>
        <v/>
      </c>
      <c r="E20" s="236" t="n">
        <v>3917.78</v>
      </c>
      <c r="F20" s="227">
        <f>D20*1.3*1.105</f>
        <v/>
      </c>
      <c r="G20" s="226">
        <f>D20*1.3*1.105/0.9</f>
        <v/>
      </c>
      <c r="H20" s="227">
        <f>G20*1.21</f>
        <v/>
      </c>
      <c r="I20" s="227">
        <f>ROUND(H20/100,0)*100</f>
        <v/>
      </c>
      <c r="J20" s="193" t="n"/>
      <c r="K20" s="236" t="n">
        <v>3979.87</v>
      </c>
      <c r="L20" s="257" t="n">
        <v>3581.88</v>
      </c>
      <c r="M20" s="257" t="n">
        <v>3382.89</v>
      </c>
      <c r="N20" s="236" t="n">
        <v>3917.78</v>
      </c>
      <c r="O20" s="193" t="n"/>
      <c r="P20" s="193" t="n"/>
      <c r="Q20" s="193" t="n"/>
      <c r="R20" s="193" t="n"/>
      <c r="S20" s="224" t="n"/>
      <c r="T20" s="224" t="n"/>
      <c r="U20" s="224" t="n"/>
      <c r="V20" s="224" t="n"/>
      <c r="W20" s="224" t="n"/>
      <c r="X20" s="224" t="n"/>
      <c r="Y20" s="193" t="n"/>
    </row>
    <row r="21">
      <c r="A21" s="124" t="n">
        <v>931</v>
      </c>
      <c r="B21" s="223" t="inlineStr">
        <is>
          <t>Caja x 2500 Toallas Beige Unitas 17,5 cm x 25 cm</t>
        </is>
      </c>
      <c r="D21" s="215">
        <f>E21*0.93*0.98</f>
        <v/>
      </c>
      <c r="E21" s="236" t="n">
        <v>1916.12</v>
      </c>
      <c r="F21" s="220">
        <f>D21*1.3*1.105</f>
        <v/>
      </c>
      <c r="G21" s="219">
        <f>D21*1.3*1.105/0.9</f>
        <v/>
      </c>
      <c r="H21" s="220">
        <f>G21*1.21</f>
        <v/>
      </c>
      <c r="I21" s="215">
        <f>ROUND(H21/100,0)*100</f>
        <v/>
      </c>
      <c r="K21" s="236" t="n">
        <v>1946.48</v>
      </c>
      <c r="L21" s="257" t="n">
        <v>1751.83</v>
      </c>
      <c r="M21" s="257" t="n">
        <v>1654.51</v>
      </c>
      <c r="N21" s="236" t="n">
        <v>1916.12</v>
      </c>
      <c r="S21" s="223" t="n"/>
      <c r="T21" s="223" t="n"/>
      <c r="U21" s="223" t="n"/>
      <c r="V21" s="223" t="n"/>
      <c r="W21" s="223" t="n"/>
      <c r="X21" s="223" t="n"/>
    </row>
    <row r="22">
      <c r="A22" s="182" t="n">
        <v>932</v>
      </c>
      <c r="B22" s="224" t="inlineStr">
        <is>
          <t>Caja x 2500 Toallas Beige 21 cm x 25 cm simple hoja</t>
        </is>
      </c>
      <c r="D22" s="227">
        <f>E22*0.93*0.98</f>
        <v/>
      </c>
      <c r="E22" s="236" t="n">
        <v>2184.76</v>
      </c>
      <c r="F22" s="227">
        <f>D22*1.3*1.105</f>
        <v/>
      </c>
      <c r="G22" s="227">
        <f>D22*1.3*1.105/0.9</f>
        <v/>
      </c>
      <c r="H22" s="227">
        <f>G22*1.21</f>
        <v/>
      </c>
      <c r="I22" s="227">
        <f>ROUND(H22/100,0)*100</f>
        <v/>
      </c>
      <c r="J22" s="193" t="n"/>
      <c r="K22" s="236" t="n">
        <v>2219.38</v>
      </c>
      <c r="L22" s="257" t="n">
        <v>1997.44</v>
      </c>
      <c r="M22" s="257" t="n">
        <v>1886.47</v>
      </c>
      <c r="N22" s="236" t="n">
        <v>2184.76</v>
      </c>
      <c r="O22" s="193" t="n"/>
      <c r="P22" s="193" t="n"/>
      <c r="Q22" s="193" t="n"/>
      <c r="R22" s="193" t="n"/>
      <c r="S22" s="224" t="n"/>
      <c r="T22" s="224" t="n"/>
      <c r="U22" s="224" t="n"/>
      <c r="V22" s="224" t="n"/>
      <c r="W22" s="224" t="n"/>
      <c r="X22" s="224" t="n"/>
      <c r="Y22" s="193" t="n"/>
    </row>
    <row r="23">
      <c r="A23" s="124" t="n"/>
      <c r="B23" s="223" t="n"/>
      <c r="C23" s="223" t="n"/>
      <c r="D23" s="215">
        <f>E23*0.93*0.98</f>
        <v/>
      </c>
      <c r="E23" s="223" t="n"/>
      <c r="F23" s="222" t="n"/>
      <c r="G23" s="222" t="n"/>
      <c r="H23" s="222" t="n"/>
      <c r="I23" s="223" t="n"/>
      <c r="K23" s="200" t="n"/>
      <c r="L23" s="200" t="n"/>
      <c r="M23" s="200" t="n"/>
      <c r="N23" s="223" t="n"/>
      <c r="S23" s="223" t="n"/>
      <c r="T23" s="223" t="n"/>
      <c r="U23" s="223" t="n"/>
      <c r="V23" s="223" t="n"/>
      <c r="W23" s="223" t="n"/>
      <c r="X23" s="223" t="n"/>
    </row>
    <row r="24">
      <c r="A24" s="117" t="inlineStr">
        <is>
          <t>TOALLAS EN ROLLO</t>
        </is>
      </c>
      <c r="B24" s="271" t="n"/>
      <c r="C24" s="223" t="n"/>
      <c r="D24" s="215">
        <f>E24*0.93*0.98</f>
        <v/>
      </c>
      <c r="E24" s="223" t="n"/>
      <c r="F24" s="222" t="n"/>
      <c r="G24" s="222" t="n"/>
      <c r="H24" s="222" t="n"/>
      <c r="I24" s="223" t="n"/>
      <c r="K24" s="200" t="n"/>
      <c r="L24" s="200" t="n"/>
      <c r="M24" s="200" t="n"/>
      <c r="N24" s="223" t="n"/>
      <c r="S24" s="223" t="n"/>
      <c r="T24" s="223" t="n"/>
      <c r="U24" s="223" t="n"/>
      <c r="V24" s="223" t="n"/>
      <c r="W24" s="223" t="n"/>
      <c r="X24" s="223" t="n"/>
    </row>
    <row r="25">
      <c r="A25" s="131" t="n"/>
      <c r="B25" s="111" t="n"/>
      <c r="C25" s="223" t="n"/>
      <c r="D25" s="215">
        <f>E25*0.93*0.98</f>
        <v/>
      </c>
      <c r="E25" s="223" t="n"/>
      <c r="F25" s="222" t="n"/>
      <c r="G25" s="222" t="n"/>
      <c r="H25" s="222" t="n"/>
      <c r="I25" s="223" t="n"/>
      <c r="K25" s="200" t="n"/>
      <c r="L25" s="200" t="n"/>
      <c r="M25" s="200" t="n"/>
      <c r="N25" s="223" t="n"/>
      <c r="S25" s="223" t="n"/>
      <c r="T25" s="223" t="n"/>
      <c r="U25" s="223" t="n"/>
      <c r="V25" s="223" t="n"/>
      <c r="W25" s="223" t="n"/>
      <c r="X25" s="223" t="n"/>
    </row>
    <row r="26">
      <c r="A26" s="124" t="n">
        <v>204</v>
      </c>
      <c r="B26" s="223" t="inlineStr">
        <is>
          <t>Pack X 2 Rollos de toalla x 300 mts Blanca</t>
        </is>
      </c>
      <c r="D26" s="215">
        <f>E26*0.93*0.98</f>
        <v/>
      </c>
      <c r="E26" s="238" t="n">
        <v>2100.88</v>
      </c>
      <c r="F26" s="218">
        <f>D26*1.3*1.105</f>
        <v/>
      </c>
      <c r="G26" s="219">
        <f>D26*1.3*1.105/0.9</f>
        <v/>
      </c>
      <c r="H26" s="220">
        <f>G26*1.21</f>
        <v/>
      </c>
      <c r="I26" s="215">
        <f>ROUND(H26/100,0)*100</f>
        <v/>
      </c>
      <c r="K26" s="238" t="n">
        <v>2134.17</v>
      </c>
      <c r="L26" s="256" t="n">
        <v>1920.75</v>
      </c>
      <c r="M26" s="256" t="n">
        <v>1814.04</v>
      </c>
      <c r="N26" s="238" t="n">
        <v>2100.88</v>
      </c>
      <c r="S26" s="223" t="n"/>
      <c r="T26" s="223" t="n"/>
      <c r="U26" s="223" t="n"/>
      <c r="V26" s="223" t="n"/>
      <c r="W26" s="223" t="n"/>
      <c r="X26" s="223" t="n"/>
    </row>
    <row r="27">
      <c r="A27" s="124" t="n">
        <v>205</v>
      </c>
      <c r="B27" s="223" t="inlineStr">
        <is>
          <t>Pack X 2 Rollos de toalla x 240 mts Blanca</t>
        </is>
      </c>
      <c r="D27" s="215">
        <f>E27*0.93*0.98</f>
        <v/>
      </c>
      <c r="E27" s="236" t="n">
        <v>1674.32</v>
      </c>
      <c r="F27" s="218">
        <f>D27*1.3*1.105</f>
        <v/>
      </c>
      <c r="G27" s="219">
        <f>D27*1.3*1.105/0.9</f>
        <v/>
      </c>
      <c r="H27" s="220">
        <f>G27*1.21</f>
        <v/>
      </c>
      <c r="I27" s="215">
        <f>ROUND(H27/100,0)*100</f>
        <v/>
      </c>
      <c r="K27" s="236" t="n">
        <v>1700.85</v>
      </c>
      <c r="L27" s="257" t="n">
        <v>1530.77</v>
      </c>
      <c r="M27" s="257" t="n">
        <v>1445.72</v>
      </c>
      <c r="N27" s="236" t="n">
        <v>1674.32</v>
      </c>
      <c r="S27" s="223" t="n"/>
      <c r="T27" s="223" t="n"/>
      <c r="U27" s="223" t="n"/>
      <c r="V27" s="223" t="n"/>
      <c r="W27" s="223" t="n"/>
      <c r="X27" s="223" t="n"/>
    </row>
    <row r="28">
      <c r="A28" s="182" t="n">
        <v>116</v>
      </c>
      <c r="B28" s="224" t="inlineStr">
        <is>
          <t>Pack x 6 Rollos de Toallas x 200 mts. Blanca</t>
        </is>
      </c>
      <c r="D28" s="227">
        <f>E28*0.93*0.98</f>
        <v/>
      </c>
      <c r="E28" s="236" t="n">
        <v>4299.72</v>
      </c>
      <c r="F28" s="228">
        <f>D28*1.3*1.105</f>
        <v/>
      </c>
      <c r="G28" s="226">
        <f>D28*1.3*1.105/0.9</f>
        <v/>
      </c>
      <c r="H28" s="227">
        <f>G28*1.21</f>
        <v/>
      </c>
      <c r="I28" s="227">
        <f>ROUND(H28/100,0)*100</f>
        <v/>
      </c>
      <c r="J28" s="193" t="n"/>
      <c r="K28" s="236" t="n">
        <v>4367.85</v>
      </c>
      <c r="L28" s="257" t="n">
        <v>3931.07</v>
      </c>
      <c r="M28" s="257" t="n">
        <v>3712.67</v>
      </c>
      <c r="N28" s="236" t="n">
        <v>4299.72</v>
      </c>
      <c r="O28" s="193" t="n"/>
      <c r="P28" s="193" t="n"/>
      <c r="Q28" s="193" t="n"/>
      <c r="R28" s="193" t="n"/>
      <c r="S28" s="224" t="n"/>
      <c r="T28" s="224" t="n"/>
      <c r="U28" s="224" t="n"/>
      <c r="V28" s="224" t="n"/>
      <c r="W28" s="224" t="n"/>
      <c r="X28" s="224" t="n"/>
      <c r="Y28" s="193" t="n"/>
    </row>
    <row r="29">
      <c r="A29" s="124" t="n">
        <v>135</v>
      </c>
      <c r="B29" s="223" t="inlineStr">
        <is>
          <t>Recarga Original P/Dispenser Celmatic 2500 U. Dobles</t>
        </is>
      </c>
      <c r="D29" s="215">
        <f>E29*0.93*0.98</f>
        <v/>
      </c>
      <c r="E29" s="236" t="n">
        <v>5526.44</v>
      </c>
      <c r="F29" s="218">
        <f>D29*1.3*1.105</f>
        <v/>
      </c>
      <c r="G29" s="219">
        <f>D29*1.3*1.105/0.9</f>
        <v/>
      </c>
      <c r="H29" s="220">
        <f>G29*1.21</f>
        <v/>
      </c>
      <c r="I29" s="215">
        <f>ROUND(H29/100,0)*100</f>
        <v/>
      </c>
      <c r="K29" s="236" t="n">
        <v>5614.02</v>
      </c>
      <c r="L29" s="257" t="n">
        <v>5052.62</v>
      </c>
      <c r="M29" s="257" t="n">
        <v>4771.92</v>
      </c>
      <c r="N29" s="236" t="n">
        <v>5526.44</v>
      </c>
      <c r="S29" s="223" t="n"/>
      <c r="T29" s="223" t="n"/>
      <c r="U29" s="223" t="n"/>
      <c r="V29" s="223" t="n"/>
      <c r="W29" s="223" t="n"/>
      <c r="X29" s="223" t="n"/>
    </row>
    <row r="30">
      <c r="A30" s="124" t="n">
        <v>136</v>
      </c>
      <c r="B30" s="223" t="inlineStr">
        <is>
          <t>Pack x 4 Recarga Celmatic Due 2400 U. Dobles</t>
        </is>
      </c>
      <c r="D30" s="215">
        <f>E30*0.93*0.98</f>
        <v/>
      </c>
      <c r="E30" s="236" t="n">
        <v>4133.52</v>
      </c>
      <c r="F30" s="218">
        <f>D30*1.3*1.105</f>
        <v/>
      </c>
      <c r="G30" s="219">
        <f>D30*1.3*1.105/0.9</f>
        <v/>
      </c>
      <c r="H30" s="220">
        <f>G30*1.21</f>
        <v/>
      </c>
      <c r="I30" s="215">
        <f>ROUND(H30/100,0)*100</f>
        <v/>
      </c>
      <c r="K30" s="236" t="n">
        <v>4199.02</v>
      </c>
      <c r="L30" s="257" t="n">
        <v>3779.12</v>
      </c>
      <c r="M30" s="257" t="n">
        <v>3569.17</v>
      </c>
      <c r="N30" s="236" t="n">
        <v>4133.52</v>
      </c>
      <c r="S30" s="223" t="n"/>
      <c r="T30" s="223" t="n"/>
      <c r="U30" s="223" t="n"/>
      <c r="V30" s="223" t="n"/>
      <c r="W30" s="223" t="n"/>
      <c r="X30" s="223" t="n"/>
    </row>
    <row r="31">
      <c r="A31" s="124" t="n"/>
      <c r="B31" s="223" t="n"/>
      <c r="C31" s="223" t="n"/>
      <c r="D31" s="215">
        <f>E31*0.93*0.98</f>
        <v/>
      </c>
      <c r="E31" s="236" t="n"/>
      <c r="F31" s="222" t="n"/>
      <c r="G31" s="222" t="n"/>
      <c r="H31" s="222" t="n"/>
      <c r="I31" s="223" t="n"/>
      <c r="K31" s="200" t="n"/>
      <c r="L31" s="200" t="n"/>
      <c r="M31" s="200" t="n"/>
      <c r="N31" s="236" t="n"/>
      <c r="S31" s="223" t="n"/>
      <c r="T31" s="223" t="n"/>
      <c r="U31" s="223" t="n"/>
      <c r="V31" s="223" t="n"/>
      <c r="W31" s="223" t="n"/>
      <c r="X31" s="223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215">
        <f>E32*0.93*0.98</f>
        <v/>
      </c>
      <c r="E32" s="190" t="n"/>
      <c r="F32" s="222" t="n"/>
      <c r="G32" s="222" t="n"/>
      <c r="H32" s="222" t="n"/>
      <c r="I32" s="223" t="n"/>
      <c r="K32" s="190" t="n"/>
      <c r="L32" s="190" t="n"/>
      <c r="M32" s="190" t="n"/>
      <c r="N32" s="190" t="n"/>
      <c r="S32" s="223" t="n"/>
      <c r="T32" s="223" t="n"/>
      <c r="U32" s="223" t="n"/>
      <c r="V32" s="223" t="n"/>
      <c r="W32" s="223" t="n"/>
      <c r="X32" s="223" t="n"/>
    </row>
    <row r="33">
      <c r="A33" s="131" t="n"/>
      <c r="B33" s="158" t="n"/>
      <c r="C33" s="223" t="n"/>
      <c r="D33" s="215">
        <f>E33*0.93*0.98</f>
        <v/>
      </c>
      <c r="E33" s="234" t="n"/>
      <c r="F33" s="222" t="n"/>
      <c r="G33" s="222" t="n"/>
      <c r="H33" s="222" t="n"/>
      <c r="I33" s="223" t="n"/>
      <c r="K33" s="197" t="inlineStr">
        <is>
          <t>U$S</t>
        </is>
      </c>
      <c r="L33" s="190" t="n"/>
      <c r="M33" s="190" t="n"/>
      <c r="N33" s="234" t="n"/>
      <c r="S33" s="223" t="n"/>
      <c r="T33" s="223" t="n"/>
      <c r="U33" s="223" t="n"/>
      <c r="V33" s="223" t="n"/>
      <c r="W33" s="223" t="n"/>
      <c r="X33" s="223" t="n"/>
    </row>
    <row r="34">
      <c r="A34" s="182" t="n">
        <v>501</v>
      </c>
      <c r="B34" s="235" t="inlineStr">
        <is>
          <t>Pack x 2 rollos Cel-Soft de 22,5 x 150 mts</t>
        </is>
      </c>
      <c r="D34" s="227">
        <f>E34*0.93*0.98</f>
        <v/>
      </c>
      <c r="E34" s="236" t="n">
        <v>57</v>
      </c>
      <c r="F34" s="228">
        <f>D34*1.3*1.105</f>
        <v/>
      </c>
      <c r="G34" s="226">
        <f>D34*1.3*1.105/0.9</f>
        <v/>
      </c>
      <c r="H34" s="227">
        <f>G34*1.21</f>
        <v/>
      </c>
      <c r="I34" s="227">
        <f>ROUND(H34/100,0)*100</f>
        <v/>
      </c>
      <c r="J34" s="193" t="n"/>
      <c r="K34" s="238" t="n">
        <v>61.93</v>
      </c>
      <c r="L34" s="256" t="n">
        <v>55.75</v>
      </c>
      <c r="M34" s="256" t="n">
        <v>52.65</v>
      </c>
      <c r="N34" s="236" t="n">
        <v>57</v>
      </c>
      <c r="O34" s="193" t="n"/>
      <c r="P34" s="193" t="n"/>
      <c r="Q34" s="193" t="n"/>
      <c r="R34" s="193" t="n"/>
      <c r="S34" s="224" t="n"/>
      <c r="T34" s="224" t="n"/>
      <c r="U34" s="224" t="n"/>
      <c r="V34" s="224" t="n"/>
      <c r="W34" s="224" t="n"/>
      <c r="X34" s="224" t="n"/>
      <c r="Y34" s="193" t="n"/>
    </row>
    <row r="35">
      <c r="A35" s="124" t="n">
        <v>505</v>
      </c>
      <c r="B35" s="223" t="inlineStr">
        <is>
          <t>Caja x 2000 U. Servilletas Cel-Soft 30 x 40 cm</t>
        </is>
      </c>
      <c r="D35" s="215">
        <f>E35*0.93*0.98</f>
        <v/>
      </c>
      <c r="E35" s="236" t="n">
        <v>273.74</v>
      </c>
      <c r="F35" s="218">
        <f>D35*1.3*1.105</f>
        <v/>
      </c>
      <c r="G35" s="219">
        <f>D35*1.3*1.105/0.9</f>
        <v/>
      </c>
      <c r="H35" s="220">
        <f>G35*1.21</f>
        <v/>
      </c>
      <c r="I35" s="215">
        <f>ROUND(H35/100,0)*100</f>
        <v/>
      </c>
      <c r="K35" s="236" t="n">
        <v>297.55</v>
      </c>
      <c r="L35" s="257" t="n">
        <v>267.8</v>
      </c>
      <c r="M35" s="257" t="n">
        <v>252.92</v>
      </c>
      <c r="N35" s="236" t="n">
        <v>273.74</v>
      </c>
      <c r="S35" s="223" t="n"/>
      <c r="T35" s="223" t="n"/>
      <c r="U35" s="223" t="n"/>
      <c r="V35" s="223" t="n"/>
      <c r="W35" s="223" t="n"/>
      <c r="X35" s="223" t="n"/>
    </row>
    <row r="36">
      <c r="A36" s="124" t="n">
        <v>506</v>
      </c>
      <c r="B36" s="223" t="inlineStr">
        <is>
          <t>Caja x 3500 Toallas Cel-Soft 21 x 25 cm Blancas</t>
        </is>
      </c>
      <c r="D36" s="215">
        <f>E36*0.93*0.98</f>
        <v/>
      </c>
      <c r="E36" s="236" t="n">
        <v>153.22</v>
      </c>
      <c r="F36" s="218">
        <f>D36*1.3*1.105</f>
        <v/>
      </c>
      <c r="G36" s="219">
        <f>D36*1.3*1.105/0.9</f>
        <v/>
      </c>
      <c r="H36" s="220">
        <f>G36*1.21</f>
        <v/>
      </c>
      <c r="I36" s="215">
        <f>ROUND(H36/100,0)*100</f>
        <v/>
      </c>
      <c r="K36" s="236" t="n">
        <v>166.54</v>
      </c>
      <c r="L36" s="257" t="n">
        <v>149.89</v>
      </c>
      <c r="M36" s="257" t="n">
        <v>141.56</v>
      </c>
      <c r="N36" s="236" t="n">
        <v>153.22</v>
      </c>
      <c r="S36" s="223" t="n"/>
      <c r="T36" s="223" t="n"/>
      <c r="U36" s="223" t="n"/>
      <c r="V36" s="223" t="n"/>
      <c r="W36" s="223" t="n"/>
      <c r="X36" s="223" t="n"/>
    </row>
    <row r="37">
      <c r="A37" s="182" t="n">
        <v>512</v>
      </c>
      <c r="B37" s="224" t="inlineStr">
        <is>
          <t>Caja x 2000 U. Servilletas Cel-Soft 30 x 25 cm</t>
        </is>
      </c>
      <c r="D37" s="227">
        <f>E37*0.93*0.98</f>
        <v/>
      </c>
      <c r="E37" s="236" t="n">
        <v>173.66</v>
      </c>
      <c r="F37" s="228">
        <f>D37*1.3*1.105</f>
        <v/>
      </c>
      <c r="G37" s="226">
        <f>D37*1.3*1.105/0.9</f>
        <v/>
      </c>
      <c r="H37" s="227">
        <f>G37*1.21</f>
        <v/>
      </c>
      <c r="I37" s="227">
        <f>ROUND(H37/100,0)*100</f>
        <v/>
      </c>
      <c r="J37" s="193" t="n"/>
      <c r="K37" s="236" t="n">
        <v>188.76</v>
      </c>
      <c r="L37" s="257" t="n">
        <v>169.88</v>
      </c>
      <c r="M37" s="257" t="n">
        <v>160.45</v>
      </c>
      <c r="N37" s="236" t="n">
        <v>173.66</v>
      </c>
      <c r="O37" s="193" t="n"/>
      <c r="P37" s="193" t="n"/>
      <c r="Q37" s="193" t="n"/>
      <c r="R37" s="193" t="n"/>
      <c r="S37" s="224" t="n"/>
      <c r="T37" s="224" t="n"/>
      <c r="U37" s="224" t="n"/>
      <c r="V37" s="224" t="n"/>
      <c r="W37" s="224" t="n"/>
      <c r="X37" s="224" t="n"/>
      <c r="Y37" s="193" t="n"/>
    </row>
    <row r="38">
      <c r="A38" s="124" t="n">
        <v>514</v>
      </c>
      <c r="B38" s="223" t="inlineStr">
        <is>
          <t>Caja por 600 servilletas Celsoft 40x40 Victoria Ambra</t>
        </is>
      </c>
      <c r="D38" s="215">
        <f>E38*0.93*0.98</f>
        <v/>
      </c>
      <c r="E38" s="236" t="n">
        <v>187.2</v>
      </c>
      <c r="F38" s="218">
        <f>D38*1.3*1.105</f>
        <v/>
      </c>
      <c r="G38" s="219">
        <f>D38*1.3*1.105/0.9</f>
        <v/>
      </c>
      <c r="H38" s="220">
        <f>G38*1.21</f>
        <v/>
      </c>
      <c r="I38" s="215">
        <f>ROUND(H38/100,0)*100</f>
        <v/>
      </c>
      <c r="K38" s="236" t="n">
        <v>203.47</v>
      </c>
      <c r="L38" s="257" t="n">
        <v>183.12</v>
      </c>
      <c r="M38" s="257" t="n">
        <v>172.95</v>
      </c>
      <c r="N38" s="236" t="n">
        <v>187.2</v>
      </c>
      <c r="S38" s="223" t="n"/>
      <c r="T38" s="223" t="n"/>
      <c r="U38" s="223" t="n"/>
      <c r="V38" s="223" t="n"/>
      <c r="W38" s="223" t="n"/>
      <c r="X38" s="223" t="n"/>
    </row>
    <row r="39">
      <c r="A39" s="124" t="n">
        <v>515</v>
      </c>
      <c r="B39" s="223" t="inlineStr">
        <is>
          <t>Caja por 600 servilletas Celsoft 40x40 Victoria Nero</t>
        </is>
      </c>
      <c r="D39" s="215">
        <f>E39*0.93*0.98</f>
        <v/>
      </c>
      <c r="E39" s="236" t="n">
        <v>187.2</v>
      </c>
      <c r="F39" s="218">
        <f>D39*1.3*1.105</f>
        <v/>
      </c>
      <c r="G39" s="219">
        <f>D39*1.3*1.105/0.9</f>
        <v/>
      </c>
      <c r="H39" s="220">
        <f>G39*1.21</f>
        <v/>
      </c>
      <c r="I39" s="215">
        <f>ROUND(H39/100,0)*100</f>
        <v/>
      </c>
      <c r="K39" s="236" t="n">
        <v>203.47</v>
      </c>
      <c r="L39" s="257" t="n">
        <v>183.12</v>
      </c>
      <c r="M39" s="257" t="n">
        <v>172.95</v>
      </c>
      <c r="N39" s="236" t="n">
        <v>187.2</v>
      </c>
      <c r="S39" s="223" t="n"/>
      <c r="T39" s="223" t="n"/>
      <c r="U39" s="223" t="n"/>
      <c r="V39" s="223" t="n"/>
      <c r="W39" s="223" t="n"/>
      <c r="X39" s="223" t="n"/>
    </row>
    <row r="40">
      <c r="A40" s="124" t="n">
        <v>516</v>
      </c>
      <c r="B40" s="223" t="inlineStr">
        <is>
          <t>Caja por 600 servilletas Celsoft 40x40 Tasca Bordeaux</t>
        </is>
      </c>
      <c r="D40" s="215">
        <f>E40*0.93*0.98</f>
        <v/>
      </c>
      <c r="E40" s="236" t="n">
        <v>220.74</v>
      </c>
      <c r="F40" s="218">
        <f>D40*1.3*1.105</f>
        <v/>
      </c>
      <c r="G40" s="219">
        <f>D40*1.3*1.105/0.9</f>
        <v/>
      </c>
      <c r="H40" s="220">
        <f>G40*1.21</f>
        <v/>
      </c>
      <c r="I40" s="215">
        <f>ROUND(H40/100,0)*100</f>
        <v/>
      </c>
      <c r="K40" s="236" t="n">
        <v>239.93</v>
      </c>
      <c r="L40" s="257" t="n">
        <v>215.94</v>
      </c>
      <c r="M40" s="257" t="n">
        <v>203.94</v>
      </c>
      <c r="N40" s="236" t="n">
        <v>220.74</v>
      </c>
      <c r="S40" s="223" t="n"/>
      <c r="T40" s="223" t="n"/>
      <c r="U40" s="223" t="n"/>
      <c r="V40" s="223" t="n"/>
      <c r="W40" s="223" t="n"/>
      <c r="X40" s="223" t="n"/>
    </row>
    <row r="41">
      <c r="A41" s="124" t="n">
        <v>517</v>
      </c>
      <c r="B41" s="223" t="inlineStr">
        <is>
          <t>Caja por 600 servilletas Celsoft 40x40 Tasca Nero</t>
        </is>
      </c>
      <c r="D41" s="215">
        <f>E41*0.93*0.98</f>
        <v/>
      </c>
      <c r="E41" s="236" t="n">
        <v>220.74</v>
      </c>
      <c r="F41" s="218">
        <f>D41*1.3*1.105</f>
        <v/>
      </c>
      <c r="G41" s="219">
        <f>D41*1.3*1.105/0.9</f>
        <v/>
      </c>
      <c r="H41" s="220">
        <f>G41*1.21</f>
        <v/>
      </c>
      <c r="I41" s="215">
        <f>ROUND(H41/100,0)*100</f>
        <v/>
      </c>
      <c r="K41" s="236" t="n">
        <v>239.39</v>
      </c>
      <c r="L41" s="257" t="n">
        <v>215.45</v>
      </c>
      <c r="M41" s="257" t="n">
        <v>203.48</v>
      </c>
      <c r="N41" s="236" t="n">
        <v>220.74</v>
      </c>
      <c r="S41" s="223" t="n"/>
      <c r="T41" s="223" t="n"/>
      <c r="U41" s="223" t="n"/>
      <c r="V41" s="223" t="n"/>
      <c r="W41" s="223" t="n"/>
      <c r="X41" s="223" t="n"/>
    </row>
    <row r="42">
      <c r="A42" s="124" t="n">
        <v>518</v>
      </c>
      <c r="B42" s="223" t="inlineStr">
        <is>
          <t>Caja por 600 servilletas Celsoft 40x40 Tasca Lino Avorio</t>
        </is>
      </c>
      <c r="D42" s="215">
        <f>E42*0.93*0.98</f>
        <v/>
      </c>
      <c r="E42" s="236" t="n">
        <v>187.2</v>
      </c>
      <c r="F42" s="218">
        <f>D42*1.3*1.105</f>
        <v/>
      </c>
      <c r="G42" s="219">
        <f>D42*1.3*1.105/0.9</f>
        <v/>
      </c>
      <c r="H42" s="220">
        <f>G42*1.21</f>
        <v/>
      </c>
      <c r="I42" s="215">
        <f>ROUND(H42/100,0)*100</f>
        <v/>
      </c>
      <c r="K42" s="236" t="n">
        <v>203.47</v>
      </c>
      <c r="L42" s="257" t="n">
        <v>183.12</v>
      </c>
      <c r="M42" s="257" t="n">
        <v>172.95</v>
      </c>
      <c r="N42" s="236" t="n">
        <v>187.2</v>
      </c>
      <c r="S42" s="223" t="n"/>
      <c r="T42" s="223" t="n"/>
      <c r="U42" s="223" t="n"/>
      <c r="V42" s="223" t="n"/>
      <c r="W42" s="223" t="n"/>
      <c r="X42" s="223" t="n"/>
    </row>
    <row r="43">
      <c r="A43" s="124" t="n">
        <v>519</v>
      </c>
      <c r="B43" s="223" t="inlineStr">
        <is>
          <t>Caja por 600 servilletas Celsoft 40x40 Taca Iuta Grigio</t>
        </is>
      </c>
      <c r="D43" s="215">
        <f>E43*0.93*0.98</f>
        <v/>
      </c>
      <c r="E43" s="236" t="n">
        <v>187.2</v>
      </c>
      <c r="F43" s="218">
        <f>D43*1.3*1.105</f>
        <v/>
      </c>
      <c r="G43" s="219">
        <f>D43*1.3*1.105/0.9</f>
        <v/>
      </c>
      <c r="H43" s="220">
        <f>G43*1.21</f>
        <v/>
      </c>
      <c r="I43" s="215">
        <f>ROUND(H43/100,0)*100</f>
        <v/>
      </c>
      <c r="K43" s="236" t="n">
        <v>203.47</v>
      </c>
      <c r="L43" s="257" t="n">
        <v>183.12</v>
      </c>
      <c r="M43" s="257" t="n">
        <v>172.95</v>
      </c>
      <c r="N43" s="236" t="n">
        <v>187.2</v>
      </c>
      <c r="S43" s="223" t="n"/>
      <c r="T43" s="223" t="n"/>
      <c r="U43" s="223" t="n"/>
      <c r="V43" s="223" t="n"/>
      <c r="W43" s="223" t="n"/>
      <c r="X43" s="223" t="n"/>
    </row>
    <row r="44">
      <c r="A44" s="124" t="n">
        <v>520</v>
      </c>
      <c r="B44" s="223" t="inlineStr">
        <is>
          <t>Caja de servilletas Celsoft 40 x 40 SAMPLER 300 Unid</t>
        </is>
      </c>
      <c r="D44" s="215">
        <f>E44*0.93*0.98</f>
        <v/>
      </c>
      <c r="E44" s="236" t="n">
        <v>99.09</v>
      </c>
      <c r="F44" s="218">
        <f>D44*1.3*1.105</f>
        <v/>
      </c>
      <c r="G44" s="219">
        <f>D44*1.3*1.105/0.9</f>
        <v/>
      </c>
      <c r="H44" s="220">
        <f>G44*1.21</f>
        <v/>
      </c>
      <c r="I44" s="215">
        <f>ROUND(H44/100,0)*100</f>
        <v/>
      </c>
      <c r="K44" s="236" t="n">
        <v>107.7</v>
      </c>
      <c r="L44" s="257" t="n">
        <v>96.93000000000001</v>
      </c>
      <c r="M44" s="257" t="n">
        <v>91.55</v>
      </c>
      <c r="N44" s="236" t="n">
        <v>99.09</v>
      </c>
      <c r="S44" s="223" t="n"/>
      <c r="T44" s="223" t="n"/>
      <c r="U44" s="223" t="n"/>
      <c r="V44" s="223" t="n"/>
      <c r="W44" s="223" t="n"/>
      <c r="X44" s="223" t="n"/>
    </row>
    <row r="45">
      <c r="A45" s="124" t="n"/>
      <c r="B45" s="223" t="n"/>
      <c r="C45" s="223" t="n"/>
      <c r="D45" s="215">
        <f>E45*0.93*0.98</f>
        <v/>
      </c>
      <c r="E45" s="200" t="n"/>
      <c r="F45" s="222" t="n"/>
      <c r="G45" s="222" t="n"/>
      <c r="H45" s="222" t="n"/>
      <c r="I45" s="223" t="n"/>
      <c r="K45" s="200" t="n"/>
      <c r="L45" s="200" t="n"/>
      <c r="M45" s="200" t="n"/>
      <c r="N45" s="200" t="n"/>
      <c r="S45" s="223" t="n"/>
      <c r="T45" s="223" t="n"/>
      <c r="U45" s="223" t="n"/>
      <c r="V45" s="223" t="n"/>
      <c r="W45" s="223" t="n"/>
      <c r="X45" s="223" t="n"/>
    </row>
    <row r="46">
      <c r="A46" s="142" t="inlineStr">
        <is>
          <t>PAPEL HIGIENICO</t>
        </is>
      </c>
      <c r="B46" s="271" t="n"/>
      <c r="C46" s="223" t="n"/>
      <c r="D46" s="215">
        <f>E46*0.93*0.98</f>
        <v/>
      </c>
      <c r="E46" s="200" t="n"/>
      <c r="F46" s="222" t="n"/>
      <c r="G46" s="222" t="n"/>
      <c r="H46" s="222" t="n"/>
      <c r="I46" s="223" t="n"/>
      <c r="K46" s="200" t="n"/>
      <c r="L46" s="200" t="n"/>
      <c r="M46" s="200" t="n"/>
      <c r="N46" s="200" t="n"/>
      <c r="S46" s="223" t="n"/>
      <c r="T46" s="223" t="n"/>
      <c r="U46" s="223" t="n"/>
      <c r="V46" s="223" t="n"/>
      <c r="W46" s="223" t="n"/>
      <c r="X46" s="223" t="n"/>
    </row>
    <row r="47">
      <c r="A47" s="111" t="n"/>
      <c r="B47" s="223" t="n"/>
      <c r="C47" s="223" t="n"/>
      <c r="D47" s="215">
        <f>E47*0.93*0.98</f>
        <v/>
      </c>
      <c r="E47" s="200" t="n"/>
      <c r="F47" s="222" t="n"/>
      <c r="G47" s="222" t="n"/>
      <c r="H47" s="222" t="n"/>
      <c r="I47" s="223" t="n"/>
      <c r="K47" s="200" t="n"/>
      <c r="L47" s="200" t="n"/>
      <c r="M47" s="200" t="n"/>
      <c r="N47" s="200" t="n"/>
      <c r="S47" s="223" t="n"/>
      <c r="T47" s="223" t="n"/>
      <c r="U47" s="223" t="n"/>
      <c r="V47" s="223" t="n"/>
      <c r="W47" s="223" t="n"/>
      <c r="X47" s="223" t="n"/>
    </row>
    <row r="48">
      <c r="A48" s="124" t="n">
        <v>211</v>
      </c>
      <c r="B48" s="223" t="inlineStr">
        <is>
          <t>Pack x18 Rollos Higienico Racional D/H x 60 mts</t>
        </is>
      </c>
      <c r="D48" s="215">
        <f>E48*0.93*0.98</f>
        <v/>
      </c>
      <c r="E48" s="238" t="n">
        <v>3079.44</v>
      </c>
      <c r="F48" s="218">
        <f>D48*1.3*1.105</f>
        <v/>
      </c>
      <c r="G48" s="219">
        <f>D48*1.3*1.105/0.9</f>
        <v/>
      </c>
      <c r="H48" s="220">
        <f>G48*1.21</f>
        <v/>
      </c>
      <c r="I48" s="215">
        <f>ROUND(H48/100,0)*100</f>
        <v/>
      </c>
      <c r="K48" s="238" t="n">
        <v>3128.24</v>
      </c>
      <c r="L48" s="256" t="n">
        <v>2815.42</v>
      </c>
      <c r="M48" s="256" t="n">
        <v>2659</v>
      </c>
      <c r="N48" s="238" t="n">
        <v>3079.44</v>
      </c>
      <c r="S48" s="223" t="n"/>
      <c r="T48" s="223" t="n"/>
      <c r="U48" s="223" t="n"/>
      <c r="V48" s="223" t="n"/>
      <c r="W48" s="223" t="n"/>
      <c r="X48" s="223" t="n"/>
    </row>
    <row r="49">
      <c r="A49" s="124" t="n">
        <v>213</v>
      </c>
      <c r="B49" s="223" t="inlineStr">
        <is>
          <t>Pack x 4 Rollos Higienico Racional x 500 mts Buje 7,5</t>
        </is>
      </c>
      <c r="D49" s="215">
        <f>E49*0.93*0.98</f>
        <v/>
      </c>
      <c r="E49" s="236" t="n">
        <v>2386.6</v>
      </c>
      <c r="F49" s="218">
        <f>D49*1.3*1.105</f>
        <v/>
      </c>
      <c r="G49" s="219">
        <f>D49*1.3*1.105/0.9</f>
        <v/>
      </c>
      <c r="H49" s="220">
        <f>G49*1.21</f>
        <v/>
      </c>
      <c r="I49" s="215">
        <f>ROUND(H49/100,0)*100</f>
        <v/>
      </c>
      <c r="K49" s="236" t="n">
        <v>2424.42</v>
      </c>
      <c r="L49" s="257" t="n">
        <v>2181.98</v>
      </c>
      <c r="M49" s="257" t="n">
        <v>2060.76</v>
      </c>
      <c r="N49" s="236" t="n">
        <v>2386.6</v>
      </c>
      <c r="S49" s="223" t="n"/>
      <c r="T49" s="223" t="n"/>
      <c r="U49" s="223" t="n"/>
      <c r="V49" s="223" t="n"/>
      <c r="W49" s="223" t="n"/>
      <c r="X49" s="223" t="n"/>
    </row>
    <row r="50">
      <c r="A50" s="182" t="n">
        <v>214</v>
      </c>
      <c r="B50" s="224" t="inlineStr">
        <is>
          <t>Pack x 18 rollos Papel Higienico Racional x 122 mts</t>
        </is>
      </c>
      <c r="D50" s="227">
        <f>E50*0.93*0.98</f>
        <v/>
      </c>
      <c r="E50" s="236" t="n">
        <v>2932.12</v>
      </c>
      <c r="F50" s="228">
        <f>D50*1.3*1.105</f>
        <v/>
      </c>
      <c r="G50" s="226">
        <f>D50*1.3*1.105/0.9</f>
        <v/>
      </c>
      <c r="H50" s="227">
        <f>G50*1.21</f>
        <v/>
      </c>
      <c r="I50" s="227">
        <f>ROUND(H50/100,0)*100</f>
        <v/>
      </c>
      <c r="J50" s="193" t="n"/>
      <c r="K50" s="236" t="n">
        <v>2978.58</v>
      </c>
      <c r="L50" s="257" t="n">
        <v>2680.72</v>
      </c>
      <c r="M50" s="257" t="n">
        <v>2531.79</v>
      </c>
      <c r="N50" s="236" t="n">
        <v>2932.12</v>
      </c>
      <c r="O50" s="193" t="n"/>
      <c r="P50" s="193" t="n"/>
      <c r="Q50" s="193" t="n"/>
      <c r="R50" s="193" t="n"/>
      <c r="S50" s="224" t="n"/>
      <c r="T50" s="224" t="n"/>
      <c r="U50" s="224" t="n"/>
      <c r="V50" s="224" t="n"/>
      <c r="W50" s="224" t="n"/>
      <c r="X50" s="224" t="n"/>
      <c r="Y50" s="193" t="n"/>
    </row>
    <row r="51">
      <c r="A51" s="124" t="n">
        <v>218</v>
      </c>
      <c r="B51" s="223" t="inlineStr">
        <is>
          <t>Pack x 8 rollos Higienico Racional x 265 mts buje 7,5</t>
        </is>
      </c>
      <c r="D51" s="215">
        <f>E51*0.93*0.98</f>
        <v/>
      </c>
      <c r="E51" s="236" t="n">
        <v>2698.65</v>
      </c>
      <c r="F51" s="218">
        <f>D51*1.3*1.105</f>
        <v/>
      </c>
      <c r="G51" s="219">
        <f>D51*1.3*1.105/0.9</f>
        <v/>
      </c>
      <c r="H51" s="220">
        <f>G51*1.21</f>
        <v/>
      </c>
      <c r="I51" s="215">
        <f>ROUND(H51/100,0)*100</f>
        <v/>
      </c>
      <c r="K51" s="236" t="n">
        <v>2741.42</v>
      </c>
      <c r="L51" s="257" t="n">
        <v>2467.28</v>
      </c>
      <c r="M51" s="257" t="n">
        <v>2330.21</v>
      </c>
      <c r="N51" s="236" t="n">
        <v>2698.65</v>
      </c>
      <c r="S51" s="223" t="n"/>
      <c r="T51" s="223" t="n"/>
      <c r="U51" s="223" t="n"/>
      <c r="V51" s="223" t="n"/>
      <c r="W51" s="223" t="n"/>
      <c r="X51" s="223" t="n"/>
    </row>
    <row r="52">
      <c r="A52" s="182" t="n">
        <v>220</v>
      </c>
      <c r="B52" s="224" t="inlineStr">
        <is>
          <t>Pack x 8 Rollos Papel Higienico Racional x 300 mts</t>
        </is>
      </c>
      <c r="D52" s="227">
        <f>E52*0.93*0.98</f>
        <v/>
      </c>
      <c r="E52" s="236" t="n">
        <v>3075.2</v>
      </c>
      <c r="F52" s="228">
        <f>D52*1.3*1.105</f>
        <v/>
      </c>
      <c r="G52" s="226">
        <f>D52*1.3*1.105/0.9</f>
        <v/>
      </c>
      <c r="H52" s="227">
        <f>G52*1.21</f>
        <v/>
      </c>
      <c r="I52" s="227">
        <f>ROUND(H52/100,0)*100</f>
        <v/>
      </c>
      <c r="J52" s="193" t="n"/>
      <c r="K52" s="236" t="n">
        <v>3123.92</v>
      </c>
      <c r="L52" s="257" t="n">
        <v>2811.53</v>
      </c>
      <c r="M52" s="257" t="n">
        <v>2655.33</v>
      </c>
      <c r="N52" s="236" t="n">
        <v>3075.2</v>
      </c>
      <c r="O52" s="193" t="n"/>
      <c r="P52" s="193" t="n"/>
      <c r="Q52" s="193" t="n"/>
      <c r="R52" s="193" t="n"/>
      <c r="S52" s="224" t="n"/>
      <c r="T52" s="224" t="n"/>
      <c r="U52" s="224" t="n"/>
      <c r="V52" s="224" t="n"/>
      <c r="W52" s="224" t="n"/>
      <c r="X52" s="224" t="n"/>
      <c r="Y52" s="193" t="n"/>
    </row>
    <row r="53">
      <c r="A53" s="124" t="n">
        <v>222</v>
      </c>
      <c r="B53" s="223" t="inlineStr">
        <is>
          <t>Pack x 8 Rollos Papel Higienico x 260 mts Buje4,5</t>
        </is>
      </c>
      <c r="D53" s="215">
        <f>E53*0.93*0.98</f>
        <v/>
      </c>
      <c r="E53" s="236" t="n">
        <v>2612.86</v>
      </c>
      <c r="F53" s="218">
        <f>D53*1.3*1.105</f>
        <v/>
      </c>
      <c r="G53" s="219">
        <f>D53*1.3*1.105/0.9</f>
        <v/>
      </c>
      <c r="H53" s="220">
        <f>G53*1.21</f>
        <v/>
      </c>
      <c r="I53" s="215">
        <f>ROUND(H53/100,0)*100</f>
        <v/>
      </c>
      <c r="K53" s="236" t="n">
        <v>2654.27</v>
      </c>
      <c r="L53" s="257" t="n">
        <v>2388.84</v>
      </c>
      <c r="M53" s="257" t="n">
        <v>2256.13</v>
      </c>
      <c r="N53" s="236" t="n">
        <v>2612.86</v>
      </c>
      <c r="S53" s="223" t="n"/>
      <c r="T53" s="223" t="n"/>
      <c r="U53" s="223" t="n"/>
      <c r="V53" s="223" t="n"/>
      <c r="W53" s="223" t="n"/>
      <c r="X53" s="223" t="n"/>
    </row>
    <row r="54">
      <c r="A54" s="182" t="n">
        <v>909</v>
      </c>
      <c r="B54" s="224" t="inlineStr">
        <is>
          <t>Papel Higiénico 20 x 14,5 8000 h. 4000 usos</t>
        </is>
      </c>
      <c r="D54" s="227">
        <f>E54*0.93*0.98</f>
        <v/>
      </c>
      <c r="E54" s="236" t="n">
        <v>4032.4</v>
      </c>
      <c r="F54" s="228">
        <f>D54*1.3*1.105</f>
        <v/>
      </c>
      <c r="G54" s="226">
        <f>D54*1.3*1.105/0.9</f>
        <v/>
      </c>
      <c r="H54" s="227">
        <f>G54*1.21</f>
        <v/>
      </c>
      <c r="I54" s="227">
        <f>ROUND(H54/100,0)*100</f>
        <v/>
      </c>
      <c r="J54" s="193" t="n"/>
      <c r="K54" s="236" t="n">
        <v>4096.29</v>
      </c>
      <c r="L54" s="257" t="n">
        <v>3686.66</v>
      </c>
      <c r="M54" s="257" t="n">
        <v>3481.85</v>
      </c>
      <c r="N54" s="236" t="n">
        <v>4032.4</v>
      </c>
      <c r="O54" s="193" t="n"/>
      <c r="P54" s="193" t="n"/>
      <c r="Q54" s="193" t="n"/>
      <c r="R54" s="193" t="n"/>
      <c r="S54" s="224" t="n"/>
      <c r="T54" s="224" t="n"/>
      <c r="U54" s="224" t="n"/>
      <c r="V54" s="224" t="n"/>
      <c r="W54" s="224" t="n"/>
      <c r="X54" s="224" t="n"/>
      <c r="Y54" s="193" t="n"/>
    </row>
    <row r="55">
      <c r="A55" s="124" t="n">
        <v>912</v>
      </c>
      <c r="B55" s="223" t="inlineStr">
        <is>
          <t>Papel Higienico UNITAS(18x14,5cm) 8000 h/4000 usos</t>
        </is>
      </c>
      <c r="D55" s="215">
        <f>E55*0.93*0.98</f>
        <v/>
      </c>
      <c r="E55" s="236" t="n">
        <v>3239.72</v>
      </c>
      <c r="F55" s="218">
        <f>D55*1.3*1.105</f>
        <v/>
      </c>
      <c r="G55" s="219">
        <f>D55*1.3*1.105/0.9</f>
        <v/>
      </c>
      <c r="H55" s="220">
        <f>G55*1.21</f>
        <v/>
      </c>
      <c r="I55" s="215">
        <f>ROUND(H55/100,0)*100</f>
        <v/>
      </c>
      <c r="K55" s="236" t="n">
        <v>3291.05</v>
      </c>
      <c r="L55" s="257" t="n">
        <v>2961.95</v>
      </c>
      <c r="M55" s="257" t="n">
        <v>2797.39</v>
      </c>
      <c r="N55" s="236" t="n">
        <v>3239.72</v>
      </c>
      <c r="S55" s="223" t="n"/>
      <c r="T55" s="223" t="n"/>
      <c r="U55" s="223" t="n"/>
      <c r="V55" s="223" t="n"/>
      <c r="W55" s="223" t="n"/>
      <c r="X55" s="223" t="n"/>
    </row>
    <row r="56">
      <c r="A56" s="124" t="n"/>
      <c r="B56" s="223" t="n"/>
      <c r="C56" s="223" t="n"/>
      <c r="D56" s="215">
        <f>E56*0.93*0.98</f>
        <v/>
      </c>
      <c r="E56" s="200" t="n"/>
      <c r="F56" s="222" t="n"/>
      <c r="G56" s="222" t="n"/>
      <c r="H56" s="222" t="n"/>
      <c r="I56" s="223" t="n"/>
      <c r="K56" s="200" t="n"/>
      <c r="L56" s="200" t="n"/>
      <c r="M56" s="200" t="n"/>
      <c r="N56" s="200" t="n"/>
      <c r="S56" s="223" t="n"/>
      <c r="T56" s="223" t="n"/>
      <c r="U56" s="223" t="n"/>
      <c r="V56" s="223" t="n"/>
      <c r="W56" s="223" t="n"/>
      <c r="X56" s="223" t="n"/>
    </row>
    <row r="57">
      <c r="A57" s="124" t="n"/>
      <c r="B57" s="210" t="n">
        <v>44748</v>
      </c>
      <c r="C57" s="223" t="n"/>
      <c r="D57" s="215">
        <f>E57*0.93*0.98</f>
        <v/>
      </c>
      <c r="E57" s="200" t="n"/>
      <c r="F57" s="222" t="n"/>
      <c r="G57" s="222" t="n"/>
      <c r="H57" s="222" t="n"/>
      <c r="I57" s="223" t="n"/>
      <c r="K57" s="200" t="n"/>
      <c r="L57" s="200" t="n"/>
      <c r="M57" s="200" t="n"/>
      <c r="N57" s="200" t="n"/>
      <c r="S57" s="223" t="n"/>
      <c r="T57" s="223" t="n"/>
      <c r="U57" s="223" t="n"/>
      <c r="V57" s="223" t="n"/>
      <c r="W57" s="223" t="n"/>
      <c r="X57" s="223" t="n"/>
    </row>
    <row r="58">
      <c r="A58" s="124" t="n"/>
      <c r="B58" s="223" t="n"/>
      <c r="C58" s="223" t="n"/>
      <c r="D58" s="215">
        <f>E58*0.93*0.98</f>
        <v/>
      </c>
      <c r="E58" s="200" t="n"/>
      <c r="F58" s="222" t="n"/>
      <c r="G58" s="222" t="n"/>
      <c r="H58" s="222" t="n"/>
      <c r="I58" s="223" t="n"/>
      <c r="K58" s="200" t="n"/>
      <c r="L58" s="200" t="n"/>
      <c r="M58" s="200" t="n"/>
      <c r="N58" s="200" t="n"/>
      <c r="S58" s="223" t="n"/>
      <c r="T58" s="223" t="n"/>
      <c r="U58" s="223" t="n"/>
      <c r="V58" s="223" t="n"/>
      <c r="W58" s="223" t="n"/>
      <c r="X58" s="223" t="n"/>
    </row>
    <row r="59">
      <c r="A59" s="117" t="inlineStr">
        <is>
          <t>CAMILLEROS</t>
        </is>
      </c>
      <c r="B59" s="223" t="n"/>
      <c r="C59" s="223" t="n"/>
      <c r="D59" s="215">
        <f>E59*0.93*0.98</f>
        <v/>
      </c>
      <c r="E59" s="200" t="n"/>
      <c r="F59" s="222" t="n"/>
      <c r="G59" s="222" t="n"/>
      <c r="H59" s="222" t="n"/>
      <c r="I59" s="223" t="n"/>
      <c r="K59" s="200" t="n"/>
      <c r="L59" s="200" t="n"/>
      <c r="M59" s="200" t="n"/>
      <c r="N59" s="200" t="n"/>
      <c r="S59" s="223" t="n"/>
      <c r="T59" s="223" t="n"/>
      <c r="U59" s="223" t="n"/>
      <c r="V59" s="223" t="n"/>
      <c r="W59" s="223" t="n"/>
      <c r="X59" s="223" t="n"/>
    </row>
    <row r="60">
      <c r="A60" s="131" t="n"/>
      <c r="B60" s="223" t="n"/>
      <c r="C60" s="223" t="n"/>
      <c r="D60" s="215">
        <f>E60*0.93*0.98</f>
        <v/>
      </c>
      <c r="E60" s="200" t="n"/>
      <c r="F60" s="222" t="n"/>
      <c r="G60" s="222" t="n"/>
      <c r="H60" s="222" t="n"/>
      <c r="I60" s="223" t="n"/>
      <c r="K60" s="200" t="n"/>
      <c r="L60" s="200" t="n"/>
      <c r="M60" s="200" t="n"/>
      <c r="N60" s="200" t="n"/>
      <c r="S60" s="223" t="n"/>
      <c r="T60" s="223" t="n"/>
      <c r="U60" s="223" t="n"/>
      <c r="V60" s="223" t="n"/>
      <c r="W60" s="223" t="n"/>
      <c r="X60" s="223" t="n"/>
    </row>
    <row r="61">
      <c r="A61" s="182" t="n">
        <v>301</v>
      </c>
      <c r="B61" s="224" t="inlineStr">
        <is>
          <t>Pack x 2 Rollos Camilleros bco s/h 54x100mts Prec</t>
        </is>
      </c>
      <c r="D61" s="227">
        <f>E61*0.93*0.98</f>
        <v/>
      </c>
      <c r="E61" s="238" t="n">
        <v>3247.99</v>
      </c>
      <c r="F61" s="228">
        <f>D61*1.3*1.105</f>
        <v/>
      </c>
      <c r="G61" s="226">
        <f>D61*1.3*1.105/0.9</f>
        <v/>
      </c>
      <c r="H61" s="227">
        <f>G61*1.21</f>
        <v/>
      </c>
      <c r="I61" s="227">
        <f>ROUND(H61/100,0)*100</f>
        <v/>
      </c>
      <c r="J61" s="193" t="n"/>
      <c r="K61" s="238" t="n">
        <v>3299.46</v>
      </c>
      <c r="L61" s="256" t="n">
        <v>2969.51</v>
      </c>
      <c r="M61" s="256" t="n">
        <v>2804.54</v>
      </c>
      <c r="N61" s="238" t="n">
        <v>3247.99</v>
      </c>
      <c r="O61" s="193" t="n"/>
      <c r="P61" s="193" t="n"/>
      <c r="Q61" s="193" t="n"/>
      <c r="R61" s="193" t="n"/>
      <c r="S61" s="227">
        <f>N61*0.93</f>
        <v/>
      </c>
      <c r="T61" s="224" t="n"/>
      <c r="U61" s="224" t="n"/>
      <c r="V61" s="224" t="n"/>
      <c r="W61" s="224" t="n"/>
      <c r="X61" s="224" t="n"/>
      <c r="Y61" s="193" t="n"/>
    </row>
    <row r="62">
      <c r="A62" s="124" t="n"/>
      <c r="B62" s="155" t="n"/>
      <c r="C62" s="223" t="n"/>
      <c r="D62" s="215">
        <f>E62*0.93*0.98</f>
        <v/>
      </c>
      <c r="E62" s="200" t="n"/>
      <c r="F62" s="222" t="n"/>
      <c r="G62" s="222" t="n"/>
      <c r="H62" s="222" t="n"/>
      <c r="I62" s="223" t="n"/>
      <c r="K62" s="200" t="n"/>
      <c r="L62" s="200" t="n"/>
      <c r="M62" s="200" t="n"/>
      <c r="N62" s="200" t="n"/>
      <c r="S62" s="223" t="n"/>
      <c r="T62" s="223" t="n"/>
      <c r="U62" s="223" t="n"/>
      <c r="V62" s="223" t="n"/>
      <c r="W62" s="223" t="n"/>
      <c r="X62" s="223" t="n"/>
    </row>
    <row r="63">
      <c r="A63" s="142" t="inlineStr">
        <is>
          <t>DISPENSERS</t>
        </is>
      </c>
      <c r="B63" s="223" t="n"/>
      <c r="C63" s="223" t="n"/>
      <c r="D63" s="215">
        <f>E63*0.93*0.98</f>
        <v/>
      </c>
      <c r="E63" s="200" t="n"/>
      <c r="F63" s="222" t="n"/>
      <c r="G63" s="222" t="n"/>
      <c r="H63" s="222" t="n"/>
      <c r="I63" s="223" t="n"/>
      <c r="K63" s="200" t="n"/>
      <c r="L63" s="200" t="n"/>
      <c r="M63" s="200" t="n"/>
      <c r="N63" s="200" t="n"/>
      <c r="S63" s="223" t="n"/>
      <c r="T63" s="223" t="n"/>
      <c r="U63" s="223" t="n"/>
      <c r="V63" s="223" t="n"/>
      <c r="W63" s="223" t="n"/>
      <c r="X63" s="223" t="n"/>
    </row>
    <row r="64">
      <c r="A64" s="111" t="n"/>
      <c r="B64" s="223" t="n"/>
      <c r="C64" s="223" t="n"/>
      <c r="D64" s="215">
        <f>E64*0.93*0.98</f>
        <v/>
      </c>
      <c r="E64" s="200" t="n"/>
      <c r="F64" s="222" t="n"/>
      <c r="G64" s="222" t="n"/>
      <c r="H64" s="222" t="n"/>
      <c r="I64" s="223" t="n"/>
      <c r="K64" s="200" t="n"/>
      <c r="L64" s="200" t="n"/>
      <c r="M64" s="200" t="n"/>
      <c r="N64" s="200" t="n"/>
      <c r="S64" s="223" t="n"/>
      <c r="T64" s="223" t="n"/>
      <c r="U64" s="223" t="n"/>
      <c r="V64" s="223" t="n"/>
      <c r="W64" s="223" t="n"/>
      <c r="X64" s="223" t="n"/>
    </row>
    <row r="65">
      <c r="A65" s="124" t="n">
        <v>403</v>
      </c>
      <c r="B65" s="223" t="inlineStr">
        <is>
          <t>Portabobina de Pared</t>
        </is>
      </c>
      <c r="C65" s="223" t="n"/>
      <c r="D65" s="215">
        <f>E65*0.93*0.98</f>
        <v/>
      </c>
      <c r="E65" s="238" t="n">
        <v>5282.1</v>
      </c>
      <c r="F65" s="218">
        <f>D65*1.3*1.105</f>
        <v/>
      </c>
      <c r="G65" s="219">
        <f>D65*1.3*1.105/0.9</f>
        <v/>
      </c>
      <c r="H65" s="220">
        <f>G65*1.21</f>
        <v/>
      </c>
      <c r="I65" s="215">
        <f>ROUND(H65/100,0)*100</f>
        <v/>
      </c>
      <c r="K65" s="238" t="n">
        <v>5365.8</v>
      </c>
      <c r="L65" s="256" t="n">
        <v>4829.22</v>
      </c>
      <c r="M65" s="256" t="n">
        <v>4560.93</v>
      </c>
      <c r="N65" s="238" t="n">
        <v>5282.1</v>
      </c>
      <c r="S65" s="223" t="n"/>
      <c r="T65" s="223" t="n"/>
      <c r="U65" s="223" t="n"/>
      <c r="V65" s="223" t="n"/>
      <c r="W65" s="223" t="n"/>
      <c r="X65" s="223" t="n"/>
    </row>
    <row r="66">
      <c r="A66" s="124" t="n">
        <v>404</v>
      </c>
      <c r="B66" s="223" t="inlineStr">
        <is>
          <t>Portarollo para Camilla</t>
        </is>
      </c>
      <c r="C66" s="223" t="n"/>
      <c r="D66" s="215">
        <f>E66*0.93*0.98</f>
        <v/>
      </c>
      <c r="E66" s="236" t="n">
        <v>7289.04</v>
      </c>
      <c r="F66" s="218">
        <f>D66*1.3*1.105</f>
        <v/>
      </c>
      <c r="G66" s="219">
        <f>D66*1.3*1.105/0.9</f>
        <v/>
      </c>
      <c r="H66" s="220">
        <f>G66*1.21</f>
        <v/>
      </c>
      <c r="I66" s="215">
        <f>ROUND(H66/100,0)*100</f>
        <v/>
      </c>
      <c r="K66" s="236" t="n">
        <v>7404.54</v>
      </c>
      <c r="L66" s="257" t="n">
        <v>6664.09</v>
      </c>
      <c r="M66" s="257" t="n">
        <v>6293.86</v>
      </c>
      <c r="N66" s="236" t="n">
        <v>7289.04</v>
      </c>
      <c r="S66" s="223" t="n"/>
      <c r="T66" s="223" t="n"/>
      <c r="U66" s="223" t="n"/>
      <c r="V66" s="223" t="n"/>
      <c r="W66" s="223" t="n"/>
      <c r="X66" s="223" t="n"/>
    </row>
    <row r="67">
      <c r="A67" s="124" t="n">
        <v>418</v>
      </c>
      <c r="B67" s="223" t="inlineStr">
        <is>
          <t>Portabobina de Piso</t>
        </is>
      </c>
      <c r="C67" s="223" t="n"/>
      <c r="D67" s="215">
        <f>E67*0.93*0.98</f>
        <v/>
      </c>
      <c r="E67" s="236" t="n">
        <v>5810.14</v>
      </c>
      <c r="F67" s="218">
        <f>D67*1.3*1.105</f>
        <v/>
      </c>
      <c r="G67" s="219">
        <f>D67*1.3*1.105/0.9</f>
        <v/>
      </c>
      <c r="H67" s="220">
        <f>G67*1.21</f>
        <v/>
      </c>
      <c r="I67" s="215">
        <f>ROUND(H67/100,0)*100</f>
        <v/>
      </c>
      <c r="K67" s="236" t="n">
        <v>5902.22</v>
      </c>
      <c r="L67" s="257" t="n">
        <v>5312</v>
      </c>
      <c r="M67" s="257" t="n">
        <v>5016.89</v>
      </c>
      <c r="N67" s="236" t="n">
        <v>5810.14</v>
      </c>
      <c r="S67" s="223" t="n"/>
      <c r="T67" s="223" t="n"/>
      <c r="U67" s="223" t="n"/>
      <c r="V67" s="223" t="n"/>
      <c r="W67" s="223" t="n"/>
      <c r="X67" s="223" t="n"/>
    </row>
    <row r="68">
      <c r="A68" s="124" t="n">
        <v>422</v>
      </c>
      <c r="B68" s="223" t="inlineStr">
        <is>
          <t>Dispenser Celmatic Due</t>
        </is>
      </c>
      <c r="C68" s="223" t="n"/>
      <c r="D68" s="215">
        <f>E68*0.93*0.98</f>
        <v/>
      </c>
      <c r="E68" s="236" t="n">
        <v>7440.66</v>
      </c>
      <c r="F68" s="218">
        <f>D68*1.3*1.105</f>
        <v/>
      </c>
      <c r="G68" s="219">
        <f>D68*1.3*1.105/0.9</f>
        <v/>
      </c>
      <c r="H68" s="220">
        <f>G68*1.21</f>
        <v/>
      </c>
      <c r="I68" s="215">
        <f>ROUND(H68/100,0)*100</f>
        <v/>
      </c>
      <c r="K68" s="236" t="n">
        <v>7558.57</v>
      </c>
      <c r="L68" s="257" t="n">
        <v>6802.71</v>
      </c>
      <c r="M68" s="257" t="n">
        <v>6424.78</v>
      </c>
      <c r="N68" s="236" t="n">
        <v>7440.66</v>
      </c>
      <c r="S68" s="223" t="n"/>
      <c r="T68" s="223" t="n"/>
      <c r="U68" s="223" t="n"/>
      <c r="V68" s="223" t="n"/>
      <c r="W68" s="223" t="n"/>
      <c r="X68" s="223" t="n"/>
    </row>
    <row r="69">
      <c r="A69" s="124" t="n">
        <v>425</v>
      </c>
      <c r="B69" s="223" t="inlineStr">
        <is>
          <t>Dosificador para Jabón Líquido Recargable</t>
        </is>
      </c>
      <c r="D69" s="215">
        <f>E69*0.93*0.98</f>
        <v/>
      </c>
      <c r="E69" s="236" t="n">
        <v>2792.55</v>
      </c>
      <c r="F69" s="218">
        <f>D69*1.3*1.105</f>
        <v/>
      </c>
      <c r="G69" s="219">
        <f>D69*1.3*1.105/0.9</f>
        <v/>
      </c>
      <c r="H69" s="220">
        <f>G69*1.21</f>
        <v/>
      </c>
      <c r="I69" s="215">
        <f>ROUND(H69/100,0)*100</f>
        <v/>
      </c>
      <c r="K69" s="236" t="n">
        <v>2836.81</v>
      </c>
      <c r="L69" s="257" t="n">
        <v>2553.13</v>
      </c>
      <c r="M69" s="257" t="n">
        <v>2411.29</v>
      </c>
      <c r="N69" s="236" t="n">
        <v>2792.55</v>
      </c>
      <c r="S69" s="223" t="n"/>
      <c r="T69" s="223" t="n"/>
      <c r="U69" s="223" t="n"/>
      <c r="V69" s="223" t="n"/>
      <c r="W69" s="223" t="n"/>
      <c r="X69" s="223" t="n"/>
    </row>
    <row r="70">
      <c r="A70" s="124" t="n">
        <v>427</v>
      </c>
      <c r="B70" s="223" t="inlineStr">
        <is>
          <t>Dispenser Para Papel Higienico Racional 350</t>
        </is>
      </c>
      <c r="D70" s="215">
        <f>E70*0.93*0.98</f>
        <v/>
      </c>
      <c r="E70" s="236" t="n">
        <v>3411.04</v>
      </c>
      <c r="F70" s="218">
        <f>D70*1.3*1.105</f>
        <v/>
      </c>
      <c r="G70" s="219">
        <f>D70*1.3*1.105/0.9</f>
        <v/>
      </c>
      <c r="H70" s="220">
        <f>G70*1.21</f>
        <v/>
      </c>
      <c r="I70" s="215">
        <f>ROUND(H70/100,0)*100</f>
        <v/>
      </c>
      <c r="K70" s="236" t="n">
        <v>3465.09</v>
      </c>
      <c r="L70" s="257" t="n">
        <v>3118.58</v>
      </c>
      <c r="M70" s="257" t="n">
        <v>2945.33</v>
      </c>
      <c r="N70" s="236" t="n">
        <v>3411.04</v>
      </c>
      <c r="S70" s="223" t="n"/>
      <c r="T70" s="223" t="n"/>
      <c r="U70" s="223" t="n"/>
      <c r="V70" s="223" t="n"/>
      <c r="W70" s="223" t="n"/>
      <c r="X70" s="223" t="n"/>
    </row>
    <row r="71">
      <c r="A71" s="124" t="n">
        <v>428</v>
      </c>
      <c r="B71" s="223" t="inlineStr">
        <is>
          <t>Dispenser para Papel Higiénico</t>
        </is>
      </c>
      <c r="C71" s="223" t="n"/>
      <c r="D71" s="215">
        <f>E71*0.93*0.98</f>
        <v/>
      </c>
      <c r="E71" s="236" t="n">
        <v>3900.97</v>
      </c>
      <c r="F71" s="218">
        <f>D71*1.3*1.105</f>
        <v/>
      </c>
      <c r="G71" s="219">
        <f>D71*1.3*1.105/0.9</f>
        <v/>
      </c>
      <c r="H71" s="220">
        <f>G71*1.21</f>
        <v/>
      </c>
      <c r="I71" s="215">
        <f>ROUND(H71/100,0)*100</f>
        <v/>
      </c>
      <c r="K71" s="236" t="n">
        <v>3962.79</v>
      </c>
      <c r="L71" s="257" t="n">
        <v>3566.51</v>
      </c>
      <c r="M71" s="257" t="n">
        <v>3368.37</v>
      </c>
      <c r="N71" s="236" t="n">
        <v>3900.97</v>
      </c>
      <c r="S71" s="223" t="n"/>
      <c r="T71" s="223" t="n"/>
      <c r="U71" s="223" t="n"/>
      <c r="V71" s="223" t="n"/>
      <c r="W71" s="223" t="n"/>
      <c r="X71" s="223" t="n"/>
    </row>
    <row r="72">
      <c r="A72" s="124" t="n">
        <v>429</v>
      </c>
      <c r="B72" s="223" t="inlineStr">
        <is>
          <t>Dispenser para Toallas de Papel</t>
        </is>
      </c>
      <c r="C72" s="223" t="n"/>
      <c r="D72" s="215">
        <f>E72*0.93*0.98</f>
        <v/>
      </c>
      <c r="E72" s="236" t="n">
        <v>2798.67</v>
      </c>
      <c r="F72" s="218">
        <f>D72*1.3*1.105</f>
        <v/>
      </c>
      <c r="G72" s="219">
        <f>D72*1.3*1.105/0.9</f>
        <v/>
      </c>
      <c r="H72" s="220">
        <f>G72*1.21</f>
        <v/>
      </c>
      <c r="I72" s="215">
        <f>ROUND(H72/100,0)*100</f>
        <v/>
      </c>
      <c r="K72" s="236" t="n">
        <v>2843.03</v>
      </c>
      <c r="L72" s="257" t="n">
        <v>2558.73</v>
      </c>
      <c r="M72" s="257" t="n">
        <v>2416.58</v>
      </c>
      <c r="N72" s="236" t="n">
        <v>2798.67</v>
      </c>
      <c r="S72" s="223" t="n"/>
      <c r="T72" s="223" t="n"/>
      <c r="U72" s="223" t="n"/>
      <c r="V72" s="223" t="n"/>
      <c r="W72" s="223" t="n"/>
      <c r="X72" s="223" t="n"/>
    </row>
    <row r="73">
      <c r="A73" s="124" t="n">
        <v>430</v>
      </c>
      <c r="B73" s="223" t="inlineStr">
        <is>
          <t>Dispenser Para Papel Higienico Racional 600</t>
        </is>
      </c>
      <c r="D73" s="215">
        <f>E73*0.93*0.98</f>
        <v/>
      </c>
      <c r="E73" s="236" t="n">
        <v>5491.25</v>
      </c>
      <c r="F73" s="218">
        <f>D73*1.3*1.105</f>
        <v/>
      </c>
      <c r="G73" s="219">
        <f>D73*1.3*1.105/0.9</f>
        <v/>
      </c>
      <c r="H73" s="220">
        <f>G73*1.21</f>
        <v/>
      </c>
      <c r="I73" s="215">
        <f>ROUND(H73/100,0)*100</f>
        <v/>
      </c>
      <c r="K73" s="236" t="n">
        <v>5578.27</v>
      </c>
      <c r="L73" s="257" t="n">
        <v>5020.44</v>
      </c>
      <c r="M73" s="257" t="n">
        <v>4741.53</v>
      </c>
      <c r="N73" s="236" t="n">
        <v>5491.25</v>
      </c>
      <c r="S73" s="223" t="n"/>
      <c r="T73" s="223" t="n"/>
      <c r="U73" s="223" t="n"/>
      <c r="V73" s="223" t="n"/>
      <c r="W73" s="223" t="n"/>
      <c r="X73" s="223" t="n"/>
    </row>
    <row r="74">
      <c r="A74" s="124" t="n"/>
      <c r="B74" s="223" t="n"/>
      <c r="C74" s="223" t="n"/>
      <c r="D74" s="215">
        <f>E74*0.93*0.98</f>
        <v/>
      </c>
      <c r="E74" s="200" t="n"/>
      <c r="F74" s="222" t="n"/>
      <c r="G74" s="222" t="n"/>
      <c r="H74" s="222" t="n"/>
      <c r="I74" s="223" t="n"/>
      <c r="K74" s="200" t="n"/>
      <c r="L74" s="200" t="n"/>
      <c r="M74" s="200" t="n"/>
      <c r="N74" s="200" t="n"/>
      <c r="S74" s="223" t="n"/>
      <c r="T74" s="223" t="n"/>
      <c r="U74" s="223" t="n"/>
      <c r="V74" s="223" t="n"/>
      <c r="W74" s="223" t="n"/>
      <c r="X74" s="223" t="n"/>
    </row>
    <row r="75">
      <c r="A75" s="124" t="n"/>
      <c r="B75" s="223" t="n"/>
      <c r="C75" s="223" t="n"/>
      <c r="D75" s="215">
        <f>E75*0.93*0.98</f>
        <v/>
      </c>
      <c r="E75" s="200" t="n"/>
      <c r="F75" s="222" t="n"/>
      <c r="G75" s="222" t="n"/>
      <c r="H75" s="222" t="n"/>
      <c r="I75" s="223" t="n"/>
      <c r="K75" s="200" t="n"/>
      <c r="L75" s="200" t="n"/>
      <c r="M75" s="200" t="n"/>
      <c r="N75" s="200" t="n"/>
      <c r="S75" s="223" t="n"/>
      <c r="T75" s="223" t="n"/>
      <c r="U75" s="223" t="n"/>
      <c r="V75" s="223" t="n"/>
      <c r="W75" s="223" t="n"/>
      <c r="X75" s="223" t="n"/>
    </row>
    <row r="76">
      <c r="A76" s="124" t="n"/>
      <c r="B76" s="223" t="n"/>
      <c r="C76" s="223" t="n"/>
      <c r="D76" s="215">
        <f>E76*0.93*0.98</f>
        <v/>
      </c>
      <c r="E76" s="200" t="n"/>
      <c r="F76" s="222" t="n"/>
      <c r="G76" s="222" t="n"/>
      <c r="H76" s="222" t="n"/>
      <c r="I76" s="223" t="n"/>
      <c r="K76" s="200" t="n"/>
      <c r="L76" s="200" t="n"/>
      <c r="M76" s="200" t="n"/>
      <c r="N76" s="200" t="n"/>
      <c r="S76" s="223" t="n"/>
      <c r="T76" s="223" t="n"/>
      <c r="U76" s="223" t="n"/>
      <c r="V76" s="223" t="n"/>
      <c r="W76" s="223" t="n"/>
      <c r="X76" s="223" t="n"/>
    </row>
    <row r="77">
      <c r="A77" s="117" t="inlineStr">
        <is>
          <t>LIMPIEZA INDUSTRIAL</t>
        </is>
      </c>
      <c r="B77" s="271" t="n"/>
      <c r="C77" s="223" t="n"/>
      <c r="D77" s="215">
        <f>E77*0.93*0.98</f>
        <v/>
      </c>
      <c r="E77" s="200" t="n"/>
      <c r="F77" s="222" t="n"/>
      <c r="G77" s="222" t="n"/>
      <c r="H77" s="222" t="n"/>
      <c r="I77" s="223" t="n"/>
      <c r="K77" s="200" t="n"/>
      <c r="L77" s="200" t="n"/>
      <c r="M77" s="200" t="n"/>
      <c r="N77" s="200" t="n"/>
      <c r="S77" s="223" t="n"/>
      <c r="T77" s="223" t="n"/>
      <c r="U77" s="223" t="n"/>
      <c r="V77" s="223" t="n"/>
      <c r="W77" s="223" t="n"/>
      <c r="X77" s="223" t="n"/>
    </row>
    <row r="78">
      <c r="A78" s="131" t="n"/>
      <c r="B78" s="223" t="n"/>
      <c r="C78" s="223" t="n"/>
      <c r="D78" s="215">
        <f>E78*0.93*0.98</f>
        <v/>
      </c>
      <c r="E78" s="200" t="n"/>
      <c r="F78" s="222" t="n"/>
      <c r="G78" s="222" t="n"/>
      <c r="H78" s="222" t="n"/>
      <c r="I78" s="223" t="n"/>
      <c r="K78" s="200" t="n"/>
      <c r="L78" s="200" t="n"/>
      <c r="M78" s="200" t="n"/>
      <c r="N78" s="200" t="n"/>
      <c r="S78" s="223" t="n"/>
      <c r="T78" s="223" t="n"/>
      <c r="U78" s="223" t="n"/>
      <c r="V78" s="223" t="n"/>
      <c r="W78" s="223" t="n"/>
      <c r="X78" s="223" t="n"/>
    </row>
    <row r="79">
      <c r="A79" s="182" t="n">
        <v>101</v>
      </c>
      <c r="B79" s="224" t="inlineStr">
        <is>
          <t>Pack x 6 bobinas 22,5 cm x 300 porciones</t>
        </is>
      </c>
      <c r="D79" s="227">
        <f>E79*0.93*0.98</f>
        <v/>
      </c>
      <c r="E79" s="238" t="n">
        <v>4197.96</v>
      </c>
      <c r="F79" s="228">
        <f>D79*1.3*1.105</f>
        <v/>
      </c>
      <c r="G79" s="226">
        <f>D79*1.3*1.105/0.9</f>
        <v/>
      </c>
      <c r="H79" s="227">
        <f>G79*1.21</f>
        <v/>
      </c>
      <c r="I79" s="227">
        <f>ROUND(H79/100,0)*100</f>
        <v/>
      </c>
      <c r="J79" s="193" t="n"/>
      <c r="K79" s="238" t="n">
        <v>4264.49</v>
      </c>
      <c r="L79" s="256" t="n">
        <v>3838.04</v>
      </c>
      <c r="M79" s="256" t="n">
        <v>3624.82</v>
      </c>
      <c r="N79" s="238" t="n">
        <v>4197.96</v>
      </c>
      <c r="O79" s="193" t="n"/>
      <c r="P79" s="193" t="n"/>
      <c r="Q79" s="193" t="n"/>
      <c r="R79" s="193" t="n"/>
      <c r="S79" s="224" t="n"/>
      <c r="T79" s="224" t="n"/>
      <c r="U79" s="224" t="n"/>
      <c r="V79" s="224" t="n"/>
      <c r="W79" s="224" t="n"/>
      <c r="X79" s="224" t="n"/>
      <c r="Y79" s="193" t="n"/>
    </row>
    <row r="80">
      <c r="A80" s="124" t="n">
        <v>109</v>
      </c>
      <c r="B80" s="223" t="inlineStr">
        <is>
          <t>Pack x 2 bobinas papel original 22,5 cm x 270 mts</t>
        </is>
      </c>
      <c r="D80" s="215">
        <f>E80*0.93*0.98</f>
        <v/>
      </c>
      <c r="E80" s="236" t="n">
        <v>3276.64</v>
      </c>
      <c r="F80" s="218">
        <f>D80*1.3*1.105</f>
        <v/>
      </c>
      <c r="G80" s="219">
        <f>D80*1.3*1.105/0.9</f>
        <v/>
      </c>
      <c r="H80" s="220">
        <f>G80*1.21</f>
        <v/>
      </c>
      <c r="I80" s="215">
        <f>ROUND(H80/100,0)*100</f>
        <v/>
      </c>
      <c r="K80" s="236" t="n">
        <v>3328.56</v>
      </c>
      <c r="L80" s="257" t="n">
        <v>2995.7</v>
      </c>
      <c r="M80" s="257" t="n">
        <v>2829.28</v>
      </c>
      <c r="N80" s="236" t="n">
        <v>3276.64</v>
      </c>
      <c r="S80" s="223" t="n"/>
      <c r="T80" s="223" t="n"/>
      <c r="U80" s="223" t="n"/>
      <c r="V80" s="223" t="n"/>
      <c r="W80" s="223" t="n"/>
      <c r="X80" s="223" t="n"/>
    </row>
    <row r="81">
      <c r="A81" s="182" t="n">
        <v>123</v>
      </c>
      <c r="B81" s="224" t="inlineStr">
        <is>
          <t>Pack x 2 bobinas Papel Original 900 hjs/360 mts.</t>
        </is>
      </c>
      <c r="D81" s="227">
        <f>E81*0.93*0.98</f>
        <v/>
      </c>
      <c r="E81" s="236" t="n">
        <v>4813.13</v>
      </c>
      <c r="F81" s="228">
        <f>D81*1.3*1.105</f>
        <v/>
      </c>
      <c r="G81" s="226">
        <f>D81*1.3*1.105/0.9</f>
        <v/>
      </c>
      <c r="H81" s="227">
        <f>G81*1.21</f>
        <v/>
      </c>
      <c r="I81" s="227">
        <f>ROUND(H81/100,0)*100</f>
        <v/>
      </c>
      <c r="J81" s="193" t="n"/>
      <c r="K81" s="236" t="n">
        <v>4889.4</v>
      </c>
      <c r="L81" s="257" t="n">
        <v>4400.46</v>
      </c>
      <c r="M81" s="257" t="n">
        <v>4155.99</v>
      </c>
      <c r="N81" s="236" t="n">
        <v>4813.13</v>
      </c>
      <c r="O81" s="193" t="n"/>
      <c r="P81" s="193" t="n"/>
      <c r="Q81" s="193" t="n"/>
      <c r="R81" s="193" t="n"/>
      <c r="S81" s="224" t="n"/>
      <c r="T81" s="224" t="n"/>
      <c r="U81" s="224" t="n"/>
      <c r="V81" s="224" t="n"/>
      <c r="W81" s="224" t="n"/>
      <c r="X81" s="224" t="n"/>
      <c r="Y81" s="193" t="n"/>
    </row>
    <row r="82">
      <c r="A82" s="124" t="n">
        <v>809</v>
      </c>
      <c r="B82" s="223" t="inlineStr">
        <is>
          <t>Pack x 4 Rollos 600 porc 25x25 Rep Tambo</t>
        </is>
      </c>
      <c r="D82" s="215">
        <f>E82*0.93*0.98</f>
        <v/>
      </c>
      <c r="E82" s="236" t="n">
        <v>4999.97</v>
      </c>
      <c r="F82" s="218">
        <f>D82*1.3*1.105</f>
        <v/>
      </c>
      <c r="G82" s="219">
        <f>D82*1.3*1.105/0.9</f>
        <v/>
      </c>
      <c r="H82" s="220">
        <f>G82*1.21</f>
        <v/>
      </c>
      <c r="I82" s="215">
        <f>ROUND(H82/100,0)*100</f>
        <v/>
      </c>
      <c r="K82" s="236" t="n">
        <v>5079.2</v>
      </c>
      <c r="L82" s="257" t="n">
        <v>4571.28</v>
      </c>
      <c r="M82" s="257" t="n">
        <v>4317.32</v>
      </c>
      <c r="N82" s="236" t="n">
        <v>4999.97</v>
      </c>
      <c r="S82" s="223" t="n"/>
      <c r="T82" s="223" t="n"/>
      <c r="U82" s="223" t="n"/>
      <c r="V82" s="223" t="n"/>
      <c r="W82" s="223" t="n"/>
      <c r="X82" s="223" t="n"/>
    </row>
    <row r="83">
      <c r="A83" s="124" t="n"/>
      <c r="B83" s="223" t="n"/>
      <c r="C83" s="223" t="n"/>
      <c r="D83" s="215">
        <f>E83*0.93*0.98</f>
        <v/>
      </c>
      <c r="E83" s="200" t="n"/>
      <c r="F83" s="222" t="n"/>
      <c r="G83" s="222" t="n"/>
      <c r="H83" s="222" t="n"/>
      <c r="I83" s="223" t="n"/>
      <c r="K83" s="200" t="n"/>
      <c r="L83" s="200" t="n"/>
      <c r="M83" s="200" t="n"/>
      <c r="N83" s="200" t="n"/>
      <c r="S83" s="223" t="n"/>
      <c r="T83" s="223" t="n"/>
      <c r="U83" s="223" t="n"/>
      <c r="V83" s="223" t="n"/>
      <c r="W83" s="223" t="n"/>
      <c r="X83" s="223" t="n"/>
    </row>
    <row r="84">
      <c r="A84" s="124" t="n"/>
      <c r="B84" s="223" t="n"/>
      <c r="C84" s="223" t="n"/>
      <c r="D84" s="215">
        <f>E84*0.93*0.98</f>
        <v/>
      </c>
      <c r="E84" s="200" t="n"/>
      <c r="F84" s="222" t="n"/>
      <c r="G84" s="222" t="n"/>
      <c r="H84" s="222" t="n"/>
      <c r="I84" s="223" t="n"/>
      <c r="K84" s="200" t="n"/>
      <c r="L84" s="200" t="n"/>
      <c r="M84" s="200" t="n"/>
      <c r="N84" s="200" t="n"/>
      <c r="S84" s="223" t="n"/>
      <c r="T84" s="223" t="n"/>
      <c r="U84" s="223" t="n"/>
      <c r="V84" s="223" t="n"/>
      <c r="W84" s="223" t="n"/>
      <c r="X84" s="223" t="n"/>
    </row>
    <row r="85">
      <c r="A85" s="117" t="inlineStr">
        <is>
          <t>PAÑOS DE LIMPIEZA DE ALTA PERFORMANCE</t>
        </is>
      </c>
      <c r="B85" s="223" t="n"/>
      <c r="C85" s="223" t="n"/>
      <c r="D85" s="215">
        <f>E85*0.93*0.98</f>
        <v/>
      </c>
      <c r="E85" s="200" t="n"/>
      <c r="F85" s="222" t="n"/>
      <c r="G85" s="222" t="n"/>
      <c r="H85" s="222" t="n"/>
      <c r="I85" s="223" t="n"/>
      <c r="K85" s="200" t="n"/>
      <c r="L85" s="200" t="n"/>
      <c r="M85" s="200" t="n"/>
      <c r="N85" s="200" t="n"/>
      <c r="S85" s="223" t="n"/>
      <c r="T85" s="223" t="n"/>
      <c r="U85" s="223" t="n"/>
      <c r="V85" s="223" t="n"/>
      <c r="W85" s="223" t="n"/>
      <c r="X85" s="223" t="n"/>
    </row>
    <row r="86">
      <c r="A86" s="131" t="n"/>
      <c r="B86" s="223" t="n"/>
      <c r="C86" s="223" t="n"/>
      <c r="D86" s="215">
        <f>E86*0.93*0.98</f>
        <v/>
      </c>
      <c r="E86" s="200" t="n"/>
      <c r="F86" s="222" t="n"/>
      <c r="G86" s="222" t="n"/>
      <c r="H86" s="222" t="n"/>
      <c r="I86" s="223" t="n"/>
      <c r="K86" s="200" t="n"/>
      <c r="L86" s="200" t="n"/>
      <c r="M86" s="200" t="n"/>
      <c r="N86" s="200" t="n"/>
      <c r="S86" s="223" t="n"/>
      <c r="T86" s="223" t="n"/>
      <c r="U86" s="223" t="n"/>
      <c r="V86" s="223" t="n"/>
      <c r="W86" s="223" t="n"/>
      <c r="X86" s="223" t="n"/>
    </row>
    <row r="87">
      <c r="A87" s="157" t="inlineStr">
        <is>
          <t>Linea Softclean</t>
        </is>
      </c>
      <c r="C87" s="158" t="n"/>
      <c r="D87" s="215">
        <f>E87*0.93*0.98</f>
        <v/>
      </c>
      <c r="E87" s="234" t="n"/>
      <c r="F87" s="222" t="n"/>
      <c r="G87" s="222" t="n"/>
      <c r="H87" s="222" t="n"/>
      <c r="I87" s="223" t="n"/>
      <c r="K87" s="197" t="inlineStr">
        <is>
          <t>U$S</t>
        </is>
      </c>
      <c r="L87" s="190" t="n"/>
      <c r="M87" s="190" t="n"/>
      <c r="N87" s="234" t="n"/>
      <c r="S87" s="223" t="n"/>
      <c r="T87" s="223" t="n"/>
      <c r="U87" s="223" t="n"/>
      <c r="V87" s="223" t="n"/>
      <c r="W87" s="223" t="n"/>
      <c r="X87" s="223" t="n"/>
    </row>
    <row r="88">
      <c r="A88" s="186" t="n">
        <v>601</v>
      </c>
      <c r="B88" s="223" t="inlineStr">
        <is>
          <t>Rollo precortado Maxi blanco 30 x 38 x 500 softclean</t>
        </is>
      </c>
      <c r="D88" s="215">
        <f>E88*0.93*0.98</f>
        <v/>
      </c>
      <c r="E88" s="239" t="n">
        <v>54.43</v>
      </c>
      <c r="F88" s="218">
        <f>D88*1.3*1.105</f>
        <v/>
      </c>
      <c r="G88" s="219">
        <f>D88*1.3*1.105/0.9</f>
        <v/>
      </c>
      <c r="H88" s="220">
        <f>G88*1.21</f>
        <v/>
      </c>
      <c r="I88" s="215">
        <f>ROUND(H88/100,0)*100</f>
        <v/>
      </c>
      <c r="K88" s="239" t="n">
        <v>68.04000000000001</v>
      </c>
      <c r="L88" s="268" t="n">
        <v>61.24</v>
      </c>
      <c r="M88" s="268" t="n">
        <v>57.83</v>
      </c>
      <c r="N88" s="239" t="n">
        <v>54.43</v>
      </c>
      <c r="S88" s="223" t="n"/>
      <c r="T88" s="223" t="n"/>
      <c r="U88" s="223" t="n"/>
      <c r="V88" s="223" t="n"/>
      <c r="W88" s="223" t="n"/>
      <c r="X88" s="223" t="n"/>
    </row>
    <row r="89">
      <c r="A89" s="242" t="n">
        <v>605</v>
      </c>
      <c r="B89" s="224" t="inlineStr">
        <is>
          <t>Caja x 250 Paños Ultratex de 34cm x 60cm</t>
        </is>
      </c>
      <c r="D89" s="227">
        <f>E89*0.93*0.98</f>
        <v/>
      </c>
      <c r="E89" s="239" t="n">
        <v>211.48</v>
      </c>
      <c r="F89" s="228">
        <f>D89*1.3*1.105</f>
        <v/>
      </c>
      <c r="G89" s="226">
        <f>D89*1.3*1.105/0.9</f>
        <v/>
      </c>
      <c r="H89" s="227">
        <f>G89*1.21</f>
        <v/>
      </c>
      <c r="I89" s="227">
        <f>ROUND(H89/100,0)*100</f>
        <v/>
      </c>
      <c r="J89" s="193" t="n"/>
      <c r="K89" s="239" t="n">
        <v>264.35</v>
      </c>
      <c r="L89" s="268" t="n">
        <v>237.92</v>
      </c>
      <c r="M89" s="268" t="n">
        <v>224.7</v>
      </c>
      <c r="N89" s="239" t="n">
        <v>211.48</v>
      </c>
      <c r="O89" s="193" t="n"/>
      <c r="P89" s="193" t="n"/>
      <c r="Q89" s="193" t="n"/>
      <c r="R89" s="193" t="n"/>
      <c r="S89" s="224" t="n"/>
      <c r="T89" s="224" t="n"/>
      <c r="U89" s="224" t="n"/>
      <c r="V89" s="224" t="n"/>
      <c r="W89" s="224" t="n"/>
      <c r="X89" s="224" t="n"/>
      <c r="Y89" s="193" t="n"/>
    </row>
    <row r="90">
      <c r="A90" s="186" t="n">
        <v>606</v>
      </c>
      <c r="B90" s="223" t="inlineStr">
        <is>
          <t>Caja x 300 Paños Ultratex de 45,7cm x 53,3cm</t>
        </is>
      </c>
      <c r="D90" s="215">
        <f>E90*0.93*0.98</f>
        <v/>
      </c>
      <c r="E90" s="239" t="n">
        <v>299.2</v>
      </c>
      <c r="F90" s="218">
        <f>D90*1.3*1.105</f>
        <v/>
      </c>
      <c r="G90" s="219">
        <f>D90*1.3*1.105/0.9</f>
        <v/>
      </c>
      <c r="H90" s="220">
        <f>G90*1.21</f>
        <v/>
      </c>
      <c r="I90" s="215">
        <f>ROUND(H90/100,0)*100</f>
        <v/>
      </c>
      <c r="K90" s="239" t="n">
        <v>374</v>
      </c>
      <c r="L90" s="268" t="n">
        <v>336.6</v>
      </c>
      <c r="M90" s="268" t="n">
        <v>317.9</v>
      </c>
      <c r="N90" s="239" t="n">
        <v>299.2</v>
      </c>
      <c r="S90" s="223" t="n"/>
      <c r="T90" s="223" t="n"/>
      <c r="U90" s="223" t="n"/>
      <c r="V90" s="223" t="n"/>
      <c r="W90" s="223" t="n"/>
      <c r="X90" s="223" t="n"/>
    </row>
    <row r="91">
      <c r="A91" s="186" t="n">
        <v>608</v>
      </c>
      <c r="B91" s="223" t="inlineStr">
        <is>
          <t>Repuesto x 2 rollos Softclean x 350 mts</t>
        </is>
      </c>
      <c r="D91" s="215">
        <f>E91*0.93*0.98</f>
        <v/>
      </c>
      <c r="E91" s="239" t="n">
        <v>49.43</v>
      </c>
      <c r="F91" s="218">
        <f>D91*1.3*1.105</f>
        <v/>
      </c>
      <c r="G91" s="219">
        <f>D91*1.3*1.105/0.9</f>
        <v/>
      </c>
      <c r="H91" s="220">
        <f>G91*1.21</f>
        <v/>
      </c>
      <c r="I91" s="215">
        <f>ROUND(H91/100,0)*100</f>
        <v/>
      </c>
      <c r="K91" s="239" t="n">
        <v>61.79</v>
      </c>
      <c r="L91" s="268" t="n">
        <v>55.61</v>
      </c>
      <c r="M91" s="268" t="n">
        <v>52.52</v>
      </c>
      <c r="N91" s="239" t="n">
        <v>49.43</v>
      </c>
      <c r="S91" s="223" t="n"/>
      <c r="T91" s="223" t="n"/>
      <c r="U91" s="223" t="n"/>
      <c r="V91" s="223" t="n"/>
      <c r="W91" s="223" t="n"/>
      <c r="X91" s="223" t="n"/>
    </row>
    <row r="92">
      <c r="A92" s="186" t="n">
        <v>612</v>
      </c>
      <c r="B92" s="223" t="inlineStr">
        <is>
          <t>Contenedor Mini Softclean x 150 porc. 13 x 26.5cm</t>
        </is>
      </c>
      <c r="D92" s="215">
        <f>E92*0.93*0.98</f>
        <v/>
      </c>
      <c r="E92" s="239" t="n">
        <v>7.53</v>
      </c>
      <c r="F92" s="218">
        <f>D92*1.3*1.105</f>
        <v/>
      </c>
      <c r="G92" s="219">
        <f>D92*1.3*1.105/0.9</f>
        <v/>
      </c>
      <c r="H92" s="220">
        <f>G92*1.21</f>
        <v/>
      </c>
      <c r="I92" s="215">
        <f>ROUND(H92/100,0)*100</f>
        <v/>
      </c>
      <c r="K92" s="239" t="n">
        <v>9.41</v>
      </c>
      <c r="L92" s="268" t="n">
        <v>8.470000000000001</v>
      </c>
      <c r="M92" s="268" t="n">
        <v>8</v>
      </c>
      <c r="N92" s="239" t="n">
        <v>7.53</v>
      </c>
      <c r="S92" s="223" t="n"/>
      <c r="T92" s="223" t="n"/>
      <c r="U92" s="223" t="n"/>
      <c r="V92" s="223" t="n"/>
      <c r="W92" s="223" t="n"/>
      <c r="X92" s="223" t="n"/>
    </row>
    <row r="93">
      <c r="A93" s="186" t="n">
        <v>614</v>
      </c>
      <c r="B93" s="223" t="inlineStr">
        <is>
          <t>Rollo SoftClean S 70x 875 Porciones de 30x 25</t>
        </is>
      </c>
      <c r="D93" s="215">
        <f>E93*0.93*0.98</f>
        <v/>
      </c>
      <c r="E93" s="239" t="n">
        <v>59.55</v>
      </c>
      <c r="F93" s="218">
        <f>D93*1.3*1.105</f>
        <v/>
      </c>
      <c r="G93" s="219">
        <f>D93*1.3*1.105/0.9</f>
        <v/>
      </c>
      <c r="H93" s="220">
        <f>G93*1.21</f>
        <v/>
      </c>
      <c r="I93" s="215">
        <f>ROUND(H93/100,0)*100</f>
        <v/>
      </c>
      <c r="K93" s="239" t="n">
        <v>74.44</v>
      </c>
      <c r="L93" s="268" t="n">
        <v>67</v>
      </c>
      <c r="M93" s="268" t="n">
        <v>63.27</v>
      </c>
      <c r="N93" s="239" t="n">
        <v>59.55</v>
      </c>
      <c r="S93" s="223" t="n"/>
      <c r="T93" s="223" t="n"/>
      <c r="U93" s="223" t="n"/>
      <c r="V93" s="223" t="n"/>
      <c r="W93" s="223" t="n"/>
      <c r="X93" s="223" t="n"/>
    </row>
    <row r="94">
      <c r="A94" s="186" t="n">
        <v>615</v>
      </c>
      <c r="B94" s="223" t="inlineStr">
        <is>
          <t>Contenedor Center Softclean x 350 22,5 x26,5</t>
        </is>
      </c>
      <c r="D94" s="215">
        <f>E94*0.93*0.98</f>
        <v/>
      </c>
      <c r="E94" s="239" t="n">
        <v>25.9</v>
      </c>
      <c r="F94" s="218">
        <f>D94*1.3*1.105</f>
        <v/>
      </c>
      <c r="G94" s="219">
        <f>D94*1.3*1.105/0.9</f>
        <v/>
      </c>
      <c r="H94" s="220">
        <f>G94*1.21</f>
        <v/>
      </c>
      <c r="I94" s="215">
        <f>ROUND(H94/100,0)*100</f>
        <v/>
      </c>
      <c r="K94" s="239" t="n">
        <v>32.37</v>
      </c>
      <c r="L94" s="268" t="n">
        <v>29.13</v>
      </c>
      <c r="M94" s="268" t="n">
        <v>27.51</v>
      </c>
      <c r="N94" s="239" t="n">
        <v>25.9</v>
      </c>
      <c r="S94" s="223" t="n"/>
      <c r="T94" s="223" t="n"/>
      <c r="U94" s="223" t="n"/>
      <c r="V94" s="223" t="n"/>
      <c r="W94" s="223" t="n"/>
      <c r="X94" s="223" t="n"/>
    </row>
    <row r="95">
      <c r="A95" s="186" t="n">
        <v>616</v>
      </c>
      <c r="B95" s="223" t="inlineStr">
        <is>
          <t>Rollo Mini Sofclean x 190 porciones de 22,5 x 26,5</t>
        </is>
      </c>
      <c r="D95" s="215">
        <f>E95*0.93*0.98</f>
        <v/>
      </c>
      <c r="E95" s="239" t="n">
        <v>12.94</v>
      </c>
      <c r="F95" s="218">
        <f>D95*1.3*1.105</f>
        <v/>
      </c>
      <c r="G95" s="219">
        <f>D95*1.3*1.105/0.9</f>
        <v/>
      </c>
      <c r="H95" s="220">
        <f>G95*1.21</f>
        <v/>
      </c>
      <c r="I95" s="215">
        <f>ROUND(H95/100,0)*100</f>
        <v/>
      </c>
      <c r="K95" s="239" t="n">
        <v>16.18</v>
      </c>
      <c r="L95" s="268" t="n">
        <v>14.56</v>
      </c>
      <c r="M95" s="268" t="n">
        <v>13.75</v>
      </c>
      <c r="N95" s="239" t="n">
        <v>12.94</v>
      </c>
      <c r="S95" s="223" t="n"/>
      <c r="T95" s="223" t="n"/>
      <c r="U95" s="223" t="n"/>
      <c r="V95" s="223" t="n"/>
      <c r="W95" s="223" t="n"/>
      <c r="X95" s="223" t="n"/>
    </row>
    <row r="96">
      <c r="A96" s="242" t="n">
        <v>617</v>
      </c>
      <c r="B96" s="224" t="inlineStr">
        <is>
          <t>Caja 1/4 Folded Softclean 500 30 x 30 cm Celeste</t>
        </is>
      </c>
      <c r="D96" s="227">
        <f>E96*0.93*0.98</f>
        <v/>
      </c>
      <c r="E96" s="239" t="n">
        <v>42.96</v>
      </c>
      <c r="F96" s="228">
        <f>D96*1.3*1.105</f>
        <v/>
      </c>
      <c r="G96" s="226">
        <f>D96*1.3*1.105/0.9</f>
        <v/>
      </c>
      <c r="H96" s="227">
        <f>G96*1.21</f>
        <v/>
      </c>
      <c r="I96" s="227">
        <f>ROUND(H96/100,0)*100</f>
        <v/>
      </c>
      <c r="J96" s="193" t="n"/>
      <c r="K96" s="239" t="n">
        <v>53.7</v>
      </c>
      <c r="L96" s="268" t="n">
        <v>48.33</v>
      </c>
      <c r="M96" s="268" t="n">
        <v>45.65</v>
      </c>
      <c r="N96" s="239" t="n">
        <v>42.96</v>
      </c>
      <c r="O96" s="193" t="n"/>
      <c r="P96" s="193" t="n"/>
      <c r="Q96" s="193" t="n"/>
      <c r="R96" s="193" t="n"/>
      <c r="S96" s="224" t="n"/>
      <c r="T96" s="224" t="n"/>
      <c r="U96" s="224" t="n"/>
      <c r="V96" s="224" t="n"/>
      <c r="W96" s="224" t="n"/>
      <c r="X96" s="224" t="n"/>
      <c r="Y96" s="193" t="n"/>
    </row>
    <row r="97">
      <c r="A97" s="186" t="n">
        <v>618</v>
      </c>
      <c r="B97" s="223" t="inlineStr">
        <is>
          <t>Rollo Precortado Softclean 600 porciones de 30x 26,5</t>
        </is>
      </c>
      <c r="D97" s="215">
        <f>E97*0.93*0.98</f>
        <v/>
      </c>
      <c r="E97" s="239" t="n">
        <v>42.96</v>
      </c>
      <c r="F97" s="218">
        <f>D97*1.3*1.105</f>
        <v/>
      </c>
      <c r="G97" s="219">
        <f>D97*1.3*1.105/0.9</f>
        <v/>
      </c>
      <c r="H97" s="220">
        <f>G97*1.21</f>
        <v/>
      </c>
      <c r="I97" s="215">
        <f>ROUND(H97/100,0)*100</f>
        <v/>
      </c>
      <c r="K97" s="239" t="n">
        <v>53.7</v>
      </c>
      <c r="L97" s="268" t="n">
        <v>48.33</v>
      </c>
      <c r="M97" s="268" t="n">
        <v>45.65</v>
      </c>
      <c r="N97" s="239" t="n">
        <v>42.96</v>
      </c>
      <c r="S97" s="223" t="n"/>
      <c r="T97" s="223" t="n"/>
      <c r="U97" s="223" t="n"/>
      <c r="V97" s="223" t="n"/>
      <c r="W97" s="223" t="n"/>
      <c r="X97" s="223" t="n"/>
    </row>
    <row r="98">
      <c r="A98" s="186" t="n"/>
      <c r="B98" s="223" t="n"/>
      <c r="C98" s="223" t="n"/>
      <c r="D98" s="215">
        <f>E98*0.93*0.98</f>
        <v/>
      </c>
      <c r="E98" s="255" t="n"/>
      <c r="F98" s="222" t="n"/>
      <c r="G98" s="222" t="n"/>
      <c r="H98" s="222" t="n"/>
      <c r="I98" s="223" t="n"/>
      <c r="K98" s="195" t="n"/>
      <c r="L98" s="195" t="n"/>
      <c r="M98" s="195" t="n"/>
      <c r="N98" s="255" t="n"/>
      <c r="S98" s="223" t="n"/>
      <c r="T98" s="223" t="n"/>
      <c r="U98" s="223" t="n"/>
      <c r="V98" s="223" t="n"/>
      <c r="W98" s="223" t="n"/>
      <c r="X98" s="223" t="n"/>
    </row>
    <row r="99">
      <c r="A99" s="168" t="inlineStr">
        <is>
          <t>Linea Sontara</t>
        </is>
      </c>
      <c r="C99" s="158" t="n"/>
      <c r="D99" s="215">
        <f>E99*0.93*0.98</f>
        <v/>
      </c>
      <c r="E99" s="245" t="n"/>
      <c r="F99" s="222" t="n"/>
      <c r="G99" s="222" t="n"/>
      <c r="H99" s="222" t="n"/>
      <c r="I99" s="223" t="n"/>
      <c r="K99" s="197" t="n"/>
      <c r="L99" s="197" t="n"/>
      <c r="M99" s="197" t="n"/>
      <c r="N99" s="245" t="n"/>
      <c r="S99" s="223" t="n"/>
      <c r="T99" s="223" t="n"/>
      <c r="U99" s="223" t="n"/>
      <c r="V99" s="223" t="n"/>
      <c r="W99" s="223" t="n"/>
      <c r="X99" s="223" t="n"/>
    </row>
    <row r="100">
      <c r="A100" s="186" t="n">
        <v>604</v>
      </c>
      <c r="B100" s="223" t="inlineStr">
        <is>
          <t>Rollo precortado Maxi de 30 x38 blanco</t>
        </is>
      </c>
      <c r="D100" s="215">
        <f>E100*0.93*0.98</f>
        <v/>
      </c>
      <c r="E100" s="239" t="n">
        <v>105.02</v>
      </c>
      <c r="F100" s="218">
        <f>D100*1.3*1.105</f>
        <v/>
      </c>
      <c r="G100" s="219">
        <f>D100*1.3*1.105/0.9</f>
        <v/>
      </c>
      <c r="H100" s="220">
        <f>G100*1.21</f>
        <v/>
      </c>
      <c r="I100" s="215">
        <f>ROUND(H100/100,0)*100</f>
        <v/>
      </c>
      <c r="K100" s="250" t="n">
        <v>131.28</v>
      </c>
      <c r="L100" s="247" t="n">
        <v>118.15</v>
      </c>
      <c r="M100" s="247" t="n">
        <v>111.59</v>
      </c>
      <c r="N100" s="239" t="n">
        <v>105.02</v>
      </c>
      <c r="S100" s="223" t="n"/>
      <c r="T100" s="223" t="n"/>
      <c r="U100" s="223" t="n"/>
      <c r="V100" s="223" t="n"/>
      <c r="W100" s="223" t="n"/>
      <c r="X100" s="223" t="n"/>
    </row>
    <row r="101">
      <c r="A101" s="186" t="n">
        <v>619</v>
      </c>
      <c r="B101" s="223" t="inlineStr">
        <is>
          <t>Centerfeed Sontara Celeste 350 porc22,5 x 26,5</t>
        </is>
      </c>
      <c r="D101" s="215">
        <f>E101*0.93*0.98</f>
        <v/>
      </c>
      <c r="E101" s="239" t="n">
        <v>53.27</v>
      </c>
      <c r="F101" s="218">
        <f>D101*1.3*1.105</f>
        <v/>
      </c>
      <c r="G101" s="219">
        <f>D101*1.3*1.105/0.9</f>
        <v/>
      </c>
      <c r="H101" s="220">
        <f>G101*1.21</f>
        <v/>
      </c>
      <c r="I101" s="215">
        <f>ROUND(H101/100,0)*100</f>
        <v/>
      </c>
      <c r="K101" s="239" t="n">
        <v>66.59</v>
      </c>
      <c r="L101" s="268" t="n">
        <v>59.93</v>
      </c>
      <c r="M101" s="268" t="n">
        <v>56.6</v>
      </c>
      <c r="N101" s="239" t="n">
        <v>53.27</v>
      </c>
      <c r="S101" s="223" t="n"/>
      <c r="T101" s="223" t="n"/>
      <c r="U101" s="223" t="n"/>
      <c r="V101" s="223" t="n"/>
      <c r="W101" s="223" t="n"/>
      <c r="X101" s="223" t="n"/>
    </row>
    <row r="102">
      <c r="A102" s="186" t="n">
        <v>620</v>
      </c>
      <c r="B102" s="223" t="inlineStr">
        <is>
          <t>Rollo prec Sontara por 600 porc 30 x26,5 celeste</t>
        </is>
      </c>
      <c r="D102" s="215">
        <f>E102*0.93*0.98</f>
        <v/>
      </c>
      <c r="E102" s="239" t="n">
        <v>98.90000000000001</v>
      </c>
      <c r="F102" s="218">
        <f>D102*1.3*1.105</f>
        <v/>
      </c>
      <c r="G102" s="219">
        <f>D102*1.3*1.105/0.9</f>
        <v/>
      </c>
      <c r="H102" s="220">
        <f>G102*1.21</f>
        <v/>
      </c>
      <c r="I102" s="215">
        <f>ROUND(H102/100,0)*100</f>
        <v/>
      </c>
      <c r="K102" s="239" t="n">
        <v>123.62</v>
      </c>
      <c r="L102" s="268" t="n">
        <v>111.26</v>
      </c>
      <c r="M102" s="268" t="n">
        <v>105.08</v>
      </c>
      <c r="N102" s="239" t="n">
        <v>98.90000000000001</v>
      </c>
      <c r="S102" s="223" t="n"/>
      <c r="T102" s="223" t="n"/>
      <c r="U102" s="223" t="n"/>
      <c r="V102" s="223" t="n"/>
      <c r="W102" s="223" t="n"/>
      <c r="X102" s="223" t="n"/>
    </row>
    <row r="103">
      <c r="A103" s="186" t="n">
        <v>621</v>
      </c>
      <c r="B103" s="223" t="inlineStr">
        <is>
          <t>Rollo Sontara Mini x 190 porc 22,5 x26,5 celeste</t>
        </is>
      </c>
      <c r="D103" s="215">
        <f>E103*0.93*0.98</f>
        <v/>
      </c>
      <c r="E103" s="239" t="n">
        <v>24.21</v>
      </c>
      <c r="F103" s="218">
        <f>D103*1.3*1.105</f>
        <v/>
      </c>
      <c r="G103" s="219">
        <f>D103*1.3*1.105/0.9</f>
        <v/>
      </c>
      <c r="H103" s="220">
        <f>G103*1.21</f>
        <v/>
      </c>
      <c r="I103" s="215">
        <f>ROUND(H103/100,0)*100</f>
        <v/>
      </c>
      <c r="K103" s="239" t="n">
        <v>30.26</v>
      </c>
      <c r="L103" s="268" t="n">
        <v>27.23</v>
      </c>
      <c r="M103" s="268" t="n">
        <v>25.72</v>
      </c>
      <c r="N103" s="239" t="n">
        <v>24.21</v>
      </c>
      <c r="S103" s="223" t="n"/>
      <c r="T103" s="223" t="n"/>
      <c r="U103" s="223" t="n"/>
      <c r="V103" s="223" t="n"/>
      <c r="W103" s="223" t="n"/>
      <c r="X103" s="223" t="n"/>
    </row>
    <row r="104">
      <c r="A104" s="186" t="n">
        <v>627</v>
      </c>
      <c r="B104" s="223" t="inlineStr">
        <is>
          <t>SMP 300 Paños de 22,5 cm x 22,5 cm</t>
        </is>
      </c>
      <c r="D104" s="215">
        <f>E104*0.93*0.98</f>
        <v/>
      </c>
      <c r="E104" s="239" t="n">
        <v>63.92</v>
      </c>
      <c r="F104" s="218">
        <f>D104*1.3*1.105</f>
        <v/>
      </c>
      <c r="G104" s="219">
        <f>D104*1.3*1.105/0.9</f>
        <v/>
      </c>
      <c r="H104" s="220">
        <f>G104*1.21</f>
        <v/>
      </c>
      <c r="I104" s="215">
        <f>ROUND(H104/100,0)*100</f>
        <v/>
      </c>
      <c r="K104" s="239" t="n">
        <v>79.90000000000001</v>
      </c>
      <c r="L104" s="268" t="n">
        <v>71.91</v>
      </c>
      <c r="M104" s="268" t="n">
        <v>67.92</v>
      </c>
      <c r="N104" s="239" t="n">
        <v>63.92</v>
      </c>
      <c r="S104" s="223" t="n"/>
      <c r="T104" s="223" t="n"/>
      <c r="U104" s="223" t="n"/>
      <c r="V104" s="223" t="n"/>
      <c r="W104" s="223" t="n"/>
      <c r="X104" s="103" t="n"/>
    </row>
    <row r="105">
      <c r="A105" s="171" t="n">
        <v>645</v>
      </c>
      <c r="B105" s="175" t="inlineStr">
        <is>
          <t>Caja por 500Paños Sontara de 30 x 30 cm celeste</t>
        </is>
      </c>
      <c r="D105" s="215">
        <f>E105*0.93*0.98</f>
        <v/>
      </c>
      <c r="E105" s="239" t="n">
        <v>70.31</v>
      </c>
      <c r="F105" s="218">
        <f>D105*1.3*1.105</f>
        <v/>
      </c>
      <c r="G105" s="219">
        <f>D105*1.3*1.105/0.9</f>
        <v/>
      </c>
      <c r="H105" s="220">
        <f>G105*1.21</f>
        <v/>
      </c>
      <c r="I105" s="215">
        <f>ROUND(H105/100,0)*100</f>
        <v/>
      </c>
      <c r="K105" s="239" t="n">
        <v>87.89</v>
      </c>
      <c r="L105" s="268" t="n">
        <v>79.09999999999999</v>
      </c>
      <c r="M105" s="268" t="n">
        <v>74.70999999999999</v>
      </c>
      <c r="N105" s="239" t="n">
        <v>70.31</v>
      </c>
      <c r="S105" s="223" t="n"/>
      <c r="T105" s="223" t="n"/>
      <c r="U105" s="223" t="n"/>
      <c r="V105" s="223" t="n"/>
      <c r="W105" s="223" t="n"/>
      <c r="X105" s="223" t="n"/>
    </row>
    <row r="106">
      <c r="A106" s="186" t="n">
        <v>656</v>
      </c>
      <c r="B106" s="175" t="inlineStr">
        <is>
          <t>Caja por 400 Paños Sontara de 30 x 30 cm Blancos</t>
        </is>
      </c>
      <c r="D106" s="215">
        <f>E106*0.93*0.98</f>
        <v/>
      </c>
      <c r="E106" s="239" t="n">
        <v>68.05</v>
      </c>
      <c r="F106" s="218">
        <f>D106*1.3*1.105</f>
        <v/>
      </c>
      <c r="G106" s="219">
        <f>D106*1.3*1.105/0.9</f>
        <v/>
      </c>
      <c r="H106" s="220">
        <f>G106*1.21</f>
        <v/>
      </c>
      <c r="I106" s="215">
        <f>ROUND(H106/100,0)*100</f>
        <v/>
      </c>
      <c r="K106" s="239" t="n">
        <v>85.06</v>
      </c>
      <c r="L106" s="268" t="n">
        <v>76.55</v>
      </c>
      <c r="M106" s="268" t="n">
        <v>72.3</v>
      </c>
      <c r="N106" s="239" t="n">
        <v>68.05</v>
      </c>
      <c r="S106" s="223" t="n"/>
      <c r="T106" s="223" t="n"/>
      <c r="U106" s="223" t="n"/>
      <c r="V106" s="223" t="n"/>
      <c r="W106" s="223" t="n"/>
      <c r="X106" s="223" t="n"/>
    </row>
    <row r="107">
      <c r="A107" s="223" t="n"/>
      <c r="B107" s="175" t="n"/>
      <c r="C107" s="175" t="n"/>
      <c r="D107" s="215" t="n"/>
      <c r="E107" s="223" t="n"/>
      <c r="F107" s="223" t="n"/>
      <c r="G107" s="223" t="n"/>
      <c r="H107" s="223" t="n"/>
      <c r="I107" s="223" t="n"/>
      <c r="K107" s="223" t="n"/>
      <c r="L107" s="223" t="n"/>
      <c r="M107" s="223" t="n"/>
      <c r="N107" s="223" t="n"/>
      <c r="S107" s="223" t="n"/>
      <c r="T107" s="223" t="n"/>
      <c r="U107" s="223" t="n"/>
      <c r="V107" s="223" t="n"/>
      <c r="W107" s="223" t="n"/>
      <c r="X107" s="223" t="n"/>
    </row>
    <row r="108">
      <c r="A108" s="223" t="n"/>
      <c r="B108" s="175" t="n"/>
      <c r="C108" s="223" t="n"/>
      <c r="D108" s="215" t="n"/>
      <c r="E108" s="223" t="n"/>
      <c r="F108" s="223" t="n"/>
      <c r="G108" s="223" t="n"/>
      <c r="H108" s="223" t="n"/>
      <c r="I108" s="223" t="n"/>
      <c r="K108" s="223" t="n"/>
      <c r="L108" s="223" t="n"/>
      <c r="M108" s="223" t="n"/>
      <c r="N108" s="223" t="n"/>
      <c r="S108" s="223" t="n"/>
      <c r="T108" s="223" t="n"/>
      <c r="U108" s="223" t="n"/>
      <c r="V108" s="223" t="n"/>
      <c r="W108" s="223" t="n"/>
      <c r="X108" s="223" t="n"/>
    </row>
    <row r="109">
      <c r="A109" s="223" t="n"/>
      <c r="B109" s="175" t="n"/>
      <c r="C109" s="223" t="n"/>
      <c r="D109" s="215" t="n"/>
      <c r="E109" s="223" t="n"/>
      <c r="F109" s="223" t="n"/>
      <c r="G109" s="223" t="n"/>
      <c r="H109" s="223" t="n"/>
      <c r="I109" s="223" t="n"/>
      <c r="K109" s="223" t="n"/>
      <c r="L109" s="223" t="n"/>
      <c r="M109" s="223" t="n"/>
      <c r="N109" s="223" t="n"/>
      <c r="S109" s="223" t="n"/>
      <c r="T109" s="223" t="n"/>
      <c r="U109" s="223" t="n"/>
      <c r="V109" s="223" t="n"/>
      <c r="W109" s="223" t="n"/>
      <c r="X109" s="223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E110" s="223" t="n"/>
      <c r="F110" s="223" t="n"/>
      <c r="G110" s="223" t="n"/>
      <c r="H110" s="223" t="n"/>
      <c r="I110" s="223" t="n"/>
      <c r="K110" s="223" t="n"/>
      <c r="L110" s="223" t="n"/>
      <c r="M110" s="223" t="n"/>
      <c r="N110" s="223" t="n"/>
      <c r="S110" s="223" t="n"/>
      <c r="T110" s="223" t="n"/>
      <c r="U110" s="223" t="n"/>
      <c r="V110" s="223" t="n"/>
      <c r="W110" s="223" t="n"/>
      <c r="X110" s="223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E111" s="223" t="n"/>
      <c r="F111" s="223" t="n"/>
      <c r="G111" s="223" t="n"/>
      <c r="H111" s="223" t="n"/>
      <c r="I111" s="223" t="n"/>
      <c r="K111" s="223" t="n"/>
      <c r="L111" s="195" t="n"/>
      <c r="M111" s="223" t="n"/>
      <c r="N111" s="223" t="n"/>
      <c r="S111" s="223" t="n"/>
      <c r="T111" s="223" t="n"/>
      <c r="U111" s="223" t="n"/>
      <c r="V111" s="223" t="n"/>
      <c r="W111" s="223" t="n"/>
      <c r="X111" s="223" t="n"/>
    </row>
    <row r="112">
      <c r="A112" s="248" t="n"/>
      <c r="B112" s="179" t="n"/>
      <c r="C112" s="179" t="n"/>
      <c r="D112" s="215" t="n"/>
      <c r="E112" s="223" t="n"/>
      <c r="F112" s="223" t="n"/>
      <c r="G112" s="223" t="n"/>
      <c r="H112" s="223" t="n"/>
      <c r="I112" s="223" t="n"/>
      <c r="K112" s="223" t="n"/>
      <c r="L112" s="223" t="n"/>
      <c r="M112" s="223" t="n"/>
      <c r="N112" s="223" t="n"/>
      <c r="S112" s="223" t="n"/>
      <c r="T112" s="223" t="n"/>
      <c r="U112" s="223" t="n"/>
      <c r="V112" s="223" t="n"/>
      <c r="W112" s="223" t="n"/>
      <c r="X112" s="223" t="n"/>
    </row>
    <row r="113">
      <c r="A113" s="223" t="n"/>
      <c r="B113" s="223" t="n"/>
      <c r="C113" s="223" t="n"/>
      <c r="D113" s="215" t="n"/>
      <c r="E113" s="223" t="n"/>
      <c r="F113" s="223" t="n"/>
      <c r="G113" s="223" t="n"/>
      <c r="H113" s="223" t="n"/>
      <c r="I113" s="223" t="n"/>
      <c r="K113" s="223" t="n"/>
      <c r="L113" s="223" t="n"/>
      <c r="M113" s="223" t="n"/>
      <c r="N113" s="223" t="n"/>
      <c r="S113" s="223" t="n"/>
      <c r="T113" s="223" t="n"/>
      <c r="U113" s="223" t="n"/>
      <c r="V113" s="223" t="n"/>
      <c r="W113" s="223" t="n"/>
      <c r="X113" s="223" t="n"/>
    </row>
    <row r="114">
      <c r="A114" s="223" t="n"/>
      <c r="B114" s="223" t="n"/>
      <c r="C114" s="223" t="n"/>
      <c r="D114" s="215" t="n"/>
      <c r="E114" s="223" t="n"/>
      <c r="F114" s="223" t="n"/>
      <c r="G114" s="223" t="n"/>
      <c r="H114" s="223" t="n"/>
      <c r="I114" s="223" t="n"/>
      <c r="K114" s="223" t="n"/>
      <c r="L114" s="223" t="n"/>
      <c r="M114" s="223" t="n"/>
      <c r="N114" s="223" t="n"/>
      <c r="S114" s="223" t="n"/>
      <c r="T114" s="223" t="n"/>
      <c r="U114" s="223" t="n"/>
      <c r="V114" s="223" t="n"/>
      <c r="W114" s="223" t="n"/>
      <c r="X114" s="223" t="n"/>
    </row>
    <row r="115">
      <c r="D115" s="87" t="n"/>
    </row>
    <row r="116">
      <c r="D116" s="87" t="n"/>
    </row>
    <row r="117">
      <c r="D117" s="87" t="n"/>
    </row>
    <row r="118">
      <c r="D118" s="87" t="n"/>
    </row>
    <row r="119">
      <c r="D119" s="87" t="n"/>
    </row>
    <row r="120">
      <c r="D120" s="87" t="n"/>
    </row>
    <row r="121">
      <c r="D121" s="87" t="n"/>
    </row>
    <row r="122">
      <c r="D122" s="87" t="n"/>
    </row>
    <row r="123">
      <c r="D123" s="87" t="n"/>
    </row>
    <row r="124">
      <c r="D124" s="87" t="n"/>
    </row>
    <row r="125">
      <c r="D125" s="87" t="n"/>
    </row>
    <row r="126">
      <c r="D126" s="87" t="n"/>
    </row>
    <row r="127">
      <c r="D127" s="87" t="n"/>
    </row>
    <row r="128">
      <c r="D128" s="87" t="n"/>
    </row>
    <row r="129">
      <c r="D129" s="87" t="n"/>
    </row>
    <row r="130">
      <c r="D130" s="87" t="n"/>
    </row>
    <row r="131">
      <c r="D131" s="87" t="n"/>
    </row>
    <row r="132">
      <c r="D132" s="87" t="n"/>
    </row>
    <row r="133">
      <c r="D133" s="87" t="n"/>
    </row>
    <row r="134">
      <c r="D134" s="87" t="n"/>
    </row>
    <row r="135">
      <c r="D135" s="87" t="n"/>
    </row>
    <row r="136">
      <c r="D136" s="87" t="n"/>
    </row>
    <row r="137">
      <c r="D137" s="87" t="n"/>
    </row>
    <row r="138">
      <c r="D138" s="87" t="n"/>
    </row>
    <row r="139">
      <c r="D139" s="87" t="n"/>
    </row>
    <row r="140">
      <c r="D140" s="87" t="n"/>
    </row>
    <row r="141">
      <c r="D141" s="87" t="n"/>
    </row>
    <row r="142">
      <c r="D142" s="87" t="n"/>
    </row>
    <row r="143">
      <c r="D143" s="87" t="n"/>
    </row>
    <row r="144">
      <c r="D144" s="87" t="n"/>
    </row>
    <row r="145">
      <c r="D145" s="87" t="n"/>
    </row>
    <row r="146">
      <c r="D146" s="87" t="n"/>
    </row>
    <row r="147">
      <c r="D147" s="87" t="n"/>
    </row>
    <row r="148">
      <c r="D148" s="87" t="n"/>
    </row>
    <row r="149">
      <c r="D149" s="87" t="n"/>
    </row>
    <row r="150">
      <c r="D150" s="87" t="n"/>
    </row>
    <row r="151">
      <c r="D151" s="87" t="n"/>
    </row>
    <row r="152">
      <c r="D152" s="87" t="n"/>
    </row>
    <row r="153">
      <c r="D153" s="87" t="n"/>
    </row>
    <row r="154">
      <c r="D154" s="87" t="n"/>
    </row>
    <row r="155">
      <c r="D155" s="87" t="n"/>
    </row>
    <row r="156">
      <c r="D156" s="87" t="n"/>
    </row>
    <row r="157">
      <c r="D157" s="87" t="n"/>
    </row>
    <row r="158">
      <c r="D158" s="87" t="n"/>
    </row>
    <row r="159">
      <c r="D159" s="87" t="n"/>
    </row>
    <row r="160">
      <c r="D160" s="87" t="n"/>
    </row>
    <row r="161">
      <c r="D161" s="87" t="n"/>
    </row>
    <row r="162">
      <c r="D162" s="87" t="n"/>
    </row>
    <row r="163">
      <c r="D163" s="87" t="n"/>
    </row>
    <row r="164">
      <c r="D164" s="87" t="n"/>
    </row>
    <row r="165">
      <c r="D165" s="87" t="n"/>
    </row>
    <row r="166">
      <c r="D166" s="87" t="n"/>
    </row>
    <row r="167">
      <c r="D167" s="87" t="n"/>
    </row>
    <row r="168">
      <c r="D168" s="87" t="n"/>
    </row>
    <row r="169">
      <c r="D169" s="87" t="n"/>
    </row>
    <row r="170">
      <c r="D170" s="87" t="n"/>
    </row>
    <row r="171">
      <c r="D171" s="87" t="n"/>
    </row>
    <row r="172">
      <c r="D172" s="87" t="n"/>
    </row>
    <row r="173">
      <c r="D173" s="87" t="n"/>
    </row>
    <row r="174">
      <c r="D174" s="87" t="n"/>
    </row>
    <row r="175">
      <c r="D175" s="87" t="n"/>
    </row>
    <row r="176">
      <c r="D176" s="87" t="n"/>
    </row>
    <row r="177">
      <c r="D177" s="87" t="n"/>
    </row>
    <row r="178">
      <c r="D178" s="87" t="n"/>
    </row>
    <row r="179">
      <c r="D179" s="87" t="n"/>
    </row>
    <row r="180">
      <c r="D180" s="87" t="n"/>
    </row>
    <row r="181">
      <c r="D181" s="87" t="n"/>
    </row>
    <row r="182">
      <c r="D182" s="87" t="n"/>
    </row>
    <row r="183">
      <c r="D183" s="87" t="n"/>
    </row>
    <row r="184">
      <c r="D184" s="87" t="n"/>
    </row>
    <row r="185">
      <c r="D185" s="87" t="n"/>
    </row>
    <row r="186">
      <c r="D186" s="87" t="n"/>
    </row>
    <row r="187">
      <c r="D187" s="87" t="n"/>
    </row>
    <row r="188">
      <c r="D188" s="87" t="n"/>
    </row>
    <row r="189">
      <c r="D189" s="87" t="n"/>
    </row>
    <row r="190">
      <c r="D190" s="87" t="n"/>
    </row>
    <row r="191">
      <c r="D191" s="87" t="n"/>
    </row>
    <row r="192">
      <c r="D192" s="87" t="n"/>
    </row>
    <row r="193">
      <c r="D193" s="87" t="n"/>
    </row>
    <row r="194">
      <c r="D194" s="87" t="n"/>
    </row>
    <row r="195">
      <c r="D195" s="87" t="n"/>
    </row>
    <row r="196">
      <c r="D196" s="87" t="n"/>
    </row>
    <row r="197">
      <c r="D197" s="87" t="n"/>
    </row>
    <row r="198">
      <c r="D198" s="87" t="n"/>
    </row>
    <row r="199">
      <c r="D199" s="87" t="n"/>
    </row>
    <row r="200">
      <c r="D200" s="87" t="n"/>
    </row>
    <row r="201">
      <c r="D201" s="87" t="n"/>
    </row>
    <row r="202">
      <c r="D202" s="87" t="n"/>
    </row>
    <row r="203">
      <c r="D203" s="87" t="n"/>
    </row>
    <row r="204">
      <c r="D204" s="87" t="n"/>
    </row>
    <row r="205">
      <c r="D205" s="87" t="n"/>
    </row>
    <row r="206">
      <c r="D206" s="87" t="n"/>
    </row>
    <row r="207">
      <c r="D207" s="87" t="n"/>
    </row>
    <row r="208">
      <c r="D208" s="87" t="n"/>
    </row>
    <row r="209">
      <c r="D209" s="87" t="n"/>
    </row>
    <row r="210">
      <c r="D210" s="87" t="n"/>
    </row>
    <row r="211">
      <c r="D211" s="87" t="n"/>
    </row>
    <row r="212">
      <c r="D212" s="87" t="n"/>
    </row>
    <row r="213">
      <c r="D213" s="87" t="n"/>
    </row>
    <row r="214">
      <c r="D214" s="87" t="n"/>
    </row>
    <row r="215">
      <c r="D215" s="87" t="n"/>
    </row>
    <row r="216">
      <c r="D216" s="87" t="n"/>
    </row>
    <row r="217">
      <c r="D217" s="87" t="n"/>
    </row>
    <row r="218">
      <c r="D218" s="87" t="n"/>
    </row>
    <row r="219">
      <c r="D219" s="87" t="n"/>
    </row>
    <row r="220">
      <c r="D220" s="87" t="n"/>
    </row>
    <row r="221">
      <c r="D221" s="87" t="n"/>
    </row>
    <row r="222">
      <c r="D222" s="87" t="n"/>
    </row>
    <row r="223">
      <c r="D223" s="87" t="n"/>
    </row>
    <row r="224">
      <c r="D224" s="87" t="n"/>
    </row>
    <row r="225">
      <c r="D225" s="87" t="n"/>
    </row>
    <row r="226">
      <c r="D226" s="87" t="n"/>
    </row>
    <row r="227">
      <c r="D227" s="87" t="n"/>
    </row>
    <row r="228">
      <c r="D228" s="87" t="n"/>
    </row>
    <row r="229">
      <c r="D229" s="87" t="n"/>
    </row>
    <row r="230">
      <c r="D230" s="87" t="n"/>
    </row>
    <row r="231">
      <c r="D231" s="87" t="n"/>
    </row>
    <row r="232">
      <c r="D232" s="87" t="n"/>
    </row>
    <row r="233">
      <c r="D233" s="87" t="n"/>
    </row>
    <row r="234">
      <c r="D234" s="87" t="n"/>
    </row>
    <row r="235">
      <c r="D235" s="87" t="n"/>
    </row>
    <row r="236">
      <c r="D236" s="87" t="n"/>
    </row>
    <row r="237">
      <c r="D237" s="87" t="n"/>
    </row>
    <row r="238">
      <c r="D238" s="87" t="n"/>
    </row>
    <row r="239">
      <c r="D239" s="87" t="n"/>
    </row>
    <row r="240">
      <c r="D240" s="87" t="n"/>
    </row>
    <row r="241">
      <c r="D241" s="87" t="n"/>
    </row>
    <row r="242">
      <c r="D242" s="87" t="n"/>
    </row>
    <row r="243">
      <c r="D243" s="87" t="n"/>
    </row>
    <row r="244">
      <c r="D244" s="87" t="n"/>
    </row>
    <row r="245">
      <c r="D245" s="87" t="n"/>
    </row>
    <row r="246">
      <c r="D246" s="87" t="n"/>
    </row>
    <row r="247">
      <c r="D247" s="87" t="n"/>
    </row>
    <row r="248">
      <c r="D248" s="87" t="n"/>
    </row>
    <row r="249">
      <c r="D249" s="87" t="n"/>
    </row>
    <row r="250">
      <c r="D250" s="87" t="n"/>
    </row>
    <row r="251">
      <c r="D251" s="87" t="n"/>
    </row>
    <row r="252">
      <c r="D252" s="87" t="n"/>
    </row>
    <row r="253">
      <c r="D253" s="87" t="n"/>
    </row>
    <row r="254">
      <c r="D254" s="87" t="n"/>
    </row>
    <row r="255">
      <c r="D255" s="87" t="n"/>
    </row>
    <row r="256">
      <c r="D256" s="87" t="n"/>
    </row>
    <row r="257">
      <c r="D257" s="87" t="n"/>
    </row>
    <row r="258">
      <c r="D258" s="87" t="n"/>
    </row>
    <row r="259">
      <c r="D259" s="87" t="n"/>
    </row>
    <row r="260">
      <c r="D260" s="87" t="n"/>
    </row>
    <row r="261">
      <c r="D261" s="87" t="n"/>
    </row>
    <row r="262">
      <c r="D262" s="87" t="n"/>
    </row>
    <row r="263">
      <c r="D263" s="87" t="n"/>
    </row>
    <row r="264">
      <c r="D264" s="87" t="n"/>
    </row>
    <row r="265">
      <c r="D265" s="87" t="n"/>
    </row>
    <row r="266">
      <c r="D266" s="87" t="n"/>
    </row>
    <row r="267">
      <c r="D267" s="87" t="n"/>
    </row>
    <row r="268">
      <c r="D268" s="87" t="n"/>
    </row>
    <row r="269">
      <c r="D269" s="87" t="n"/>
    </row>
    <row r="270">
      <c r="D270" s="87" t="n"/>
    </row>
    <row r="271">
      <c r="D271" s="87" t="n"/>
    </row>
    <row r="272">
      <c r="D272" s="87" t="n"/>
    </row>
    <row r="273">
      <c r="D273" s="87" t="n"/>
    </row>
    <row r="274">
      <c r="D274" s="87" t="n"/>
    </row>
    <row r="275">
      <c r="D275" s="87" t="n"/>
    </row>
    <row r="276">
      <c r="D276" s="87" t="n"/>
    </row>
    <row r="277">
      <c r="D277" s="87" t="n"/>
    </row>
    <row r="278">
      <c r="D278" s="87" t="n"/>
    </row>
    <row r="279">
      <c r="D279" s="87" t="n"/>
    </row>
    <row r="280">
      <c r="D280" s="87" t="n"/>
    </row>
    <row r="281">
      <c r="D281" s="87" t="n"/>
    </row>
    <row r="282">
      <c r="D282" s="87" t="n"/>
    </row>
    <row r="283">
      <c r="D283" s="87" t="n"/>
    </row>
    <row r="284">
      <c r="D284" s="87" t="n"/>
    </row>
    <row r="285">
      <c r="D285" s="87" t="n"/>
    </row>
    <row r="286">
      <c r="D286" s="87" t="n"/>
    </row>
    <row r="287">
      <c r="D287" s="87" t="n"/>
    </row>
    <row r="288">
      <c r="D288" s="87" t="n"/>
    </row>
    <row r="289">
      <c r="D289" s="87" t="n"/>
    </row>
    <row r="290">
      <c r="D290" s="87" t="n"/>
    </row>
    <row r="291">
      <c r="D291" s="87" t="n"/>
    </row>
    <row r="292">
      <c r="D292" s="87" t="n"/>
    </row>
    <row r="293">
      <c r="D293" s="87" t="n"/>
    </row>
    <row r="294">
      <c r="D294" s="87" t="n"/>
    </row>
    <row r="295">
      <c r="D295" s="87" t="n"/>
    </row>
    <row r="296">
      <c r="D296" s="87" t="n"/>
    </row>
    <row r="297">
      <c r="D297" s="87" t="n"/>
    </row>
    <row r="298">
      <c r="D298" s="87" t="n"/>
    </row>
    <row r="299">
      <c r="D299" s="87" t="n"/>
    </row>
    <row r="300">
      <c r="D300" s="87" t="n"/>
    </row>
    <row r="301">
      <c r="D301" s="87" t="n"/>
    </row>
    <row r="302">
      <c r="D302" s="87" t="n"/>
    </row>
    <row r="303">
      <c r="D303" s="87" t="n"/>
    </row>
    <row r="304">
      <c r="D304" s="87" t="n"/>
    </row>
    <row r="305">
      <c r="D305" s="87" t="n"/>
    </row>
    <row r="306">
      <c r="D306" s="87" t="n"/>
    </row>
    <row r="307">
      <c r="D307" s="87" t="n"/>
    </row>
    <row r="308">
      <c r="D308" s="87" t="n"/>
    </row>
    <row r="309">
      <c r="D309" s="87" t="n"/>
    </row>
    <row r="310">
      <c r="D310" s="87" t="n"/>
    </row>
    <row r="311">
      <c r="D311" s="87" t="n"/>
    </row>
    <row r="312">
      <c r="D312" s="87" t="n"/>
    </row>
    <row r="313">
      <c r="D313" s="87" t="n"/>
    </row>
    <row r="314">
      <c r="D314" s="87" t="n"/>
    </row>
    <row r="315">
      <c r="D315" s="87" t="n"/>
    </row>
    <row r="316">
      <c r="D316" s="87" t="n"/>
    </row>
    <row r="317">
      <c r="D317" s="87" t="n"/>
    </row>
    <row r="318">
      <c r="D318" s="87" t="n"/>
    </row>
    <row r="319">
      <c r="D319" s="87" t="n"/>
    </row>
    <row r="320">
      <c r="D320" s="87" t="n"/>
    </row>
    <row r="321">
      <c r="D321" s="87" t="n"/>
    </row>
    <row r="322">
      <c r="D322" s="87" t="n"/>
    </row>
    <row r="323">
      <c r="D323" s="87" t="n"/>
    </row>
    <row r="324">
      <c r="D324" s="87" t="n"/>
    </row>
    <row r="325">
      <c r="D325" s="87" t="n"/>
    </row>
    <row r="326">
      <c r="D326" s="87" t="n"/>
    </row>
    <row r="327">
      <c r="D327" s="87" t="n"/>
    </row>
    <row r="328">
      <c r="D328" s="87" t="n"/>
    </row>
    <row r="329">
      <c r="D329" s="87" t="n"/>
    </row>
    <row r="330">
      <c r="D330" s="87" t="n"/>
    </row>
    <row r="331">
      <c r="D331" s="87" t="n"/>
    </row>
    <row r="332">
      <c r="D332" s="87" t="n"/>
    </row>
    <row r="333">
      <c r="D333" s="87" t="n"/>
    </row>
    <row r="334">
      <c r="D334" s="87" t="n"/>
    </row>
    <row r="335">
      <c r="D335" s="87" t="n"/>
    </row>
    <row r="336">
      <c r="D336" s="87" t="n"/>
    </row>
    <row r="337">
      <c r="D337" s="87" t="n"/>
    </row>
    <row r="338">
      <c r="D338" s="87" t="n"/>
    </row>
    <row r="339">
      <c r="D339" s="87" t="n"/>
    </row>
    <row r="340">
      <c r="D340" s="87" t="n"/>
    </row>
    <row r="341">
      <c r="D341" s="87" t="n"/>
    </row>
    <row r="342">
      <c r="D342" s="87" t="n"/>
    </row>
    <row r="343">
      <c r="D343" s="87" t="n"/>
    </row>
    <row r="344">
      <c r="D344" s="87" t="n"/>
    </row>
    <row r="345">
      <c r="D345" s="87" t="n"/>
    </row>
    <row r="346">
      <c r="D346" s="87" t="n"/>
    </row>
    <row r="347">
      <c r="D347" s="87" t="n"/>
    </row>
    <row r="348">
      <c r="D348" s="87" t="n"/>
    </row>
    <row r="349">
      <c r="D349" s="87" t="n"/>
    </row>
    <row r="350">
      <c r="D350" s="87" t="n"/>
    </row>
    <row r="351">
      <c r="D351" s="87" t="n"/>
    </row>
    <row r="352">
      <c r="D352" s="87" t="n"/>
    </row>
    <row r="353">
      <c r="D353" s="87" t="n"/>
    </row>
    <row r="354">
      <c r="D354" s="87" t="n"/>
    </row>
    <row r="355">
      <c r="D355" s="87" t="n"/>
    </row>
    <row r="356">
      <c r="D356" s="87" t="n"/>
    </row>
    <row r="357">
      <c r="D357" s="87" t="n"/>
    </row>
    <row r="358">
      <c r="D358" s="87" t="n"/>
    </row>
    <row r="359">
      <c r="D359" s="87" t="n"/>
    </row>
    <row r="360">
      <c r="D360" s="87" t="n"/>
    </row>
    <row r="361">
      <c r="D361" s="87" t="n"/>
    </row>
    <row r="362">
      <c r="D362" s="87" t="n"/>
    </row>
    <row r="363">
      <c r="D363" s="87" t="n"/>
    </row>
    <row r="364">
      <c r="D364" s="87" t="n"/>
    </row>
    <row r="365">
      <c r="D365" s="87" t="n"/>
    </row>
    <row r="366">
      <c r="D366" s="87" t="n"/>
    </row>
    <row r="367">
      <c r="D367" s="87" t="n"/>
    </row>
    <row r="368">
      <c r="D368" s="87" t="n"/>
    </row>
    <row r="369">
      <c r="D369" s="87" t="n"/>
    </row>
    <row r="370">
      <c r="D370" s="87" t="n"/>
    </row>
    <row r="371">
      <c r="D371" s="87" t="n"/>
    </row>
    <row r="372">
      <c r="D372" s="87" t="n"/>
    </row>
    <row r="373">
      <c r="D373" s="87" t="n"/>
    </row>
    <row r="374">
      <c r="D374" s="87" t="n"/>
    </row>
    <row r="375">
      <c r="D375" s="87" t="n"/>
    </row>
    <row r="376">
      <c r="D376" s="87" t="n"/>
    </row>
    <row r="377">
      <c r="D377" s="87" t="n"/>
    </row>
    <row r="378">
      <c r="D378" s="87" t="n"/>
    </row>
    <row r="379">
      <c r="D379" s="87" t="n"/>
    </row>
    <row r="380">
      <c r="D380" s="87" t="n"/>
    </row>
    <row r="381">
      <c r="D381" s="87" t="n"/>
    </row>
    <row r="382">
      <c r="D382" s="87" t="n"/>
    </row>
    <row r="383">
      <c r="D383" s="87" t="n"/>
    </row>
    <row r="384">
      <c r="D384" s="87" t="n"/>
    </row>
    <row r="385">
      <c r="D385" s="87" t="n"/>
    </row>
    <row r="386">
      <c r="D386" s="87" t="n"/>
    </row>
    <row r="387">
      <c r="D387" s="87" t="n"/>
    </row>
    <row r="388">
      <c r="D388" s="87" t="n"/>
    </row>
    <row r="389">
      <c r="D389" s="87" t="n"/>
    </row>
    <row r="390">
      <c r="D390" s="87" t="n"/>
    </row>
    <row r="391">
      <c r="D391" s="87" t="n"/>
    </row>
    <row r="392">
      <c r="D392" s="87" t="n"/>
    </row>
    <row r="393">
      <c r="D393" s="87" t="n"/>
    </row>
    <row r="394">
      <c r="D394" s="87" t="n"/>
    </row>
    <row r="395">
      <c r="D395" s="87" t="n"/>
    </row>
    <row r="396">
      <c r="D396" s="87" t="n"/>
    </row>
    <row r="397">
      <c r="D397" s="87" t="n"/>
    </row>
    <row r="398">
      <c r="D398" s="87" t="n"/>
    </row>
    <row r="399">
      <c r="D399" s="87" t="n"/>
    </row>
    <row r="400">
      <c r="D400" s="87" t="n"/>
    </row>
    <row r="401">
      <c r="D401" s="87" t="n"/>
    </row>
    <row r="402">
      <c r="D402" s="87" t="n"/>
    </row>
    <row r="403">
      <c r="D403" s="87" t="n"/>
    </row>
    <row r="404">
      <c r="D404" s="87" t="n"/>
    </row>
    <row r="405">
      <c r="D405" s="87" t="n"/>
    </row>
    <row r="406">
      <c r="D406" s="87" t="n"/>
    </row>
    <row r="407">
      <c r="D407" s="87" t="n"/>
    </row>
    <row r="408">
      <c r="D408" s="87" t="n"/>
    </row>
    <row r="409">
      <c r="D409" s="87" t="n"/>
    </row>
    <row r="410">
      <c r="D410" s="87" t="n"/>
    </row>
    <row r="411">
      <c r="D411" s="87" t="n"/>
    </row>
    <row r="412">
      <c r="D412" s="87" t="n"/>
    </row>
    <row r="413">
      <c r="D413" s="87" t="n"/>
    </row>
    <row r="414">
      <c r="D414" s="87" t="n"/>
    </row>
    <row r="415">
      <c r="D415" s="87" t="n"/>
    </row>
    <row r="416">
      <c r="D416" s="87" t="n"/>
    </row>
    <row r="417">
      <c r="D417" s="87" t="n"/>
    </row>
    <row r="418">
      <c r="D418" s="87" t="n"/>
    </row>
    <row r="419">
      <c r="D419" s="87" t="n"/>
    </row>
    <row r="420">
      <c r="D420" s="87" t="n"/>
    </row>
    <row r="421">
      <c r="D421" s="87" t="n"/>
    </row>
    <row r="422">
      <c r="D422" s="87" t="n"/>
    </row>
    <row r="423">
      <c r="D423" s="87" t="n"/>
    </row>
    <row r="424">
      <c r="D424" s="87" t="n"/>
    </row>
    <row r="425">
      <c r="D425" s="87" t="n"/>
    </row>
    <row r="426">
      <c r="D426" s="87" t="n"/>
    </row>
    <row r="427">
      <c r="D427" s="87" t="n"/>
    </row>
    <row r="428">
      <c r="D428" s="87" t="n"/>
    </row>
    <row r="429">
      <c r="D429" s="87" t="n"/>
    </row>
    <row r="430">
      <c r="D430" s="87" t="n"/>
    </row>
    <row r="431">
      <c r="D431" s="87" t="n"/>
    </row>
    <row r="432">
      <c r="D432" s="87" t="n"/>
    </row>
    <row r="433">
      <c r="D433" s="87" t="n"/>
    </row>
    <row r="434">
      <c r="D434" s="87" t="n"/>
    </row>
    <row r="435">
      <c r="D435" s="87" t="n"/>
    </row>
    <row r="436">
      <c r="D436" s="87" t="n"/>
    </row>
    <row r="437">
      <c r="D437" s="87" t="n"/>
    </row>
    <row r="438">
      <c r="D438" s="87" t="n"/>
    </row>
    <row r="439">
      <c r="D439" s="87" t="n"/>
    </row>
    <row r="440">
      <c r="D440" s="87" t="n"/>
    </row>
    <row r="441">
      <c r="D441" s="87" t="n"/>
    </row>
    <row r="442">
      <c r="D442" s="87" t="n"/>
    </row>
    <row r="443">
      <c r="D443" s="87" t="n"/>
    </row>
    <row r="444">
      <c r="D444" s="87" t="n"/>
    </row>
    <row r="445">
      <c r="D445" s="87" t="n"/>
    </row>
    <row r="446">
      <c r="D446" s="87" t="n"/>
    </row>
    <row r="447">
      <c r="D447" s="87" t="n"/>
    </row>
    <row r="448">
      <c r="D448" s="87" t="n"/>
    </row>
    <row r="449">
      <c r="D449" s="87" t="n"/>
    </row>
    <row r="450">
      <c r="D450" s="87" t="n"/>
    </row>
    <row r="451">
      <c r="D451" s="87" t="n"/>
    </row>
    <row r="452">
      <c r="D452" s="87" t="n"/>
    </row>
    <row r="453">
      <c r="D453" s="87" t="n"/>
    </row>
    <row r="454">
      <c r="D454" s="87" t="n"/>
    </row>
    <row r="455">
      <c r="D455" s="87" t="n"/>
    </row>
    <row r="456">
      <c r="D456" s="87" t="n"/>
    </row>
    <row r="457">
      <c r="D457" s="87" t="n"/>
    </row>
    <row r="458">
      <c r="D458" s="87" t="n"/>
    </row>
    <row r="459">
      <c r="D459" s="87" t="n"/>
    </row>
    <row r="460">
      <c r="D460" s="87" t="n"/>
    </row>
    <row r="461">
      <c r="D461" s="87" t="n"/>
    </row>
    <row r="462">
      <c r="D462" s="87" t="n"/>
    </row>
    <row r="463">
      <c r="D463" s="87" t="n"/>
    </row>
    <row r="464">
      <c r="D464" s="87" t="n"/>
    </row>
    <row r="465">
      <c r="D465" s="87" t="n"/>
    </row>
    <row r="466">
      <c r="D466" s="87" t="n"/>
    </row>
    <row r="467">
      <c r="D467" s="87" t="n"/>
    </row>
    <row r="468">
      <c r="D468" s="87" t="n"/>
    </row>
    <row r="469">
      <c r="D469" s="87" t="n"/>
    </row>
    <row r="470">
      <c r="D470" s="87" t="n"/>
    </row>
    <row r="471">
      <c r="D471" s="87" t="n"/>
    </row>
    <row r="472">
      <c r="D472" s="87" t="n"/>
    </row>
    <row r="473">
      <c r="D473" s="87" t="n"/>
    </row>
    <row r="474">
      <c r="D474" s="87" t="n"/>
    </row>
    <row r="475">
      <c r="D475" s="87" t="n"/>
    </row>
    <row r="476">
      <c r="D476" s="87" t="n"/>
    </row>
    <row r="477">
      <c r="D477" s="87" t="n"/>
    </row>
    <row r="478">
      <c r="D478" s="87" t="n"/>
    </row>
    <row r="479">
      <c r="D479" s="87" t="n"/>
    </row>
    <row r="480">
      <c r="D480" s="87" t="n"/>
    </row>
    <row r="481">
      <c r="D481" s="87" t="n"/>
    </row>
    <row r="482">
      <c r="D482" s="87" t="n"/>
    </row>
    <row r="483">
      <c r="D483" s="87" t="n"/>
    </row>
    <row r="484">
      <c r="D484" s="87" t="n"/>
    </row>
    <row r="485">
      <c r="D485" s="87" t="n"/>
    </row>
    <row r="486">
      <c r="D486" s="87" t="n"/>
    </row>
    <row r="487">
      <c r="D487" s="87" t="n"/>
    </row>
    <row r="488">
      <c r="D488" s="87" t="n"/>
    </row>
    <row r="489">
      <c r="D489" s="87" t="n"/>
    </row>
    <row r="490">
      <c r="D490" s="87" t="n"/>
    </row>
    <row r="491">
      <c r="D491" s="87" t="n"/>
    </row>
    <row r="492">
      <c r="D492" s="87" t="n"/>
    </row>
    <row r="493">
      <c r="D493" s="87" t="n"/>
    </row>
    <row r="494">
      <c r="D494" s="87" t="n"/>
    </row>
    <row r="495">
      <c r="D495" s="87" t="n"/>
    </row>
    <row r="496">
      <c r="D496" s="87" t="n"/>
    </row>
    <row r="497">
      <c r="D497" s="87" t="n"/>
    </row>
    <row r="498">
      <c r="D498" s="87" t="n"/>
    </row>
    <row r="499">
      <c r="D499" s="87" t="n"/>
    </row>
    <row r="500">
      <c r="D500" s="87" t="n"/>
    </row>
    <row r="501">
      <c r="D501" s="87" t="n"/>
    </row>
    <row r="502">
      <c r="D502" s="87" t="n"/>
    </row>
    <row r="503">
      <c r="D503" s="87" t="n"/>
    </row>
    <row r="504">
      <c r="D504" s="87" t="n"/>
    </row>
    <row r="505">
      <c r="D505" s="87" t="n"/>
    </row>
    <row r="506">
      <c r="D506" s="87" t="n"/>
    </row>
    <row r="507">
      <c r="D507" s="87" t="n"/>
    </row>
    <row r="508">
      <c r="D508" s="87" t="n"/>
    </row>
    <row r="509">
      <c r="D509" s="87" t="n"/>
    </row>
    <row r="510">
      <c r="D510" s="87" t="n"/>
    </row>
    <row r="511">
      <c r="D511" s="87" t="n"/>
    </row>
    <row r="512">
      <c r="D512" s="87" t="n"/>
    </row>
    <row r="513">
      <c r="D513" s="87" t="n"/>
    </row>
    <row r="514">
      <c r="D514" s="87" t="n"/>
    </row>
    <row r="515">
      <c r="D515" s="87" t="n"/>
    </row>
    <row r="516">
      <c r="D516" s="87" t="n"/>
    </row>
    <row r="517">
      <c r="D517" s="87" t="n"/>
    </row>
    <row r="518">
      <c r="D518" s="87" t="n"/>
    </row>
    <row r="519">
      <c r="D519" s="87" t="n"/>
    </row>
    <row r="520">
      <c r="D520" s="87" t="n"/>
    </row>
    <row r="521">
      <c r="D521" s="87" t="n"/>
    </row>
    <row r="522">
      <c r="D522" s="87" t="n"/>
    </row>
    <row r="523">
      <c r="D523" s="87" t="n"/>
    </row>
    <row r="524">
      <c r="D524" s="87" t="n"/>
    </row>
    <row r="525">
      <c r="D525" s="87" t="n"/>
    </row>
    <row r="526">
      <c r="D526" s="87" t="n"/>
    </row>
    <row r="527">
      <c r="D527" s="87" t="n"/>
    </row>
    <row r="528">
      <c r="D528" s="87" t="n"/>
    </row>
    <row r="529">
      <c r="D529" s="87" t="n"/>
    </row>
    <row r="530">
      <c r="D530" s="87" t="n"/>
    </row>
    <row r="531">
      <c r="D531" s="87" t="n"/>
    </row>
    <row r="532">
      <c r="D532" s="87" t="n"/>
    </row>
    <row r="533">
      <c r="D533" s="87" t="n"/>
    </row>
    <row r="534">
      <c r="D534" s="87" t="n"/>
    </row>
    <row r="535">
      <c r="D535" s="87" t="n"/>
    </row>
    <row r="536">
      <c r="D536" s="87" t="n"/>
    </row>
    <row r="537">
      <c r="D537" s="87" t="n"/>
    </row>
    <row r="538">
      <c r="D538" s="87" t="n"/>
    </row>
    <row r="539">
      <c r="D539" s="87" t="n"/>
    </row>
    <row r="540">
      <c r="D540" s="87" t="n"/>
    </row>
    <row r="541">
      <c r="D541" s="87" t="n"/>
    </row>
    <row r="542">
      <c r="D542" s="87" t="n"/>
    </row>
    <row r="543">
      <c r="D543" s="87" t="n"/>
    </row>
    <row r="544">
      <c r="D544" s="87" t="n"/>
    </row>
    <row r="545">
      <c r="D545" s="87" t="n"/>
    </row>
    <row r="546">
      <c r="D546" s="87" t="n"/>
    </row>
    <row r="547">
      <c r="D547" s="87" t="n"/>
    </row>
    <row r="548">
      <c r="D548" s="87" t="n"/>
    </row>
    <row r="549">
      <c r="D549" s="87" t="n"/>
    </row>
    <row r="550">
      <c r="D550" s="87" t="n"/>
    </row>
    <row r="551">
      <c r="D551" s="87" t="n"/>
    </row>
    <row r="552">
      <c r="D552" s="87" t="n"/>
    </row>
    <row r="553">
      <c r="D553" s="87" t="n"/>
    </row>
    <row r="554">
      <c r="D554" s="87" t="n"/>
    </row>
    <row r="555">
      <c r="D555" s="87" t="n"/>
    </row>
    <row r="556">
      <c r="D556" s="87" t="n"/>
    </row>
    <row r="557">
      <c r="D557" s="87" t="n"/>
    </row>
    <row r="558">
      <c r="D558" s="87" t="n"/>
    </row>
    <row r="559">
      <c r="D559" s="87" t="n"/>
    </row>
    <row r="560">
      <c r="D560" s="87" t="n"/>
    </row>
    <row r="561">
      <c r="D561" s="87" t="n"/>
    </row>
    <row r="562">
      <c r="D562" s="87" t="n"/>
    </row>
    <row r="563">
      <c r="D563" s="87" t="n"/>
    </row>
    <row r="564">
      <c r="D564" s="87" t="n"/>
    </row>
    <row r="565">
      <c r="D565" s="87" t="n"/>
    </row>
    <row r="566">
      <c r="D566" s="87" t="n"/>
    </row>
    <row r="567">
      <c r="D567" s="87" t="n"/>
    </row>
    <row r="568">
      <c r="D568" s="87" t="n"/>
    </row>
    <row r="569">
      <c r="D569" s="87" t="n"/>
    </row>
    <row r="570">
      <c r="D570" s="87" t="n"/>
    </row>
    <row r="571">
      <c r="D571" s="87" t="n"/>
    </row>
    <row r="572">
      <c r="D572" s="87" t="n"/>
    </row>
    <row r="573">
      <c r="D573" s="87" t="n"/>
    </row>
    <row r="574">
      <c r="D574" s="87" t="n"/>
    </row>
    <row r="575">
      <c r="D575" s="87" t="n"/>
    </row>
    <row r="576">
      <c r="D576" s="87" t="n"/>
    </row>
    <row r="577">
      <c r="D577" s="87" t="n"/>
    </row>
    <row r="578">
      <c r="D578" s="87" t="n"/>
    </row>
    <row r="579">
      <c r="D579" s="87" t="n"/>
    </row>
    <row r="580">
      <c r="D580" s="87" t="n"/>
    </row>
    <row r="581">
      <c r="D581" s="87" t="n"/>
    </row>
    <row r="582">
      <c r="D582" s="87" t="n"/>
    </row>
    <row r="583">
      <c r="D583" s="87" t="n"/>
    </row>
    <row r="584">
      <c r="D584" s="87" t="n"/>
    </row>
    <row r="585">
      <c r="D585" s="87" t="n"/>
    </row>
    <row r="586">
      <c r="D586" s="87" t="n"/>
    </row>
    <row r="587">
      <c r="D587" s="87" t="n"/>
    </row>
    <row r="588">
      <c r="D588" s="87" t="n"/>
    </row>
    <row r="589">
      <c r="D589" s="87" t="n"/>
    </row>
    <row r="590">
      <c r="D590" s="87" t="n"/>
    </row>
    <row r="591">
      <c r="D591" s="87" t="n"/>
    </row>
    <row r="592">
      <c r="D592" s="87" t="n"/>
    </row>
    <row r="593">
      <c r="D593" s="87" t="n"/>
    </row>
    <row r="594">
      <c r="D594" s="87" t="n"/>
    </row>
    <row r="595">
      <c r="D595" s="87" t="n"/>
    </row>
    <row r="596">
      <c r="D596" s="87" t="n"/>
    </row>
    <row r="597">
      <c r="D597" s="87" t="n"/>
    </row>
    <row r="598">
      <c r="D598" s="87" t="n"/>
    </row>
    <row r="599">
      <c r="D599" s="87" t="n"/>
    </row>
    <row r="600">
      <c r="D600" s="87" t="n"/>
    </row>
    <row r="601">
      <c r="D601" s="87" t="n"/>
    </row>
    <row r="602">
      <c r="D602" s="87" t="n"/>
    </row>
    <row r="603">
      <c r="D603" s="87" t="n"/>
    </row>
    <row r="604">
      <c r="D604" s="87" t="n"/>
    </row>
    <row r="605">
      <c r="D605" s="87" t="n"/>
    </row>
    <row r="606">
      <c r="D606" s="87" t="n"/>
    </row>
    <row r="607">
      <c r="D607" s="87" t="n"/>
    </row>
    <row r="608">
      <c r="D608" s="87" t="n"/>
    </row>
    <row r="609">
      <c r="D609" s="87" t="n"/>
    </row>
    <row r="610">
      <c r="D610" s="87" t="n"/>
    </row>
    <row r="611">
      <c r="D611" s="87" t="n"/>
    </row>
    <row r="612">
      <c r="D612" s="87" t="n"/>
    </row>
    <row r="613">
      <c r="D613" s="87" t="n"/>
    </row>
    <row r="614">
      <c r="D614" s="87" t="n"/>
    </row>
    <row r="615">
      <c r="D615" s="87" t="n"/>
    </row>
    <row r="616">
      <c r="D616" s="87" t="n"/>
    </row>
    <row r="617">
      <c r="D617" s="87" t="n"/>
    </row>
    <row r="618">
      <c r="D618" s="87" t="n"/>
    </row>
    <row r="619">
      <c r="D619" s="87" t="n"/>
    </row>
    <row r="620">
      <c r="D620" s="87" t="n"/>
    </row>
    <row r="621">
      <c r="D621" s="87" t="n"/>
    </row>
    <row r="622">
      <c r="D622" s="87" t="n"/>
    </row>
    <row r="623">
      <c r="D623" s="87" t="n"/>
    </row>
    <row r="624">
      <c r="D624" s="87" t="n"/>
    </row>
    <row r="625">
      <c r="D625" s="87" t="n"/>
    </row>
    <row r="626">
      <c r="D626" s="87" t="n"/>
    </row>
    <row r="627">
      <c r="D627" s="87" t="n"/>
    </row>
    <row r="628">
      <c r="D628" s="87" t="n"/>
    </row>
    <row r="629">
      <c r="D629" s="87" t="n"/>
    </row>
    <row r="630">
      <c r="D630" s="87" t="n"/>
    </row>
    <row r="631">
      <c r="D631" s="87" t="n"/>
    </row>
    <row r="632">
      <c r="D632" s="87" t="n"/>
    </row>
    <row r="633">
      <c r="D633" s="87" t="n"/>
    </row>
    <row r="634">
      <c r="D634" s="87" t="n"/>
    </row>
    <row r="635">
      <c r="D635" s="87" t="n"/>
    </row>
    <row r="636">
      <c r="D636" s="87" t="n"/>
    </row>
    <row r="637">
      <c r="D637" s="87" t="n"/>
    </row>
    <row r="638">
      <c r="D638" s="87" t="n"/>
    </row>
    <row r="639">
      <c r="D639" s="87" t="n"/>
    </row>
    <row r="640">
      <c r="D640" s="87" t="n"/>
    </row>
    <row r="641">
      <c r="D641" s="87" t="n"/>
    </row>
    <row r="642">
      <c r="D642" s="87" t="n"/>
    </row>
    <row r="643">
      <c r="D643" s="87" t="n"/>
    </row>
    <row r="644">
      <c r="D644" s="87" t="n"/>
    </row>
    <row r="645">
      <c r="D645" s="87" t="n"/>
    </row>
    <row r="646">
      <c r="D646" s="87" t="n"/>
    </row>
    <row r="647">
      <c r="D647" s="87" t="n"/>
    </row>
    <row r="648">
      <c r="D648" s="87" t="n"/>
    </row>
    <row r="649">
      <c r="D649" s="87" t="n"/>
    </row>
    <row r="650">
      <c r="D650" s="87" t="n"/>
    </row>
    <row r="651">
      <c r="D651" s="87" t="n"/>
    </row>
    <row r="652">
      <c r="D652" s="87" t="n"/>
    </row>
    <row r="653">
      <c r="D653" s="87" t="n"/>
    </row>
    <row r="654">
      <c r="D654" s="87" t="n"/>
    </row>
    <row r="655">
      <c r="D655" s="87" t="n"/>
    </row>
    <row r="656">
      <c r="D656" s="87" t="n"/>
    </row>
    <row r="657">
      <c r="D657" s="87" t="n"/>
    </row>
    <row r="658">
      <c r="D658" s="87" t="n"/>
    </row>
    <row r="659">
      <c r="D659" s="87" t="n"/>
    </row>
    <row r="660">
      <c r="D660" s="87" t="n"/>
    </row>
    <row r="661">
      <c r="D661" s="87" t="n"/>
    </row>
    <row r="662">
      <c r="D662" s="87" t="n"/>
    </row>
    <row r="663">
      <c r="D663" s="87" t="n"/>
    </row>
    <row r="664">
      <c r="D664" s="87" t="n"/>
    </row>
    <row r="665">
      <c r="D665" s="87" t="n"/>
    </row>
    <row r="666">
      <c r="D666" s="87" t="n"/>
    </row>
    <row r="667">
      <c r="D667" s="87" t="n"/>
    </row>
    <row r="668">
      <c r="D668" s="87" t="n"/>
    </row>
    <row r="669">
      <c r="D669" s="87" t="n"/>
    </row>
    <row r="670">
      <c r="D670" s="87" t="n"/>
    </row>
    <row r="671">
      <c r="D671" s="87" t="n"/>
    </row>
    <row r="672">
      <c r="D672" s="87" t="n"/>
    </row>
    <row r="673">
      <c r="D673" s="87" t="n"/>
    </row>
    <row r="674">
      <c r="D674" s="87" t="n"/>
    </row>
    <row r="675">
      <c r="D675" s="87" t="n"/>
    </row>
    <row r="676">
      <c r="D676" s="87" t="n"/>
    </row>
    <row r="677">
      <c r="D677" s="87" t="n"/>
    </row>
    <row r="678">
      <c r="D678" s="87" t="n"/>
    </row>
    <row r="679">
      <c r="D679" s="87" t="n"/>
    </row>
    <row r="680">
      <c r="D680" s="87" t="n"/>
    </row>
    <row r="681">
      <c r="D681" s="87" t="n"/>
    </row>
    <row r="682">
      <c r="D682" s="87" t="n"/>
    </row>
    <row r="683">
      <c r="D683" s="87" t="n"/>
    </row>
    <row r="684">
      <c r="D684" s="87" t="n"/>
    </row>
    <row r="685">
      <c r="D685" s="87" t="n"/>
    </row>
    <row r="686">
      <c r="D686" s="87" t="n"/>
    </row>
    <row r="687">
      <c r="D687" s="87" t="n"/>
    </row>
    <row r="688">
      <c r="D688" s="87" t="n"/>
    </row>
    <row r="689">
      <c r="D689" s="87" t="n"/>
    </row>
    <row r="690">
      <c r="D690" s="87" t="n"/>
    </row>
    <row r="691">
      <c r="D691" s="87" t="n"/>
    </row>
    <row r="692">
      <c r="D692" s="87" t="n"/>
    </row>
    <row r="693">
      <c r="D693" s="87" t="n"/>
    </row>
    <row r="694">
      <c r="D694" s="87" t="n"/>
    </row>
    <row r="695">
      <c r="D695" s="87" t="n"/>
    </row>
    <row r="696">
      <c r="D696" s="87" t="n"/>
    </row>
    <row r="697">
      <c r="D697" s="87" t="n"/>
    </row>
    <row r="698">
      <c r="D698" s="87" t="n"/>
    </row>
    <row r="699">
      <c r="D699" s="87" t="n"/>
    </row>
    <row r="700">
      <c r="D700" s="87" t="n"/>
    </row>
    <row r="701">
      <c r="D701" s="87" t="n"/>
    </row>
    <row r="702">
      <c r="D702" s="87" t="n"/>
    </row>
    <row r="703">
      <c r="D703" s="87" t="n"/>
    </row>
    <row r="704">
      <c r="D704" s="87" t="n"/>
    </row>
    <row r="705">
      <c r="D705" s="87" t="n"/>
    </row>
    <row r="706">
      <c r="D706" s="87" t="n"/>
    </row>
    <row r="707">
      <c r="D707" s="87" t="n"/>
    </row>
    <row r="708">
      <c r="D708" s="87" t="n"/>
    </row>
    <row r="709">
      <c r="D709" s="87" t="n"/>
    </row>
    <row r="710">
      <c r="D710" s="87" t="n"/>
    </row>
    <row r="711">
      <c r="D711" s="87" t="n"/>
    </row>
    <row r="712">
      <c r="D712" s="87" t="n"/>
    </row>
    <row r="713">
      <c r="D713" s="87" t="n"/>
    </row>
    <row r="714">
      <c r="D714" s="87" t="n"/>
    </row>
    <row r="715">
      <c r="D715" s="87" t="n"/>
    </row>
    <row r="716">
      <c r="D716" s="87" t="n"/>
    </row>
    <row r="717">
      <c r="D717" s="87" t="n"/>
    </row>
    <row r="718">
      <c r="D718" s="87" t="n"/>
    </row>
    <row r="719">
      <c r="D719" s="87" t="n"/>
    </row>
    <row r="720">
      <c r="D720" s="87" t="n"/>
    </row>
    <row r="721">
      <c r="D721" s="87" t="n"/>
    </row>
    <row r="722">
      <c r="D722" s="87" t="n"/>
    </row>
    <row r="723">
      <c r="D723" s="87" t="n"/>
    </row>
    <row r="724">
      <c r="D724" s="87" t="n"/>
    </row>
    <row r="725">
      <c r="D725" s="87" t="n"/>
    </row>
    <row r="726">
      <c r="D726" s="87" t="n"/>
    </row>
    <row r="727">
      <c r="D727" s="87" t="n"/>
    </row>
    <row r="728">
      <c r="D728" s="87" t="n"/>
    </row>
    <row r="729">
      <c r="D729" s="87" t="n"/>
    </row>
    <row r="730">
      <c r="D730" s="87" t="n"/>
    </row>
    <row r="731">
      <c r="D731" s="87" t="n"/>
    </row>
    <row r="732">
      <c r="D732" s="87" t="n"/>
    </row>
    <row r="733">
      <c r="D733" s="87" t="n"/>
    </row>
    <row r="734">
      <c r="D734" s="87" t="n"/>
    </row>
    <row r="735">
      <c r="D735" s="87" t="n"/>
    </row>
    <row r="736">
      <c r="D736" s="87" t="n"/>
    </row>
    <row r="737">
      <c r="D737" s="87" t="n"/>
    </row>
    <row r="738">
      <c r="D738" s="87" t="n"/>
    </row>
    <row r="739">
      <c r="D739" s="87" t="n"/>
    </row>
    <row r="740">
      <c r="D740" s="87" t="n"/>
    </row>
    <row r="741">
      <c r="D741" s="87" t="n"/>
    </row>
    <row r="742">
      <c r="D742" s="87" t="n"/>
    </row>
    <row r="743">
      <c r="D743" s="87" t="n"/>
    </row>
    <row r="744">
      <c r="D744" s="87" t="n"/>
    </row>
    <row r="745">
      <c r="D745" s="87" t="n"/>
    </row>
    <row r="746">
      <c r="D746" s="87" t="n"/>
    </row>
    <row r="747">
      <c r="D747" s="87" t="n"/>
    </row>
    <row r="748">
      <c r="D748" s="87" t="n"/>
    </row>
    <row r="749">
      <c r="D749" s="87" t="n"/>
    </row>
    <row r="750">
      <c r="D750" s="87" t="n"/>
    </row>
    <row r="751">
      <c r="D751" s="87" t="n"/>
    </row>
    <row r="752">
      <c r="D752" s="87" t="n"/>
    </row>
    <row r="753">
      <c r="D753" s="87" t="n"/>
    </row>
    <row r="754">
      <c r="D754" s="87" t="n"/>
    </row>
    <row r="755">
      <c r="D755" s="87" t="n"/>
    </row>
    <row r="756">
      <c r="D756" s="87" t="n"/>
    </row>
    <row r="757">
      <c r="D757" s="87" t="n"/>
    </row>
    <row r="758">
      <c r="D758" s="87" t="n"/>
    </row>
    <row r="759">
      <c r="D759" s="87" t="n"/>
    </row>
    <row r="760">
      <c r="D760" s="87" t="n"/>
    </row>
    <row r="761">
      <c r="D761" s="87" t="n"/>
    </row>
    <row r="762">
      <c r="D762" s="87" t="n"/>
    </row>
    <row r="763">
      <c r="D763" s="87" t="n"/>
    </row>
    <row r="764">
      <c r="D764" s="87" t="n"/>
    </row>
    <row r="765">
      <c r="D765" s="87" t="n"/>
    </row>
    <row r="766">
      <c r="D766" s="87" t="n"/>
    </row>
    <row r="767">
      <c r="D767" s="87" t="n"/>
    </row>
    <row r="768">
      <c r="D768" s="87" t="n"/>
    </row>
    <row r="769">
      <c r="D769" s="87" t="n"/>
    </row>
    <row r="770">
      <c r="D770" s="87" t="n"/>
    </row>
    <row r="771">
      <c r="D771" s="87" t="n"/>
    </row>
    <row r="772">
      <c r="D772" s="87" t="n"/>
    </row>
    <row r="773">
      <c r="D773" s="87" t="n"/>
    </row>
    <row r="774">
      <c r="D774" s="87" t="n"/>
    </row>
    <row r="775">
      <c r="D775" s="87" t="n"/>
    </row>
    <row r="776">
      <c r="D776" s="87" t="n"/>
    </row>
    <row r="777">
      <c r="D777" s="87" t="n"/>
    </row>
    <row r="778">
      <c r="D778" s="87" t="n"/>
    </row>
    <row r="779">
      <c r="D779" s="87" t="n"/>
    </row>
    <row r="780">
      <c r="D780" s="87" t="n"/>
    </row>
    <row r="781">
      <c r="D781" s="87" t="n"/>
    </row>
    <row r="782">
      <c r="D782" s="87" t="n"/>
    </row>
    <row r="783">
      <c r="D783" s="87" t="n"/>
    </row>
    <row r="784">
      <c r="D784" s="87" t="n"/>
    </row>
    <row r="785">
      <c r="D785" s="87" t="n"/>
    </row>
    <row r="786">
      <c r="D786" s="87" t="n"/>
    </row>
    <row r="787">
      <c r="D787" s="87" t="n"/>
    </row>
    <row r="788">
      <c r="D788" s="87" t="n"/>
    </row>
    <row r="789">
      <c r="D789" s="87" t="n"/>
    </row>
    <row r="790">
      <c r="D790" s="87" t="n"/>
    </row>
    <row r="791">
      <c r="D791" s="87" t="n"/>
    </row>
    <row r="792">
      <c r="D792" s="87" t="n"/>
    </row>
    <row r="793">
      <c r="D793" s="87" t="n"/>
    </row>
    <row r="794">
      <c r="D794" s="87" t="n"/>
    </row>
    <row r="795">
      <c r="D795" s="87" t="n"/>
    </row>
    <row r="796">
      <c r="D796" s="87" t="n"/>
    </row>
    <row r="797">
      <c r="D797" s="87" t="n"/>
    </row>
    <row r="798">
      <c r="D798" s="87" t="n"/>
    </row>
    <row r="799">
      <c r="D799" s="87" t="n"/>
    </row>
    <row r="800">
      <c r="D800" s="87" t="n"/>
    </row>
    <row r="801">
      <c r="D801" s="87" t="n"/>
    </row>
    <row r="802">
      <c r="D802" s="87" t="n"/>
    </row>
    <row r="803">
      <c r="D803" s="87" t="n"/>
    </row>
    <row r="804">
      <c r="D804" s="87" t="n"/>
    </row>
    <row r="805">
      <c r="D805" s="87" t="n"/>
    </row>
    <row r="806">
      <c r="D806" s="87" t="n"/>
    </row>
    <row r="807">
      <c r="D807" s="87" t="n"/>
    </row>
    <row r="808">
      <c r="D808" s="87" t="n"/>
    </row>
    <row r="809">
      <c r="D809" s="87" t="n"/>
    </row>
    <row r="810">
      <c r="D810" s="87" t="n"/>
    </row>
    <row r="811">
      <c r="D811" s="87" t="n"/>
    </row>
    <row r="812">
      <c r="D812" s="87" t="n"/>
    </row>
    <row r="813">
      <c r="D813" s="87" t="n"/>
    </row>
    <row r="814">
      <c r="D814" s="87" t="n"/>
    </row>
    <row r="815">
      <c r="D815" s="87" t="n"/>
    </row>
    <row r="816">
      <c r="D816" s="87" t="n"/>
    </row>
    <row r="817">
      <c r="D817" s="87" t="n"/>
    </row>
    <row r="818">
      <c r="D818" s="87" t="n"/>
    </row>
    <row r="819">
      <c r="D819" s="87" t="n"/>
    </row>
    <row r="820">
      <c r="D820" s="87" t="n"/>
    </row>
    <row r="821">
      <c r="D821" s="87" t="n"/>
    </row>
    <row r="822">
      <c r="D822" s="87" t="n"/>
    </row>
    <row r="823">
      <c r="D823" s="87" t="n"/>
    </row>
    <row r="824">
      <c r="D824" s="87" t="n"/>
    </row>
    <row r="825">
      <c r="D825" s="87" t="n"/>
    </row>
    <row r="826">
      <c r="D826" s="87" t="n"/>
    </row>
    <row r="827">
      <c r="D827" s="87" t="n"/>
    </row>
    <row r="828">
      <c r="D828" s="87" t="n"/>
    </row>
    <row r="829">
      <c r="D829" s="87" t="n"/>
    </row>
    <row r="830">
      <c r="D830" s="87" t="n"/>
    </row>
    <row r="831">
      <c r="D831" s="87" t="n"/>
    </row>
    <row r="832">
      <c r="D832" s="87" t="n"/>
    </row>
    <row r="833">
      <c r="D833" s="87" t="n"/>
    </row>
    <row r="834">
      <c r="D834" s="87" t="n"/>
    </row>
    <row r="835">
      <c r="D835" s="87" t="n"/>
    </row>
    <row r="836">
      <c r="D836" s="87" t="n"/>
    </row>
    <row r="837">
      <c r="D837" s="87" t="n"/>
    </row>
    <row r="838">
      <c r="D838" s="87" t="n"/>
    </row>
    <row r="839">
      <c r="D839" s="87" t="n"/>
    </row>
    <row r="840">
      <c r="D840" s="87" t="n"/>
    </row>
    <row r="841">
      <c r="D841" s="87" t="n"/>
    </row>
    <row r="842">
      <c r="D842" s="87" t="n"/>
    </row>
    <row r="843">
      <c r="D843" s="87" t="n"/>
    </row>
    <row r="844">
      <c r="D844" s="87" t="n"/>
    </row>
    <row r="845">
      <c r="D845" s="87" t="n"/>
    </row>
    <row r="846">
      <c r="D846" s="87" t="n"/>
    </row>
    <row r="847">
      <c r="D847" s="87" t="n"/>
    </row>
    <row r="848">
      <c r="D848" s="87" t="n"/>
    </row>
    <row r="849">
      <c r="D849" s="87" t="n"/>
    </row>
    <row r="850">
      <c r="D850" s="87" t="n"/>
    </row>
    <row r="851">
      <c r="D851" s="87" t="n"/>
    </row>
    <row r="852">
      <c r="D852" s="87" t="n"/>
    </row>
    <row r="853">
      <c r="D853" s="87" t="n"/>
    </row>
    <row r="854">
      <c r="D854" s="87" t="n"/>
    </row>
    <row r="855">
      <c r="D855" s="87" t="n"/>
    </row>
    <row r="856">
      <c r="D856" s="87" t="n"/>
    </row>
    <row r="857">
      <c r="D857" s="87" t="n"/>
    </row>
    <row r="858">
      <c r="D858" s="87" t="n"/>
    </row>
    <row r="859">
      <c r="D859" s="87" t="n"/>
    </row>
    <row r="860">
      <c r="D860" s="87" t="n"/>
    </row>
    <row r="861">
      <c r="D861" s="87" t="n"/>
    </row>
    <row r="862">
      <c r="D862" s="87" t="n"/>
    </row>
    <row r="863">
      <c r="D863" s="87" t="n"/>
    </row>
    <row r="864">
      <c r="D864" s="87" t="n"/>
    </row>
    <row r="865">
      <c r="D865" s="87" t="n"/>
    </row>
    <row r="866">
      <c r="D866" s="87" t="n"/>
    </row>
    <row r="867">
      <c r="D867" s="87" t="n"/>
    </row>
    <row r="868">
      <c r="D868" s="87" t="n"/>
    </row>
    <row r="869">
      <c r="D869" s="87" t="n"/>
    </row>
    <row r="870">
      <c r="D870" s="87" t="n"/>
    </row>
    <row r="871">
      <c r="D871" s="87" t="n"/>
    </row>
    <row r="872">
      <c r="D872" s="87" t="n"/>
    </row>
    <row r="873">
      <c r="D873" s="87" t="n"/>
    </row>
    <row r="874">
      <c r="D874" s="87" t="n"/>
    </row>
    <row r="875">
      <c r="D875" s="87" t="n"/>
    </row>
    <row r="876">
      <c r="D876" s="87" t="n"/>
    </row>
    <row r="877">
      <c r="D877" s="87" t="n"/>
    </row>
    <row r="878">
      <c r="D878" s="87" t="n"/>
    </row>
    <row r="879">
      <c r="D879" s="87" t="n"/>
    </row>
    <row r="880">
      <c r="D880" s="87" t="n"/>
    </row>
    <row r="881">
      <c r="D881" s="87" t="n"/>
    </row>
    <row r="882">
      <c r="D882" s="87" t="n"/>
    </row>
    <row r="883">
      <c r="D883" s="87" t="n"/>
    </row>
    <row r="884">
      <c r="D884" s="87" t="n"/>
    </row>
    <row r="885">
      <c r="D885" s="87" t="n"/>
    </row>
    <row r="886">
      <c r="D886" s="87" t="n"/>
    </row>
    <row r="887">
      <c r="D887" s="87" t="n"/>
    </row>
    <row r="888">
      <c r="D888" s="87" t="n"/>
    </row>
    <row r="889">
      <c r="D889" s="87" t="n"/>
    </row>
    <row r="890">
      <c r="D890" s="87" t="n"/>
    </row>
    <row r="891">
      <c r="D891" s="87" t="n"/>
    </row>
    <row r="892">
      <c r="D892" s="87" t="n"/>
    </row>
    <row r="893">
      <c r="D893" s="87" t="n"/>
    </row>
    <row r="894">
      <c r="D894" s="87" t="n"/>
    </row>
    <row r="895">
      <c r="D895" s="87" t="n"/>
    </row>
    <row r="896">
      <c r="D896" s="87" t="n"/>
    </row>
    <row r="897">
      <c r="D897" s="87" t="n"/>
    </row>
    <row r="898">
      <c r="D898" s="87" t="n"/>
    </row>
    <row r="899">
      <c r="D899" s="87" t="n"/>
    </row>
    <row r="900">
      <c r="D900" s="87" t="n"/>
    </row>
    <row r="901">
      <c r="D901" s="87" t="n"/>
    </row>
    <row r="902">
      <c r="D902" s="87" t="n"/>
    </row>
    <row r="903">
      <c r="D903" s="87" t="n"/>
    </row>
    <row r="904">
      <c r="D904" s="87" t="n"/>
    </row>
    <row r="905">
      <c r="D905" s="87" t="n"/>
    </row>
    <row r="906">
      <c r="D906" s="87" t="n"/>
    </row>
    <row r="907">
      <c r="D907" s="87" t="n"/>
    </row>
    <row r="908">
      <c r="D908" s="87" t="n"/>
    </row>
    <row r="909">
      <c r="D909" s="87" t="n"/>
    </row>
    <row r="910">
      <c r="D910" s="87" t="n"/>
    </row>
    <row r="911">
      <c r="D911" s="87" t="n"/>
    </row>
    <row r="912">
      <c r="D912" s="87" t="n"/>
    </row>
    <row r="913">
      <c r="D913" s="87" t="n"/>
    </row>
    <row r="914">
      <c r="D914" s="87" t="n"/>
    </row>
    <row r="915">
      <c r="D915" s="87" t="n"/>
    </row>
    <row r="916">
      <c r="D916" s="87" t="n"/>
    </row>
    <row r="917">
      <c r="D917" s="87" t="n"/>
    </row>
    <row r="918">
      <c r="D918" s="87" t="n"/>
    </row>
    <row r="919">
      <c r="D919" s="87" t="n"/>
    </row>
    <row r="920">
      <c r="D920" s="87" t="n"/>
    </row>
    <row r="921">
      <c r="D921" s="87" t="n"/>
    </row>
    <row r="922">
      <c r="D922" s="87" t="n"/>
    </row>
    <row r="923">
      <c r="D923" s="87" t="n"/>
    </row>
    <row r="924">
      <c r="D924" s="87" t="n"/>
    </row>
    <row r="925">
      <c r="D925" s="87" t="n"/>
    </row>
    <row r="926">
      <c r="D926" s="87" t="n"/>
    </row>
    <row r="927">
      <c r="D927" s="87" t="n"/>
    </row>
    <row r="928">
      <c r="D928" s="87" t="n"/>
    </row>
    <row r="929">
      <c r="D929" s="87" t="n"/>
    </row>
    <row r="930">
      <c r="D930" s="87" t="n"/>
    </row>
    <row r="931">
      <c r="D931" s="87" t="n"/>
    </row>
    <row r="932">
      <c r="D932" s="87" t="n"/>
    </row>
    <row r="933">
      <c r="D933" s="87" t="n"/>
    </row>
    <row r="934">
      <c r="D934" s="87" t="n"/>
    </row>
    <row r="935">
      <c r="D935" s="87" t="n"/>
    </row>
    <row r="936">
      <c r="D936" s="87" t="n"/>
    </row>
    <row r="937">
      <c r="D937" s="87" t="n"/>
    </row>
    <row r="938">
      <c r="D938" s="87" t="n"/>
    </row>
    <row r="939">
      <c r="D939" s="87" t="n"/>
    </row>
    <row r="940">
      <c r="D940" s="87" t="n"/>
    </row>
    <row r="941">
      <c r="D941" s="87" t="n"/>
    </row>
    <row r="942">
      <c r="D942" s="87" t="n"/>
    </row>
    <row r="943">
      <c r="D943" s="87" t="n"/>
    </row>
    <row r="944">
      <c r="D944" s="87" t="n"/>
    </row>
    <row r="945">
      <c r="D945" s="87" t="n"/>
    </row>
    <row r="946">
      <c r="D946" s="87" t="n"/>
    </row>
    <row r="947">
      <c r="D947" s="87" t="n"/>
    </row>
    <row r="948">
      <c r="D948" s="87" t="n"/>
    </row>
    <row r="949">
      <c r="D949" s="87" t="n"/>
    </row>
    <row r="950">
      <c r="D950" s="87" t="n"/>
    </row>
    <row r="951">
      <c r="D951" s="87" t="n"/>
    </row>
    <row r="952">
      <c r="D952" s="87" t="n"/>
    </row>
    <row r="953">
      <c r="D953" s="87" t="n"/>
    </row>
    <row r="954">
      <c r="D954" s="87" t="n"/>
    </row>
    <row r="955">
      <c r="D955" s="87" t="n"/>
    </row>
    <row r="956">
      <c r="D956" s="87" t="n"/>
    </row>
    <row r="957">
      <c r="D957" s="87" t="n"/>
    </row>
    <row r="958">
      <c r="D958" s="87" t="n"/>
    </row>
    <row r="959">
      <c r="D959" s="87" t="n"/>
    </row>
    <row r="960">
      <c r="D960" s="87" t="n"/>
    </row>
    <row r="961">
      <c r="D961" s="87" t="n"/>
    </row>
    <row r="962">
      <c r="D962" s="87" t="n"/>
    </row>
    <row r="963">
      <c r="D963" s="87" t="n"/>
    </row>
    <row r="964">
      <c r="D964" s="87" t="n"/>
    </row>
    <row r="965">
      <c r="D965" s="87" t="n"/>
    </row>
    <row r="966">
      <c r="D966" s="87" t="n"/>
    </row>
    <row r="967">
      <c r="D967" s="87" t="n"/>
    </row>
    <row r="968">
      <c r="D968" s="87" t="n"/>
    </row>
    <row r="969">
      <c r="D969" s="87" t="n"/>
    </row>
    <row r="970">
      <c r="D970" s="87" t="n"/>
    </row>
    <row r="971">
      <c r="D971" s="87" t="n"/>
    </row>
    <row r="972">
      <c r="D972" s="87" t="n"/>
    </row>
    <row r="973">
      <c r="D973" s="87" t="n"/>
    </row>
    <row r="974">
      <c r="D974" s="87" t="n"/>
    </row>
    <row r="975">
      <c r="D975" s="87" t="n"/>
    </row>
    <row r="976">
      <c r="D976" s="87" t="n"/>
    </row>
    <row r="977">
      <c r="D977" s="87" t="n"/>
    </row>
    <row r="978">
      <c r="D978" s="87" t="n"/>
    </row>
    <row r="979">
      <c r="D979" s="87" t="n"/>
    </row>
    <row r="980">
      <c r="D980" s="87" t="n"/>
    </row>
    <row r="981">
      <c r="D981" s="87" t="n"/>
    </row>
    <row r="982">
      <c r="D982" s="87" t="n"/>
    </row>
    <row r="983">
      <c r="D983" s="87" t="n"/>
    </row>
    <row r="984">
      <c r="D984" s="87" t="n"/>
    </row>
    <row r="985">
      <c r="D985" s="87" t="n"/>
    </row>
    <row r="986">
      <c r="D986" s="87" t="n"/>
    </row>
    <row r="987">
      <c r="D987" s="87" t="n"/>
    </row>
    <row r="988">
      <c r="D988" s="87" t="n"/>
    </row>
    <row r="989">
      <c r="D989" s="87" t="n"/>
    </row>
    <row r="990">
      <c r="D990" s="87" t="n"/>
    </row>
    <row r="991">
      <c r="D991" s="87" t="n"/>
    </row>
    <row r="992">
      <c r="D992" s="87" t="n"/>
    </row>
    <row r="993">
      <c r="D993" s="87" t="n"/>
    </row>
    <row r="994">
      <c r="D994" s="87" t="n"/>
    </row>
    <row r="995">
      <c r="D995" s="87" t="n"/>
    </row>
    <row r="996">
      <c r="D996" s="87" t="n"/>
    </row>
    <row r="997">
      <c r="D997" s="87" t="n"/>
    </row>
    <row r="998">
      <c r="D998" s="87" t="n"/>
    </row>
    <row r="999">
      <c r="D999" s="87" t="n"/>
    </row>
  </sheetData>
  <mergeCells count="66">
    <mergeCell ref="B91:C91"/>
    <mergeCell ref="B97:C97"/>
    <mergeCell ref="A24:B24"/>
    <mergeCell ref="B16:C16"/>
    <mergeCell ref="B54:C54"/>
    <mergeCell ref="B100:C100"/>
    <mergeCell ref="B7:C7"/>
    <mergeCell ref="B90:C90"/>
    <mergeCell ref="B81:C8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B52:C52"/>
    <mergeCell ref="B21:C21"/>
    <mergeCell ref="B48:C48"/>
    <mergeCell ref="B70:C70"/>
    <mergeCell ref="A99:B99"/>
    <mergeCell ref="B42:C42"/>
    <mergeCell ref="A46:B46"/>
    <mergeCell ref="B61:C61"/>
    <mergeCell ref="B101:C101"/>
    <mergeCell ref="B17:C17"/>
    <mergeCell ref="B88:C88"/>
    <mergeCell ref="B8:C8"/>
    <mergeCell ref="B82:C82"/>
    <mergeCell ref="B53:C53"/>
    <mergeCell ref="B73:C73"/>
    <mergeCell ref="B69:C69"/>
    <mergeCell ref="B38:C38"/>
    <mergeCell ref="B44:C44"/>
    <mergeCell ref="B29:C29"/>
    <mergeCell ref="A77:B77"/>
    <mergeCell ref="B19:C19"/>
    <mergeCell ref="B34:C34"/>
    <mergeCell ref="B37:C37"/>
    <mergeCell ref="A111:C111"/>
    <mergeCell ref="B28:C28"/>
    <mergeCell ref="B103:C103"/>
    <mergeCell ref="B41:C41"/>
    <mergeCell ref="B40:C40"/>
    <mergeCell ref="B49:C49"/>
    <mergeCell ref="B92:C92"/>
    <mergeCell ref="B55:C55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79:C79"/>
    <mergeCell ref="B35:C35"/>
    <mergeCell ref="B106:C10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33" customWidth="1" style="270" min="3" max="3"/>
    <col width="15.13" customWidth="1" style="270" min="8" max="8"/>
  </cols>
  <sheetData>
    <row r="1">
      <c r="A1" s="111" t="inlineStr">
        <is>
          <t>LISTA DE PRECIOS DE PRODUCTOS CELTRAP/JABOCON</t>
        </is>
      </c>
      <c r="D1" s="215" t="n"/>
      <c r="E1" s="223" t="n"/>
      <c r="F1" s="223" t="n"/>
      <c r="G1" s="223" t="n"/>
      <c r="H1" s="223" t="n"/>
      <c r="I1" s="223" t="n"/>
      <c r="K1" s="103" t="n"/>
      <c r="L1" s="103" t="n"/>
      <c r="M1" s="223" t="n"/>
      <c r="N1" s="223" t="n"/>
      <c r="S1" s="223" t="n"/>
      <c r="T1" s="223" t="n"/>
      <c r="U1" s="223" t="n"/>
      <c r="V1" s="223" t="n"/>
      <c r="W1" s="223" t="n"/>
      <c r="X1" s="223" t="n"/>
    </row>
    <row r="2">
      <c r="A2" s="186" t="inlineStr">
        <is>
          <t>VIGENCIA:</t>
        </is>
      </c>
      <c r="B2" s="210" t="n">
        <v>44768</v>
      </c>
      <c r="C2" s="223" t="n"/>
      <c r="D2" s="215" t="n"/>
      <c r="E2" s="223" t="n"/>
      <c r="F2" s="223" t="n"/>
      <c r="G2" s="223" t="n"/>
      <c r="H2" s="223" t="n"/>
      <c r="I2" s="223" t="n"/>
      <c r="K2" s="111" t="n"/>
      <c r="L2" s="103" t="n"/>
      <c r="M2" s="223" t="n"/>
      <c r="N2" s="223" t="n"/>
      <c r="S2" s="223" t="n"/>
      <c r="T2" s="223" t="n"/>
      <c r="U2" s="223" t="n"/>
      <c r="V2" s="223" t="n"/>
      <c r="W2" s="223" t="n"/>
      <c r="X2" s="223" t="n"/>
    </row>
    <row r="3">
      <c r="A3" s="223" t="n"/>
      <c r="B3" s="223" t="n"/>
      <c r="C3" s="223" t="n"/>
      <c r="D3" s="215" t="n"/>
      <c r="E3" s="223" t="n"/>
      <c r="F3" s="223" t="n"/>
      <c r="G3" s="223" t="n"/>
      <c r="H3" s="223" t="n"/>
      <c r="I3" s="223" t="n"/>
      <c r="K3" s="223" t="n"/>
      <c r="L3" s="223" t="n"/>
      <c r="M3" s="223" t="n"/>
      <c r="N3" s="223" t="n"/>
      <c r="S3" s="223" t="n"/>
      <c r="T3" s="223" t="n"/>
      <c r="U3" s="223" t="n"/>
      <c r="V3" s="223" t="n"/>
      <c r="W3" s="223" t="n"/>
      <c r="X3" s="223" t="n"/>
    </row>
    <row r="4">
      <c r="A4" s="211" t="inlineStr">
        <is>
          <t>Artículos</t>
        </is>
      </c>
      <c r="B4" s="223" t="n"/>
      <c r="C4" s="223" t="n"/>
      <c r="D4" s="249" t="inlineStr">
        <is>
          <t>Costo</t>
        </is>
      </c>
      <c r="E4" s="223" t="n"/>
      <c r="F4" s="186" t="inlineStr">
        <is>
          <t xml:space="preserve">Mayorista </t>
        </is>
      </c>
      <c r="G4" s="186" t="inlineStr">
        <is>
          <t xml:space="preserve">Minorista </t>
        </is>
      </c>
      <c r="H4" s="111" t="inlineStr">
        <is>
          <t>Minorista con IVA</t>
        </is>
      </c>
      <c r="I4" s="111" t="inlineStr">
        <is>
          <t>Redondeado</t>
        </is>
      </c>
      <c r="K4" s="188" t="inlineStr">
        <is>
          <t>Lista</t>
        </is>
      </c>
      <c r="L4" s="201" t="n">
        <v>0.1</v>
      </c>
      <c r="M4" s="201" t="n">
        <v>0.15</v>
      </c>
      <c r="N4" s="201" t="n">
        <v>0.2</v>
      </c>
      <c r="S4" s="223" t="n"/>
      <c r="T4" s="223" t="n"/>
      <c r="U4" s="223" t="n"/>
      <c r="V4" s="223" t="n"/>
      <c r="W4" s="223" t="n"/>
      <c r="X4" s="103" t="n"/>
    </row>
    <row r="5">
      <c r="A5" s="131" t="n"/>
      <c r="B5" s="223" t="n"/>
      <c r="C5" s="223" t="n"/>
      <c r="D5" s="215" t="n"/>
      <c r="E5" s="223" t="n"/>
      <c r="F5" s="223" t="n"/>
      <c r="G5" s="223" t="n"/>
      <c r="H5" s="223" t="n"/>
      <c r="I5" s="223" t="n"/>
      <c r="K5" s="188" t="n"/>
      <c r="L5" s="188" t="n"/>
      <c r="M5" s="188" t="n"/>
      <c r="N5" s="188" t="n"/>
      <c r="S5" s="223" t="n"/>
      <c r="T5" s="223" t="n"/>
      <c r="U5" s="223" t="n"/>
      <c r="V5" s="223" t="n"/>
      <c r="W5" s="223" t="n"/>
      <c r="X5" s="103" t="n"/>
    </row>
    <row r="6">
      <c r="A6" s="117" t="inlineStr">
        <is>
          <t>JABONES</t>
        </is>
      </c>
      <c r="B6" s="223" t="n"/>
      <c r="C6" s="223" t="n"/>
      <c r="D6" s="215" t="n"/>
      <c r="E6" s="223" t="n"/>
      <c r="F6" s="223" t="n"/>
      <c r="G6" s="223" t="n"/>
      <c r="H6" s="223" t="n"/>
      <c r="I6" s="223" t="n"/>
      <c r="K6" s="200" t="n"/>
      <c r="L6" s="200" t="n"/>
      <c r="M6" s="200" t="n"/>
      <c r="N6" s="200" t="n"/>
      <c r="S6" s="223" t="n"/>
      <c r="T6" s="223" t="n"/>
      <c r="U6" s="223" t="n"/>
      <c r="V6" s="223" t="n"/>
      <c r="W6" s="223" t="n"/>
      <c r="X6" s="223" t="n"/>
    </row>
    <row r="7">
      <c r="A7" s="124" t="n">
        <v>701</v>
      </c>
      <c r="B7" s="223" t="inlineStr">
        <is>
          <t>Botella 1 lt. Servicio Dilución DMQ</t>
        </is>
      </c>
      <c r="D7" s="215">
        <f>N7*0.93</f>
        <v/>
      </c>
      <c r="E7" s="223" t="n"/>
      <c r="F7" s="215">
        <f>D7*1.3*1.105</f>
        <v/>
      </c>
      <c r="G7" s="215">
        <f>D7*1.3*1.105/0.9</f>
        <v/>
      </c>
      <c r="H7" s="215">
        <f>G7*1.21</f>
        <v/>
      </c>
      <c r="I7" s="215">
        <f>ROUND(H7/100,0)*100</f>
        <v/>
      </c>
      <c r="K7" s="238" t="n">
        <v>777.63</v>
      </c>
      <c r="L7" s="256" t="n">
        <v>699.87</v>
      </c>
      <c r="M7" s="256" t="n">
        <v>660.99</v>
      </c>
      <c r="N7" s="254" t="n">
        <v>622.1</v>
      </c>
      <c r="S7" s="223" t="n"/>
      <c r="T7" s="223" t="n"/>
      <c r="U7" s="223" t="n"/>
      <c r="V7" s="223" t="n"/>
      <c r="W7" s="223" t="n"/>
      <c r="X7" s="223" t="n"/>
    </row>
    <row r="8">
      <c r="A8" s="124" t="n">
        <v>720</v>
      </c>
      <c r="B8" s="223" t="inlineStr">
        <is>
          <t>Bidon x 5 lts. Jabón Líquido Tocador</t>
        </is>
      </c>
      <c r="D8" s="215">
        <f>N8*0.93</f>
        <v/>
      </c>
      <c r="E8" s="223" t="n"/>
      <c r="F8" s="218">
        <f>D8*1.3*1.105</f>
        <v/>
      </c>
      <c r="G8" s="219">
        <f>D8*1.3*1.105/0.9</f>
        <v/>
      </c>
      <c r="H8" s="220">
        <f>G8*1.21</f>
        <v/>
      </c>
      <c r="I8" s="215">
        <f>ROUND(H8/100,0)*100</f>
        <v/>
      </c>
      <c r="K8" s="236" t="n">
        <v>2438.92</v>
      </c>
      <c r="L8" s="257" t="n">
        <v>2195.03</v>
      </c>
      <c r="M8" s="257" t="n">
        <v>2073.08</v>
      </c>
      <c r="N8" s="253" t="n">
        <v>1951.14</v>
      </c>
      <c r="S8" s="223" t="n"/>
      <c r="T8" s="223" t="n"/>
      <c r="U8" s="223" t="n"/>
      <c r="V8" s="223" t="n"/>
      <c r="W8" s="223" t="n"/>
      <c r="X8" s="223" t="n"/>
    </row>
    <row r="9">
      <c r="A9" s="124" t="n"/>
      <c r="B9" s="223" t="n"/>
      <c r="C9" s="223" t="n"/>
      <c r="D9" s="215" t="n"/>
      <c r="E9" s="223" t="n"/>
      <c r="F9" s="222" t="n"/>
      <c r="G9" s="222" t="n"/>
      <c r="H9" s="222" t="n"/>
      <c r="I9" s="223" t="n"/>
      <c r="K9" s="200" t="n"/>
      <c r="L9" s="200" t="n"/>
      <c r="M9" s="200" t="n"/>
      <c r="N9" s="223" t="n"/>
      <c r="S9" s="223" t="n"/>
      <c r="T9" s="223" t="n"/>
      <c r="U9" s="223" t="n"/>
      <c r="V9" s="223" t="n"/>
      <c r="W9" s="223" t="n"/>
      <c r="X9" s="223" t="n"/>
    </row>
    <row r="10">
      <c r="A10" s="117" t="inlineStr">
        <is>
          <t>TOALLAS</t>
        </is>
      </c>
      <c r="B10" s="223" t="n"/>
      <c r="C10" s="223" t="n"/>
      <c r="D10" s="215" t="n"/>
      <c r="E10" s="223" t="n"/>
      <c r="F10" s="222" t="n"/>
      <c r="G10" s="222" t="n"/>
      <c r="H10" s="222" t="n"/>
      <c r="I10" s="223" t="n"/>
      <c r="K10" s="200" t="n"/>
      <c r="L10" s="200" t="n"/>
      <c r="M10" s="200" t="n"/>
      <c r="N10" s="223" t="n"/>
      <c r="S10" s="223" t="n"/>
      <c r="T10" s="223" t="n"/>
      <c r="U10" s="223" t="n"/>
      <c r="V10" s="223" t="n"/>
      <c r="W10" s="223" t="n"/>
      <c r="X10" s="223" t="n"/>
    </row>
    <row r="11">
      <c r="A11" s="131" t="n"/>
      <c r="B11" s="223" t="n"/>
      <c r="C11" s="223" t="n"/>
      <c r="D11" s="215" t="n"/>
      <c r="E11" s="223" t="n"/>
      <c r="F11" s="222" t="n"/>
      <c r="G11" s="222" t="n"/>
      <c r="H11" s="222" t="n"/>
      <c r="I11" s="223" t="n"/>
      <c r="K11" s="200" t="n"/>
      <c r="L11" s="200" t="n"/>
      <c r="M11" s="200" t="n"/>
      <c r="N11" s="223" t="n"/>
      <c r="S11" s="223" t="n"/>
      <c r="T11" s="223" t="n"/>
      <c r="U11" s="223" t="n"/>
      <c r="V11" s="223" t="n"/>
      <c r="W11" s="223" t="n"/>
      <c r="X11" s="223" t="n"/>
    </row>
    <row r="12">
      <c r="A12" s="182" t="n">
        <v>901</v>
      </c>
      <c r="B12" s="224" t="inlineStr">
        <is>
          <t>Toallas Blancas Super 21x25</t>
        </is>
      </c>
      <c r="C12" s="224" t="n"/>
      <c r="D12" s="227">
        <f>N12*0.93</f>
        <v/>
      </c>
      <c r="E12" s="224" t="n"/>
      <c r="F12" s="227">
        <f>D12*1.3*1.105</f>
        <v/>
      </c>
      <c r="G12" s="226">
        <f>D12*1.3*1.105/0.9</f>
        <v/>
      </c>
      <c r="H12" s="227">
        <f>G12*1.21</f>
        <v/>
      </c>
      <c r="I12" s="227">
        <f>ROUND(H12/100,0)*100</f>
        <v/>
      </c>
      <c r="J12" s="193" t="n"/>
      <c r="K12" s="238" t="n">
        <v>2894.1</v>
      </c>
      <c r="L12" s="256" t="n">
        <v>2604.69</v>
      </c>
      <c r="M12" s="256" t="n">
        <v>2459.99</v>
      </c>
      <c r="N12" s="254" t="n">
        <v>2315.28</v>
      </c>
      <c r="O12" s="193" t="n"/>
      <c r="P12" s="193" t="n"/>
      <c r="Q12" s="193" t="n"/>
      <c r="R12" s="193" t="n"/>
      <c r="S12" s="224" t="n"/>
      <c r="T12" s="224" t="n"/>
      <c r="U12" s="224" t="n"/>
      <c r="V12" s="224" t="n"/>
      <c r="W12" s="224" t="n"/>
      <c r="X12" s="224" t="n"/>
      <c r="Y12" s="193" t="n"/>
    </row>
    <row r="13">
      <c r="A13" s="124" t="n">
        <v>902</v>
      </c>
      <c r="B13" s="223" t="inlineStr">
        <is>
          <t>Toallas Blancas Pura Simple</t>
        </is>
      </c>
      <c r="C13" s="223" t="n"/>
      <c r="D13" s="215">
        <f>N13*0.93</f>
        <v/>
      </c>
      <c r="E13" s="223" t="n"/>
      <c r="F13" s="220">
        <f>D13*1.3*1.105</f>
        <v/>
      </c>
      <c r="G13" s="219">
        <f>D13*1.3*1.105/0.9</f>
        <v/>
      </c>
      <c r="H13" s="220">
        <f>G13*1.21</f>
        <v/>
      </c>
      <c r="I13" s="215">
        <f>ROUND(H13/100,0)*100</f>
        <v/>
      </c>
      <c r="K13" s="236" t="n">
        <v>3209.28</v>
      </c>
      <c r="L13" s="257" t="n">
        <v>2888.35</v>
      </c>
      <c r="M13" s="257" t="n">
        <v>2727.89</v>
      </c>
      <c r="N13" s="253" t="n">
        <v>2567.42</v>
      </c>
      <c r="S13" s="223" t="n"/>
      <c r="T13" s="223" t="n"/>
      <c r="U13" s="223" t="n"/>
      <c r="V13" s="223" t="n"/>
      <c r="W13" s="223" t="n"/>
      <c r="X13" s="223" t="n"/>
    </row>
    <row r="14">
      <c r="A14" s="124" t="n">
        <v>903</v>
      </c>
      <c r="B14" s="223" t="inlineStr">
        <is>
          <t>Toallas Blancas Pura Doble</t>
        </is>
      </c>
      <c r="C14" s="223" t="n"/>
      <c r="D14" s="215">
        <f>N14*0.93</f>
        <v/>
      </c>
      <c r="E14" s="223" t="n"/>
      <c r="F14" s="220">
        <f>D14*1.3*1.105</f>
        <v/>
      </c>
      <c r="G14" s="219">
        <f>D14*1.3*1.105/0.9</f>
        <v/>
      </c>
      <c r="H14" s="220">
        <f>G14*1.21</f>
        <v/>
      </c>
      <c r="I14" s="215">
        <f>ROUND(H14/100,0)*100</f>
        <v/>
      </c>
      <c r="K14" s="236" t="n">
        <v>3999.09</v>
      </c>
      <c r="L14" s="257" t="n">
        <v>3599.18</v>
      </c>
      <c r="M14" s="257" t="n">
        <v>3399.23</v>
      </c>
      <c r="N14" s="253" t="n">
        <v>3199.27</v>
      </c>
      <c r="S14" s="223" t="n"/>
      <c r="T14" s="223" t="n"/>
      <c r="U14" s="223" t="n"/>
      <c r="V14" s="223" t="n"/>
      <c r="W14" s="223" t="n"/>
      <c r="X14" s="223" t="n"/>
    </row>
    <row r="15">
      <c r="A15" s="124" t="n">
        <v>914</v>
      </c>
      <c r="B15" s="223" t="inlineStr">
        <is>
          <t>Toalla Blanca Unitas (17,5x25 cm)</t>
        </is>
      </c>
      <c r="D15" s="215">
        <f>N15*0.93</f>
        <v/>
      </c>
      <c r="E15" s="223" t="n"/>
      <c r="F15" s="220">
        <f>D15*1.3*1.105</f>
        <v/>
      </c>
      <c r="G15" s="219">
        <f>D15*1.3*1.105/0.9</f>
        <v/>
      </c>
      <c r="H15" s="220">
        <f>G15*1.21</f>
        <v/>
      </c>
      <c r="I15" s="215">
        <f>ROUND(H15/100,0)*100</f>
        <v/>
      </c>
      <c r="K15" s="236" t="n">
        <v>2205.23</v>
      </c>
      <c r="L15" s="257" t="n">
        <v>1984.71</v>
      </c>
      <c r="M15" s="257" t="n">
        <v>1874.45</v>
      </c>
      <c r="N15" s="253" t="n">
        <v>1764.18</v>
      </c>
      <c r="S15" s="223" t="n"/>
      <c r="T15" s="223" t="n"/>
      <c r="U15" s="223" t="n"/>
      <c r="V15" s="223" t="n"/>
      <c r="W15" s="223" t="n"/>
      <c r="X15" s="223" t="n"/>
    </row>
    <row r="16">
      <c r="A16" s="124" t="n">
        <v>916</v>
      </c>
      <c r="B16" s="223" t="inlineStr">
        <is>
          <t>Toalla Blanca Especial 21 x 25 ( tiza )</t>
        </is>
      </c>
      <c r="D16" s="215">
        <f>N16*0.93</f>
        <v/>
      </c>
      <c r="E16" s="223" t="n"/>
      <c r="F16" s="220">
        <f>D16*1.3*1.105</f>
        <v/>
      </c>
      <c r="G16" s="219">
        <f>D16*1.3*1.105/0.9</f>
        <v/>
      </c>
      <c r="H16" s="220">
        <f>G16*1.21</f>
        <v/>
      </c>
      <c r="I16" s="215">
        <f>ROUND(H16/100,0)*100</f>
        <v/>
      </c>
      <c r="K16" s="236" t="n">
        <v>2699.06</v>
      </c>
      <c r="L16" s="257" t="n">
        <v>2429.15</v>
      </c>
      <c r="M16" s="257" t="n">
        <v>2294.2</v>
      </c>
      <c r="N16" s="253" t="n">
        <v>2159.25</v>
      </c>
      <c r="S16" s="223" t="n"/>
      <c r="T16" s="223" t="n"/>
      <c r="U16" s="223" t="n"/>
      <c r="V16" s="223" t="n"/>
      <c r="W16" s="223" t="n"/>
      <c r="X16" s="223" t="n"/>
    </row>
    <row r="17">
      <c r="A17" s="124" t="n">
        <v>920</v>
      </c>
      <c r="B17" s="223" t="inlineStr">
        <is>
          <t>Toalla Blanca Especial 21 x 37 ( tiza )</t>
        </is>
      </c>
      <c r="D17" s="215">
        <f>N17*0.93</f>
        <v/>
      </c>
      <c r="E17" s="223" t="n"/>
      <c r="F17" s="220">
        <f>D17*1.3*1.105</f>
        <v/>
      </c>
      <c r="G17" s="219">
        <f>D17*1.3*1.105/0.9</f>
        <v/>
      </c>
      <c r="H17" s="220">
        <f>G17*1.21</f>
        <v/>
      </c>
      <c r="I17" s="215">
        <f>ROUND(H17/100,0)*100</f>
        <v/>
      </c>
      <c r="K17" s="236" t="n">
        <v>3681.92</v>
      </c>
      <c r="L17" s="257" t="n">
        <v>3313.73</v>
      </c>
      <c r="M17" s="257" t="n">
        <v>3129.63</v>
      </c>
      <c r="N17" s="253" t="n">
        <v>2945.54</v>
      </c>
      <c r="S17" s="223" t="n"/>
      <c r="T17" s="223" t="n"/>
      <c r="U17" s="223" t="n"/>
      <c r="V17" s="223" t="n"/>
      <c r="W17" s="223" t="n"/>
      <c r="X17" s="223" t="n"/>
    </row>
    <row r="18">
      <c r="A18" s="124" t="n">
        <v>927</v>
      </c>
      <c r="B18" s="223" t="inlineStr">
        <is>
          <t>Toalla Blanca Especial 17,5 x 25 ( tiza ) Unita</t>
        </is>
      </c>
      <c r="D18" s="215">
        <f>N18*0.93</f>
        <v/>
      </c>
      <c r="E18" s="223" t="n"/>
      <c r="F18" s="220">
        <f>D18*1.3*1.105</f>
        <v/>
      </c>
      <c r="G18" s="219">
        <f>D18*1.3*1.105/0.9</f>
        <v/>
      </c>
      <c r="H18" s="220">
        <f>G18*1.21</f>
        <v/>
      </c>
      <c r="I18" s="215">
        <f>ROUND(H18/100,0)*100</f>
        <v/>
      </c>
      <c r="K18" s="236" t="n">
        <v>2115.75</v>
      </c>
      <c r="L18" s="257" t="n">
        <v>1904.18</v>
      </c>
      <c r="M18" s="257" t="n">
        <v>1798.39</v>
      </c>
      <c r="N18" s="253" t="n">
        <v>1692.6</v>
      </c>
      <c r="S18" s="223" t="n"/>
      <c r="T18" s="223" t="n"/>
      <c r="U18" s="223" t="n"/>
      <c r="V18" s="223" t="n"/>
      <c r="W18" s="223" t="n"/>
      <c r="X18" s="223" t="n"/>
    </row>
    <row r="19">
      <c r="A19" s="182" t="n">
        <v>928</v>
      </c>
      <c r="B19" s="224" t="inlineStr">
        <is>
          <t>Cajas x 2500 Toallas Beige 21x37</t>
        </is>
      </c>
      <c r="D19" s="227">
        <f>N19*0.93</f>
        <v/>
      </c>
      <c r="E19" s="224" t="n"/>
      <c r="F19" s="227">
        <f>D19*1.3*1.105</f>
        <v/>
      </c>
      <c r="G19" s="226">
        <f>D19*1.3*1.105/0.9</f>
        <v/>
      </c>
      <c r="H19" s="227">
        <f>G19*1.21</f>
        <v/>
      </c>
      <c r="I19" s="227">
        <f>ROUND(H19/100,0)*100</f>
        <v/>
      </c>
      <c r="J19" s="193" t="n"/>
      <c r="K19" s="236" t="n">
        <v>3118.29</v>
      </c>
      <c r="L19" s="257" t="n">
        <v>2806.46</v>
      </c>
      <c r="M19" s="257" t="n">
        <v>2650.55</v>
      </c>
      <c r="N19" s="253" t="n">
        <v>2494.63</v>
      </c>
      <c r="O19" s="193" t="n"/>
      <c r="P19" s="193" t="n"/>
      <c r="Q19" s="193" t="n"/>
      <c r="R19" s="193" t="n"/>
      <c r="S19" s="224" t="n"/>
      <c r="T19" s="224" t="n"/>
      <c r="U19" s="224" t="n"/>
      <c r="V19" s="224" t="n"/>
      <c r="W19" s="224" t="n"/>
      <c r="X19" s="224" t="n"/>
      <c r="Y19" s="193" t="n"/>
    </row>
    <row r="20">
      <c r="A20" s="182" t="n">
        <v>930</v>
      </c>
      <c r="B20" s="224" t="inlineStr">
        <is>
          <t>Toalla Blanca Super 21x37 cm</t>
        </is>
      </c>
      <c r="C20" s="224" t="n"/>
      <c r="D20" s="227">
        <f>N20*0.93</f>
        <v/>
      </c>
      <c r="E20" s="224" t="n"/>
      <c r="F20" s="227">
        <f>D20*1.3*1.105</f>
        <v/>
      </c>
      <c r="G20" s="226">
        <f>D20*1.3*1.105/0.9</f>
        <v/>
      </c>
      <c r="H20" s="227">
        <f>G20*1.21</f>
        <v/>
      </c>
      <c r="I20" s="227">
        <f>ROUND(H20/100,0)*100</f>
        <v/>
      </c>
      <c r="J20" s="193" t="n"/>
      <c r="K20" s="236" t="n">
        <v>3979.87</v>
      </c>
      <c r="L20" s="257" t="n">
        <v>3581.88</v>
      </c>
      <c r="M20" s="257" t="n">
        <v>3382.89</v>
      </c>
      <c r="N20" s="253" t="n">
        <v>3183.9</v>
      </c>
      <c r="O20" s="193" t="n"/>
      <c r="P20" s="193" t="n"/>
      <c r="Q20" s="193" t="n"/>
      <c r="R20" s="193" t="n"/>
      <c r="S20" s="224" t="n"/>
      <c r="T20" s="224" t="n"/>
      <c r="U20" s="224" t="n"/>
      <c r="V20" s="224" t="n"/>
      <c r="W20" s="224" t="n"/>
      <c r="X20" s="224" t="n"/>
      <c r="Y20" s="193" t="n"/>
    </row>
    <row r="21">
      <c r="A21" s="124" t="n">
        <v>931</v>
      </c>
      <c r="B21" s="223" t="inlineStr">
        <is>
          <t>Caja x 2500 Toallas Beige Unitas 17,5 cm x 25 cm</t>
        </is>
      </c>
      <c r="D21" s="215">
        <f>N21*0.93</f>
        <v/>
      </c>
      <c r="E21" s="223" t="n"/>
      <c r="F21" s="220">
        <f>D21*1.3*1.105</f>
        <v/>
      </c>
      <c r="G21" s="219">
        <f>D21*1.3*1.105/0.9</f>
        <v/>
      </c>
      <c r="H21" s="220">
        <f>G21*1.21</f>
        <v/>
      </c>
      <c r="I21" s="215">
        <f>ROUND(H21/100,0)*100</f>
        <v/>
      </c>
      <c r="K21" s="236" t="n">
        <v>1946.48</v>
      </c>
      <c r="L21" s="257" t="n">
        <v>1751.83</v>
      </c>
      <c r="M21" s="257" t="n">
        <v>1654.51</v>
      </c>
      <c r="N21" s="253" t="n">
        <v>1557.18</v>
      </c>
      <c r="S21" s="223" t="n"/>
      <c r="T21" s="223" t="n"/>
      <c r="U21" s="223" t="n"/>
      <c r="V21" s="223" t="n"/>
      <c r="W21" s="223" t="n"/>
      <c r="X21" s="223" t="n"/>
    </row>
    <row r="22">
      <c r="A22" s="182" t="n">
        <v>932</v>
      </c>
      <c r="B22" s="224" t="inlineStr">
        <is>
          <t>Caja x 2500 Toallas Beige 21 cm x 25 cm simple hoja</t>
        </is>
      </c>
      <c r="D22" s="227">
        <f>N22*0.93</f>
        <v/>
      </c>
      <c r="E22" s="224" t="n"/>
      <c r="F22" s="227">
        <f>D22*1.3*1.105</f>
        <v/>
      </c>
      <c r="G22" s="227">
        <f>D22*1.3*1.105/0.9</f>
        <v/>
      </c>
      <c r="H22" s="227">
        <f>G22*1.21</f>
        <v/>
      </c>
      <c r="I22" s="227">
        <f>ROUND(H22/100,0)*100</f>
        <v/>
      </c>
      <c r="J22" s="193" t="n"/>
      <c r="K22" s="236" t="n">
        <v>2219.38</v>
      </c>
      <c r="L22" s="257" t="n">
        <v>1997.44</v>
      </c>
      <c r="M22" s="257" t="n">
        <v>1886.47</v>
      </c>
      <c r="N22" s="253" t="n">
        <v>1775.5</v>
      </c>
      <c r="O22" s="193" t="n"/>
      <c r="P22" s="193" t="n"/>
      <c r="Q22" s="193" t="n"/>
      <c r="R22" s="193" t="n"/>
      <c r="S22" s="224" t="n"/>
      <c r="T22" s="224" t="n"/>
      <c r="U22" s="224" t="n"/>
      <c r="V22" s="224" t="n"/>
      <c r="W22" s="224" t="n"/>
      <c r="X22" s="224" t="n"/>
      <c r="Y22" s="193" t="n"/>
    </row>
    <row r="23">
      <c r="A23" s="124" t="n"/>
      <c r="B23" s="223" t="n"/>
      <c r="C23" s="223" t="n"/>
      <c r="D23" s="215" t="n"/>
      <c r="E23" s="223" t="n"/>
      <c r="F23" s="222" t="n"/>
      <c r="G23" s="222" t="n"/>
      <c r="H23" s="222" t="n"/>
      <c r="I23" s="223" t="n"/>
      <c r="K23" s="200" t="n"/>
      <c r="L23" s="200" t="n"/>
      <c r="M23" s="200" t="n"/>
      <c r="N23" s="223" t="n"/>
      <c r="S23" s="223" t="n"/>
      <c r="T23" s="223" t="n"/>
      <c r="U23" s="223" t="n"/>
      <c r="V23" s="223" t="n"/>
      <c r="W23" s="223" t="n"/>
      <c r="X23" s="223" t="n"/>
    </row>
    <row r="24">
      <c r="A24" s="117" t="inlineStr">
        <is>
          <t>TOALLAS EN ROLLO</t>
        </is>
      </c>
      <c r="B24" s="271" t="n"/>
      <c r="C24" s="223" t="n"/>
      <c r="D24" s="215" t="n"/>
      <c r="E24" s="223" t="n"/>
      <c r="F24" s="222" t="n"/>
      <c r="G24" s="222" t="n"/>
      <c r="H24" s="222" t="n"/>
      <c r="I24" s="223" t="n"/>
      <c r="K24" s="200" t="n"/>
      <c r="L24" s="200" t="n"/>
      <c r="M24" s="200" t="n"/>
      <c r="N24" s="223" t="n"/>
      <c r="S24" s="223" t="n"/>
      <c r="T24" s="223" t="n"/>
      <c r="U24" s="223" t="n"/>
      <c r="V24" s="223" t="n"/>
      <c r="W24" s="223" t="n"/>
      <c r="X24" s="223" t="n"/>
    </row>
    <row r="25">
      <c r="A25" s="131" t="n"/>
      <c r="B25" s="111" t="n"/>
      <c r="C25" s="223" t="n"/>
      <c r="D25" s="215" t="n"/>
      <c r="E25" s="223" t="n"/>
      <c r="F25" s="222" t="n"/>
      <c r="G25" s="222" t="n"/>
      <c r="H25" s="222" t="n"/>
      <c r="I25" s="223" t="n"/>
      <c r="K25" s="200" t="n"/>
      <c r="L25" s="200" t="n"/>
      <c r="M25" s="200" t="n"/>
      <c r="N25" s="223" t="n"/>
      <c r="S25" s="223" t="n"/>
      <c r="T25" s="223" t="n"/>
      <c r="U25" s="223" t="n"/>
      <c r="V25" s="223" t="n"/>
      <c r="W25" s="223" t="n"/>
      <c r="X25" s="223" t="n"/>
    </row>
    <row r="26">
      <c r="A26" s="124" t="n">
        <v>204</v>
      </c>
      <c r="B26" s="223" t="inlineStr">
        <is>
          <t>Pack X 2 Rollos de toalla x 300 mts Blanca</t>
        </is>
      </c>
      <c r="D26" s="215">
        <f>N26*0.93</f>
        <v/>
      </c>
      <c r="E26" s="223" t="n"/>
      <c r="F26" s="218">
        <f>D26*1.3*1.105</f>
        <v/>
      </c>
      <c r="G26" s="219">
        <f>D26*1.3*1.105/0.9</f>
        <v/>
      </c>
      <c r="H26" s="220">
        <f>G26*1.21</f>
        <v/>
      </c>
      <c r="I26" s="215">
        <f>ROUND(H26/100,0)*100</f>
        <v/>
      </c>
      <c r="K26" s="238" t="n">
        <v>2134.17</v>
      </c>
      <c r="L26" s="256" t="n">
        <v>1920.75</v>
      </c>
      <c r="M26" s="256" t="n">
        <v>1814.04</v>
      </c>
      <c r="N26" s="254" t="n">
        <v>1707.34</v>
      </c>
      <c r="S26" s="223" t="n"/>
      <c r="T26" s="223" t="n"/>
      <c r="U26" s="223" t="n"/>
      <c r="V26" s="223" t="n"/>
      <c r="W26" s="223" t="n"/>
      <c r="X26" s="223" t="n"/>
    </row>
    <row r="27">
      <c r="A27" s="124" t="n">
        <v>205</v>
      </c>
      <c r="B27" s="223" t="inlineStr">
        <is>
          <t>Pack X 2 Rollos de toalla x 240 mts Blanca</t>
        </is>
      </c>
      <c r="D27" s="215">
        <f>N27*0.93</f>
        <v/>
      </c>
      <c r="E27" s="223" t="n"/>
      <c r="F27" s="218">
        <f>D27*1.3*1.105</f>
        <v/>
      </c>
      <c r="G27" s="219">
        <f>D27*1.3*1.105/0.9</f>
        <v/>
      </c>
      <c r="H27" s="220">
        <f>G27*1.21</f>
        <v/>
      </c>
      <c r="I27" s="215">
        <f>ROUND(H27/100,0)*100</f>
        <v/>
      </c>
      <c r="K27" s="236" t="n">
        <v>1700.85</v>
      </c>
      <c r="L27" s="257" t="n">
        <v>1530.77</v>
      </c>
      <c r="M27" s="257" t="n">
        <v>1445.72</v>
      </c>
      <c r="N27" s="253" t="n">
        <v>1360.68</v>
      </c>
      <c r="S27" s="223" t="n"/>
      <c r="T27" s="223" t="n"/>
      <c r="U27" s="223" t="n"/>
      <c r="V27" s="223" t="n"/>
      <c r="W27" s="223" t="n"/>
      <c r="X27" s="223" t="n"/>
    </row>
    <row r="28">
      <c r="A28" s="182" t="n">
        <v>116</v>
      </c>
      <c r="B28" s="224" t="inlineStr">
        <is>
          <t>Pack x 6 Rollos de Toallas x 200 mts. Blanca</t>
        </is>
      </c>
      <c r="D28" s="227">
        <f>N28*0.93</f>
        <v/>
      </c>
      <c r="E28" s="224" t="n"/>
      <c r="F28" s="228">
        <f>D28*1.3*1.105</f>
        <v/>
      </c>
      <c r="G28" s="226">
        <f>D28*1.3*1.105/0.9</f>
        <v/>
      </c>
      <c r="H28" s="227">
        <f>G28*1.21</f>
        <v/>
      </c>
      <c r="I28" s="227">
        <f>ROUND(H28/100,0)*100</f>
        <v/>
      </c>
      <c r="J28" s="193" t="n"/>
      <c r="K28" s="236" t="n">
        <v>4367.85</v>
      </c>
      <c r="L28" s="257" t="n">
        <v>3931.07</v>
      </c>
      <c r="M28" s="257" t="n">
        <v>3712.67</v>
      </c>
      <c r="N28" s="253" t="n">
        <v>3494.28</v>
      </c>
      <c r="O28" s="193" t="n"/>
      <c r="P28" s="193" t="n"/>
      <c r="Q28" s="193" t="n"/>
      <c r="R28" s="193" t="n"/>
      <c r="S28" s="224" t="n"/>
      <c r="T28" s="224" t="n"/>
      <c r="U28" s="224" t="n"/>
      <c r="V28" s="224" t="n"/>
      <c r="W28" s="224" t="n"/>
      <c r="X28" s="224" t="n"/>
      <c r="Y28" s="193" t="n"/>
    </row>
    <row r="29">
      <c r="A29" s="124" t="n">
        <v>135</v>
      </c>
      <c r="B29" s="223" t="inlineStr">
        <is>
          <t>Recarga Original P/Dispenser Celmatic 2500 U. Dobles</t>
        </is>
      </c>
      <c r="D29" s="215">
        <f>N29*0.93</f>
        <v/>
      </c>
      <c r="E29" s="223" t="n"/>
      <c r="F29" s="218">
        <f>D29*1.3*1.105</f>
        <v/>
      </c>
      <c r="G29" s="219">
        <f>D29*1.3*1.105/0.9</f>
        <v/>
      </c>
      <c r="H29" s="220">
        <f>G29*1.21</f>
        <v/>
      </c>
      <c r="I29" s="215">
        <f>ROUND(H29/100,0)*100</f>
        <v/>
      </c>
      <c r="K29" s="236" t="n">
        <v>5614.02</v>
      </c>
      <c r="L29" s="257" t="n">
        <v>5052.62</v>
      </c>
      <c r="M29" s="257" t="n">
        <v>4771.92</v>
      </c>
      <c r="N29" s="253" t="n">
        <v>4491.22</v>
      </c>
      <c r="S29" s="223" t="n"/>
      <c r="T29" s="223" t="n"/>
      <c r="U29" s="223" t="n"/>
      <c r="V29" s="223" t="n"/>
      <c r="W29" s="223" t="n"/>
      <c r="X29" s="223" t="n"/>
    </row>
    <row r="30">
      <c r="A30" s="124" t="n">
        <v>136</v>
      </c>
      <c r="B30" s="223" t="inlineStr">
        <is>
          <t>Pack x 4 Recarga Celmatic Due 2400 U. Dobles</t>
        </is>
      </c>
      <c r="D30" s="215">
        <f>N30*0.93</f>
        <v/>
      </c>
      <c r="E30" s="223" t="n"/>
      <c r="F30" s="218">
        <f>D30*1.3*1.105</f>
        <v/>
      </c>
      <c r="G30" s="219">
        <f>D30*1.3*1.105/0.9</f>
        <v/>
      </c>
      <c r="H30" s="220">
        <f>G30*1.21</f>
        <v/>
      </c>
      <c r="I30" s="215">
        <f>ROUND(H30/100,0)*100</f>
        <v/>
      </c>
      <c r="K30" s="236" t="n">
        <v>4199.02</v>
      </c>
      <c r="L30" s="257" t="n">
        <v>3779.12</v>
      </c>
      <c r="M30" s="257" t="n">
        <v>3569.17</v>
      </c>
      <c r="N30" s="253" t="n">
        <v>3359.22</v>
      </c>
      <c r="S30" s="223" t="n"/>
      <c r="T30" s="223" t="n"/>
      <c r="U30" s="223" t="n"/>
      <c r="V30" s="223" t="n"/>
      <c r="W30" s="223" t="n"/>
      <c r="X30" s="223" t="n"/>
    </row>
    <row r="31">
      <c r="A31" s="124" t="n"/>
      <c r="B31" s="223" t="n"/>
      <c r="C31" s="223" t="n"/>
      <c r="D31" s="215" t="n"/>
      <c r="E31" s="223" t="n"/>
      <c r="F31" s="222" t="n"/>
      <c r="G31" s="222" t="n"/>
      <c r="H31" s="222" t="n"/>
      <c r="I31" s="223" t="n"/>
      <c r="K31" s="200" t="n"/>
      <c r="L31" s="200" t="n"/>
      <c r="M31" s="200" t="n"/>
      <c r="N31" s="200" t="n"/>
      <c r="S31" s="223" t="n"/>
      <c r="T31" s="223" t="n"/>
      <c r="U31" s="223" t="n"/>
      <c r="V31" s="223" t="n"/>
      <c r="W31" s="223" t="n"/>
      <c r="X31" s="223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215" t="n"/>
      <c r="E32" s="223" t="n"/>
      <c r="F32" s="222" t="n"/>
      <c r="G32" s="222" t="n"/>
      <c r="H32" s="222" t="n"/>
      <c r="I32" s="223" t="n"/>
      <c r="K32" s="190" t="n"/>
      <c r="L32" s="190" t="n"/>
      <c r="M32" s="190" t="n"/>
      <c r="N32" s="190" t="n"/>
      <c r="S32" s="223" t="n"/>
      <c r="T32" s="223" t="n"/>
      <c r="U32" s="223" t="n"/>
      <c r="V32" s="223" t="n"/>
      <c r="W32" s="223" t="n"/>
      <c r="X32" s="223" t="n"/>
    </row>
    <row r="33">
      <c r="A33" s="131" t="n"/>
      <c r="B33" s="158" t="n"/>
      <c r="C33" s="223" t="n"/>
      <c r="D33" s="215" t="n"/>
      <c r="E33" s="223" t="n"/>
      <c r="F33" s="222" t="n"/>
      <c r="G33" s="222" t="n"/>
      <c r="H33" s="222" t="n"/>
      <c r="I33" s="223" t="n"/>
      <c r="K33" s="197" t="inlineStr">
        <is>
          <t>U$S</t>
        </is>
      </c>
      <c r="L33" s="190" t="n"/>
      <c r="M33" s="190" t="n"/>
      <c r="N33" s="234" t="n"/>
      <c r="S33" s="223" t="n"/>
      <c r="T33" s="223" t="n"/>
      <c r="U33" s="223" t="n"/>
      <c r="V33" s="223" t="n"/>
      <c r="W33" s="223" t="n"/>
      <c r="X33" s="223" t="n"/>
    </row>
    <row r="34">
      <c r="A34" s="182" t="n">
        <v>501</v>
      </c>
      <c r="B34" s="235" t="inlineStr">
        <is>
          <t>Pack x 2 rollos Cel-Soft de 22,5 x 150 mts</t>
        </is>
      </c>
      <c r="D34" s="227">
        <f>N34*0.93</f>
        <v/>
      </c>
      <c r="E34" s="224" t="n"/>
      <c r="F34" s="228">
        <f>D34*1.3*1.105</f>
        <v/>
      </c>
      <c r="G34" s="226">
        <f>D34*1.3*1.105/0.9</f>
        <v/>
      </c>
      <c r="H34" s="227">
        <f>G34*1.21</f>
        <v/>
      </c>
      <c r="I34" s="227">
        <f>ROUND(H34/100,0)*100</f>
        <v/>
      </c>
      <c r="J34" s="193" t="n"/>
      <c r="K34" s="238" t="n">
        <v>61.93</v>
      </c>
      <c r="L34" s="256" t="n">
        <v>55.75</v>
      </c>
      <c r="M34" s="256" t="n">
        <v>52.65</v>
      </c>
      <c r="N34" s="253" t="n">
        <v>49.56</v>
      </c>
      <c r="O34" s="193" t="n"/>
      <c r="P34" s="193" t="n"/>
      <c r="Q34" s="193" t="n"/>
      <c r="R34" s="193" t="n"/>
      <c r="S34" s="224" t="n"/>
      <c r="T34" s="224" t="n"/>
      <c r="U34" s="224" t="n"/>
      <c r="V34" s="224" t="n"/>
      <c r="W34" s="224" t="n"/>
      <c r="X34" s="224" t="n"/>
      <c r="Y34" s="193" t="n"/>
    </row>
    <row r="35">
      <c r="A35" s="124" t="n">
        <v>505</v>
      </c>
      <c r="B35" s="223" t="inlineStr">
        <is>
          <t>Caja x 2000 U. Servilletas Cel-Soft 30 x 40 cm</t>
        </is>
      </c>
      <c r="D35" s="215">
        <f>N35*0.93</f>
        <v/>
      </c>
      <c r="E35" s="223" t="n"/>
      <c r="F35" s="218">
        <f>D35*1.3*1.105</f>
        <v/>
      </c>
      <c r="G35" s="219">
        <f>D35*1.3*1.105/0.9</f>
        <v/>
      </c>
      <c r="H35" s="220">
        <f>G35*1.21</f>
        <v/>
      </c>
      <c r="I35" s="215">
        <f>ROUND(H35/100,0)*100</f>
        <v/>
      </c>
      <c r="K35" s="236" t="n">
        <v>297.55</v>
      </c>
      <c r="L35" s="257" t="n">
        <v>267.8</v>
      </c>
      <c r="M35" s="257" t="n">
        <v>252.92</v>
      </c>
      <c r="N35" s="253" t="n">
        <v>238.04</v>
      </c>
      <c r="S35" s="223" t="n"/>
      <c r="T35" s="223" t="n"/>
      <c r="U35" s="223" t="n"/>
      <c r="V35" s="223" t="n"/>
      <c r="W35" s="223" t="n"/>
      <c r="X35" s="223" t="n"/>
    </row>
    <row r="36">
      <c r="A36" s="124" t="n">
        <v>506</v>
      </c>
      <c r="B36" s="223" t="inlineStr">
        <is>
          <t>Caja x 3500 Toallas Cel-Soft 21 x 25 cm Blancas</t>
        </is>
      </c>
      <c r="D36" s="215">
        <f>N36*0.93</f>
        <v/>
      </c>
      <c r="E36" s="223" t="n"/>
      <c r="F36" s="218">
        <f>D36*1.3*1.105</f>
        <v/>
      </c>
      <c r="G36" s="219">
        <f>D36*1.3*1.105/0.9</f>
        <v/>
      </c>
      <c r="H36" s="220">
        <f>G36*1.21</f>
        <v/>
      </c>
      <c r="I36" s="215">
        <f>ROUND(H36/100,0)*100</f>
        <v/>
      </c>
      <c r="K36" s="236" t="n">
        <v>166.54</v>
      </c>
      <c r="L36" s="257" t="n">
        <v>149.89</v>
      </c>
      <c r="M36" s="257" t="n">
        <v>141.56</v>
      </c>
      <c r="N36" s="253" t="n">
        <v>133.23</v>
      </c>
      <c r="S36" s="223" t="n"/>
      <c r="T36" s="223" t="n"/>
      <c r="U36" s="223" t="n"/>
      <c r="V36" s="223" t="n"/>
      <c r="W36" s="223" t="n"/>
      <c r="X36" s="223" t="n"/>
    </row>
    <row r="37">
      <c r="A37" s="182" t="n">
        <v>512</v>
      </c>
      <c r="B37" s="224" t="inlineStr">
        <is>
          <t>Caja x 2000 U. Servilletas Cel-Soft 30 x 25 cm</t>
        </is>
      </c>
      <c r="D37" s="227">
        <f>N37*0.93</f>
        <v/>
      </c>
      <c r="E37" s="224" t="n"/>
      <c r="F37" s="228">
        <f>D37*1.3*1.105</f>
        <v/>
      </c>
      <c r="G37" s="226">
        <f>D37*1.3*1.105/0.9</f>
        <v/>
      </c>
      <c r="H37" s="227">
        <f>G37*1.21</f>
        <v/>
      </c>
      <c r="I37" s="227">
        <f>ROUND(H37/100,0)*100</f>
        <v/>
      </c>
      <c r="J37" s="193" t="n"/>
      <c r="K37" s="236" t="n">
        <v>188.76</v>
      </c>
      <c r="L37" s="257" t="n">
        <v>169.88</v>
      </c>
      <c r="M37" s="257" t="n">
        <v>160.45</v>
      </c>
      <c r="N37" s="253" t="n">
        <v>151.01</v>
      </c>
      <c r="O37" s="193" t="n"/>
      <c r="P37" s="193" t="n"/>
      <c r="Q37" s="193" t="n"/>
      <c r="R37" s="193" t="n"/>
      <c r="S37" s="224" t="n"/>
      <c r="T37" s="224" t="n"/>
      <c r="U37" s="224" t="n"/>
      <c r="V37" s="224" t="n"/>
      <c r="W37" s="224" t="n"/>
      <c r="X37" s="224" t="n"/>
      <c r="Y37" s="193" t="n"/>
    </row>
    <row r="38">
      <c r="A38" s="124" t="n">
        <v>514</v>
      </c>
      <c r="B38" s="223" t="inlineStr">
        <is>
          <t>Caja por 600 servilletas Celsoft 40x40 Victoria Ambra</t>
        </is>
      </c>
      <c r="D38" s="215">
        <f>N38*0.93</f>
        <v/>
      </c>
      <c r="E38" s="223" t="n"/>
      <c r="F38" s="218">
        <f>D38*1.3*1.105</f>
        <v/>
      </c>
      <c r="G38" s="219">
        <f>D38*1.3*1.105/0.9</f>
        <v/>
      </c>
      <c r="H38" s="220">
        <f>G38*1.21</f>
        <v/>
      </c>
      <c r="I38" s="215">
        <f>ROUND(H38/100,0)*100</f>
        <v/>
      </c>
      <c r="K38" s="236" t="n">
        <v>203.47</v>
      </c>
      <c r="L38" s="257" t="n">
        <v>183.12</v>
      </c>
      <c r="M38" s="257" t="n">
        <v>172.95</v>
      </c>
      <c r="N38" s="253" t="n">
        <v>162.78</v>
      </c>
      <c r="S38" s="223" t="n"/>
      <c r="T38" s="223" t="n"/>
      <c r="U38" s="223" t="n"/>
      <c r="V38" s="223" t="n"/>
      <c r="W38" s="223" t="n"/>
      <c r="X38" s="223" t="n"/>
    </row>
    <row r="39">
      <c r="A39" s="124" t="n">
        <v>515</v>
      </c>
      <c r="B39" s="223" t="inlineStr">
        <is>
          <t>Caja por 600 servilletas Celsoft 40x40 Victoria Nero</t>
        </is>
      </c>
      <c r="D39" s="215">
        <f>N39*0.93</f>
        <v/>
      </c>
      <c r="E39" s="223" t="n"/>
      <c r="F39" s="218">
        <f>D39*1.3*1.105</f>
        <v/>
      </c>
      <c r="G39" s="219">
        <f>D39*1.3*1.105/0.9</f>
        <v/>
      </c>
      <c r="H39" s="220">
        <f>G39*1.21</f>
        <v/>
      </c>
      <c r="I39" s="215">
        <f>ROUND(H39/100,0)*100</f>
        <v/>
      </c>
      <c r="K39" s="236" t="n">
        <v>203.47</v>
      </c>
      <c r="L39" s="257" t="n">
        <v>183.12</v>
      </c>
      <c r="M39" s="257" t="n">
        <v>172.95</v>
      </c>
      <c r="N39" s="253" t="n">
        <v>162.78</v>
      </c>
      <c r="S39" s="223" t="n"/>
      <c r="T39" s="223" t="n"/>
      <c r="U39" s="223" t="n"/>
      <c r="V39" s="223" t="n"/>
      <c r="W39" s="223" t="n"/>
      <c r="X39" s="223" t="n"/>
    </row>
    <row r="40">
      <c r="A40" s="124" t="n">
        <v>516</v>
      </c>
      <c r="B40" s="223" t="inlineStr">
        <is>
          <t>Caja por 600 servilletas Celsoft 40x40 Tasca Bordeaux</t>
        </is>
      </c>
      <c r="D40" s="215">
        <f>N40*0.93</f>
        <v/>
      </c>
      <c r="E40" s="223" t="n"/>
      <c r="F40" s="218">
        <f>D40*1.3*1.105</f>
        <v/>
      </c>
      <c r="G40" s="219">
        <f>D40*1.3*1.105/0.9</f>
        <v/>
      </c>
      <c r="H40" s="220">
        <f>G40*1.21</f>
        <v/>
      </c>
      <c r="I40" s="215">
        <f>ROUND(H40/100,0)*100</f>
        <v/>
      </c>
      <c r="K40" s="236" t="n">
        <v>239.93</v>
      </c>
      <c r="L40" s="257" t="n">
        <v>215.94</v>
      </c>
      <c r="M40" s="257" t="n">
        <v>203.94</v>
      </c>
      <c r="N40" s="253" t="n">
        <v>191.94</v>
      </c>
      <c r="S40" s="223" t="n"/>
      <c r="T40" s="223" t="n"/>
      <c r="U40" s="223" t="n"/>
      <c r="V40" s="223" t="n"/>
      <c r="W40" s="223" t="n"/>
      <c r="X40" s="223" t="n"/>
    </row>
    <row r="41">
      <c r="A41" s="124" t="n">
        <v>517</v>
      </c>
      <c r="B41" s="223" t="inlineStr">
        <is>
          <t>Caja por 600 servilletas Celsoft 40x40 Tasca Nero</t>
        </is>
      </c>
      <c r="D41" s="215">
        <f>N41*0.93</f>
        <v/>
      </c>
      <c r="E41" s="223" t="n"/>
      <c r="F41" s="218">
        <f>D41*1.3*1.105</f>
        <v/>
      </c>
      <c r="G41" s="219">
        <f>D41*1.3*1.105/0.9</f>
        <v/>
      </c>
      <c r="H41" s="220">
        <f>G41*1.21</f>
        <v/>
      </c>
      <c r="I41" s="215">
        <f>ROUND(H41/100,0)*100</f>
        <v/>
      </c>
      <c r="K41" s="236" t="n">
        <v>239.39</v>
      </c>
      <c r="L41" s="257" t="n">
        <v>215.45</v>
      </c>
      <c r="M41" s="257" t="n">
        <v>203.48</v>
      </c>
      <c r="N41" s="253" t="n">
        <v>191.51</v>
      </c>
      <c r="S41" s="223" t="n"/>
      <c r="T41" s="223" t="n"/>
      <c r="U41" s="223" t="n"/>
      <c r="V41" s="223" t="n"/>
      <c r="W41" s="223" t="n"/>
      <c r="X41" s="223" t="n"/>
    </row>
    <row r="42">
      <c r="A42" s="124" t="n">
        <v>518</v>
      </c>
      <c r="B42" s="223" t="inlineStr">
        <is>
          <t>Caja por 600 servilletas Celsoft 40x40 Tasca Lino Avorio</t>
        </is>
      </c>
      <c r="D42" s="215">
        <f>N42*0.93</f>
        <v/>
      </c>
      <c r="E42" s="223" t="n"/>
      <c r="F42" s="218">
        <f>D42*1.3*1.105</f>
        <v/>
      </c>
      <c r="G42" s="219">
        <f>D42*1.3*1.105/0.9</f>
        <v/>
      </c>
      <c r="H42" s="220">
        <f>G42*1.21</f>
        <v/>
      </c>
      <c r="I42" s="215">
        <f>ROUND(H42/100,0)*100</f>
        <v/>
      </c>
      <c r="K42" s="236" t="n">
        <v>203.47</v>
      </c>
      <c r="L42" s="257" t="n">
        <v>183.12</v>
      </c>
      <c r="M42" s="257" t="n">
        <v>172.95</v>
      </c>
      <c r="N42" s="253" t="n">
        <v>162.78</v>
      </c>
      <c r="S42" s="223" t="n"/>
      <c r="T42" s="223" t="n"/>
      <c r="U42" s="223" t="n"/>
      <c r="V42" s="223" t="n"/>
      <c r="W42" s="223" t="n"/>
      <c r="X42" s="223" t="n"/>
    </row>
    <row r="43">
      <c r="A43" s="124" t="n">
        <v>519</v>
      </c>
      <c r="B43" s="223" t="inlineStr">
        <is>
          <t>Caja por 600 servilletas Celsoft 40x40 Taca Iuta Grigio</t>
        </is>
      </c>
      <c r="D43" s="215">
        <f>N43*0.93</f>
        <v/>
      </c>
      <c r="E43" s="223" t="n"/>
      <c r="F43" s="218">
        <f>D43*1.3*1.105</f>
        <v/>
      </c>
      <c r="G43" s="219">
        <f>D43*1.3*1.105/0.9</f>
        <v/>
      </c>
      <c r="H43" s="220">
        <f>G43*1.21</f>
        <v/>
      </c>
      <c r="I43" s="215">
        <f>ROUND(H43/100,0)*100</f>
        <v/>
      </c>
      <c r="K43" s="236" t="n">
        <v>203.47</v>
      </c>
      <c r="L43" s="257" t="n">
        <v>183.12</v>
      </c>
      <c r="M43" s="257" t="n">
        <v>172.95</v>
      </c>
      <c r="N43" s="253" t="n">
        <v>162.78</v>
      </c>
      <c r="S43" s="223" t="n"/>
      <c r="T43" s="223" t="n"/>
      <c r="U43" s="223" t="n"/>
      <c r="V43" s="223" t="n"/>
      <c r="W43" s="223" t="n"/>
      <c r="X43" s="223" t="n"/>
    </row>
    <row r="44">
      <c r="A44" s="124" t="n">
        <v>520</v>
      </c>
      <c r="B44" s="223" t="inlineStr">
        <is>
          <t>Caja de servilletas Celsoft 40 x 40 SAMPLER 300 Unid</t>
        </is>
      </c>
      <c r="D44" s="215">
        <f>N44*0.93</f>
        <v/>
      </c>
      <c r="E44" s="223" t="n"/>
      <c r="F44" s="218">
        <f>D44*1.3*1.105</f>
        <v/>
      </c>
      <c r="G44" s="219">
        <f>D44*1.3*1.105/0.9</f>
        <v/>
      </c>
      <c r="H44" s="220">
        <f>G44*1.21</f>
        <v/>
      </c>
      <c r="I44" s="215">
        <f>ROUND(H44/100,0)*100</f>
        <v/>
      </c>
      <c r="K44" s="236" t="n">
        <v>107.7</v>
      </c>
      <c r="L44" s="257" t="n">
        <v>96.93000000000001</v>
      </c>
      <c r="M44" s="257" t="n">
        <v>91.55</v>
      </c>
      <c r="N44" s="253" t="n">
        <v>86.16</v>
      </c>
      <c r="S44" s="223" t="n"/>
      <c r="T44" s="223" t="n"/>
      <c r="U44" s="223" t="n"/>
      <c r="V44" s="223" t="n"/>
      <c r="W44" s="223" t="n"/>
      <c r="X44" s="223" t="n"/>
    </row>
    <row r="45">
      <c r="A45" s="124" t="n"/>
      <c r="B45" s="223" t="n"/>
      <c r="C45" s="223" t="n"/>
      <c r="D45" s="215" t="n"/>
      <c r="E45" s="223" t="n"/>
      <c r="F45" s="222" t="n"/>
      <c r="G45" s="222" t="n"/>
      <c r="H45" s="222" t="n"/>
      <c r="I45" s="223" t="n"/>
      <c r="K45" s="200" t="n"/>
      <c r="L45" s="200" t="n"/>
      <c r="M45" s="200" t="n"/>
      <c r="N45" s="200" t="n"/>
      <c r="S45" s="223" t="n"/>
      <c r="T45" s="223" t="n"/>
      <c r="U45" s="223" t="n"/>
      <c r="V45" s="223" t="n"/>
      <c r="W45" s="223" t="n"/>
      <c r="X45" s="223" t="n"/>
    </row>
    <row r="46">
      <c r="A46" s="142" t="inlineStr">
        <is>
          <t>PAPEL HIGIENICO</t>
        </is>
      </c>
      <c r="B46" s="271" t="n"/>
      <c r="C46" s="223" t="n"/>
      <c r="D46" s="215" t="n"/>
      <c r="E46" s="223" t="n"/>
      <c r="F46" s="222" t="n"/>
      <c r="G46" s="222" t="n"/>
      <c r="H46" s="222" t="n"/>
      <c r="I46" s="223" t="n"/>
      <c r="K46" s="200" t="n"/>
      <c r="L46" s="200" t="n"/>
      <c r="M46" s="200" t="n"/>
      <c r="N46" s="200" t="n"/>
      <c r="S46" s="223" t="n"/>
      <c r="T46" s="223" t="n"/>
      <c r="U46" s="223" t="n"/>
      <c r="V46" s="223" t="n"/>
      <c r="W46" s="223" t="n"/>
      <c r="X46" s="223" t="n"/>
    </row>
    <row r="47">
      <c r="A47" s="111" t="n"/>
      <c r="B47" s="223" t="n"/>
      <c r="C47" s="223" t="n"/>
      <c r="D47" s="215" t="n"/>
      <c r="E47" s="223" t="n"/>
      <c r="F47" s="222" t="n"/>
      <c r="G47" s="222" t="n"/>
      <c r="H47" s="222" t="n"/>
      <c r="I47" s="223" t="n"/>
      <c r="K47" s="200" t="n"/>
      <c r="L47" s="200" t="n"/>
      <c r="M47" s="200" t="n"/>
      <c r="N47" s="200" t="n"/>
      <c r="S47" s="223" t="n"/>
      <c r="T47" s="223" t="n"/>
      <c r="U47" s="223" t="n"/>
      <c r="V47" s="223" t="n"/>
      <c r="W47" s="223" t="n"/>
      <c r="X47" s="223" t="n"/>
    </row>
    <row r="48">
      <c r="A48" s="124" t="n">
        <v>211</v>
      </c>
      <c r="B48" s="223" t="inlineStr">
        <is>
          <t>Pack x18 Rollos Higienico Racional D/H x 60 mts</t>
        </is>
      </c>
      <c r="D48" s="215">
        <f>N48*0.93</f>
        <v/>
      </c>
      <c r="E48" s="223" t="n"/>
      <c r="F48" s="218">
        <f>D48*1.3*1.105</f>
        <v/>
      </c>
      <c r="G48" s="219">
        <f>D48*1.3*1.105/0.9</f>
        <v/>
      </c>
      <c r="H48" s="220">
        <f>G48*1.21</f>
        <v/>
      </c>
      <c r="I48" s="215">
        <f>ROUND(H48/100,0)*100</f>
        <v/>
      </c>
      <c r="K48" s="238" t="n">
        <v>3128.24</v>
      </c>
      <c r="L48" s="256" t="n">
        <v>2815.42</v>
      </c>
      <c r="M48" s="256" t="n">
        <v>2659</v>
      </c>
      <c r="N48" s="254" t="n">
        <v>2502.59</v>
      </c>
      <c r="S48" s="223" t="n"/>
      <c r="T48" s="223" t="n"/>
      <c r="U48" s="223" t="n"/>
      <c r="V48" s="223" t="n"/>
      <c r="W48" s="223" t="n"/>
      <c r="X48" s="223" t="n"/>
    </row>
    <row r="49">
      <c r="A49" s="124" t="n">
        <v>213</v>
      </c>
      <c r="B49" s="223" t="inlineStr">
        <is>
          <t>Pack x 4 Rollos Higienico Racional x 500 mts Buje 7,5</t>
        </is>
      </c>
      <c r="D49" s="215">
        <f>N49*0.93</f>
        <v/>
      </c>
      <c r="E49" s="223" t="n"/>
      <c r="F49" s="218">
        <f>D49*1.3*1.105</f>
        <v/>
      </c>
      <c r="G49" s="219">
        <f>D49*1.3*1.105/0.9</f>
        <v/>
      </c>
      <c r="H49" s="220">
        <f>G49*1.21</f>
        <v/>
      </c>
      <c r="I49" s="215">
        <f>ROUND(H49/100,0)*100</f>
        <v/>
      </c>
      <c r="K49" s="236" t="n">
        <v>2424.42</v>
      </c>
      <c r="L49" s="257" t="n">
        <v>2181.98</v>
      </c>
      <c r="M49" s="257" t="n">
        <v>2060.76</v>
      </c>
      <c r="N49" s="253" t="n">
        <v>1939.54</v>
      </c>
      <c r="S49" s="223" t="n"/>
      <c r="T49" s="223" t="n"/>
      <c r="U49" s="223" t="n"/>
      <c r="V49" s="223" t="n"/>
      <c r="W49" s="223" t="n"/>
      <c r="X49" s="223" t="n"/>
    </row>
    <row r="50">
      <c r="A50" s="182" t="n">
        <v>214</v>
      </c>
      <c r="B50" s="224" t="inlineStr">
        <is>
          <t>Pack x 18 rollos Papel Higienico Racional x 122 mts</t>
        </is>
      </c>
      <c r="D50" s="227">
        <f>N50*0.93</f>
        <v/>
      </c>
      <c r="E50" s="224" t="n"/>
      <c r="F50" s="228">
        <f>D50*1.3*1.105</f>
        <v/>
      </c>
      <c r="G50" s="226">
        <f>D50*1.3*1.105/0.9</f>
        <v/>
      </c>
      <c r="H50" s="227">
        <f>G50*1.21</f>
        <v/>
      </c>
      <c r="I50" s="227">
        <f>ROUND(H50/100,0)*100</f>
        <v/>
      </c>
      <c r="J50" s="193" t="n"/>
      <c r="K50" s="236" t="n">
        <v>2978.58</v>
      </c>
      <c r="L50" s="257" t="n">
        <v>2680.72</v>
      </c>
      <c r="M50" s="257" t="n">
        <v>2531.79</v>
      </c>
      <c r="N50" s="253" t="n">
        <v>2382.86</v>
      </c>
      <c r="O50" s="193" t="n"/>
      <c r="P50" s="193" t="n"/>
      <c r="Q50" s="193" t="n"/>
      <c r="R50" s="193" t="n"/>
      <c r="S50" s="224" t="n"/>
      <c r="T50" s="224" t="n"/>
      <c r="U50" s="224" t="n"/>
      <c r="V50" s="224" t="n"/>
      <c r="W50" s="224" t="n"/>
      <c r="X50" s="224" t="n"/>
      <c r="Y50" s="193" t="n"/>
    </row>
    <row r="51">
      <c r="A51" s="124" t="n">
        <v>218</v>
      </c>
      <c r="B51" s="223" t="inlineStr">
        <is>
          <t>Pack x 8 rollos Higienico Racional x 265 mts buje 7,5</t>
        </is>
      </c>
      <c r="D51" s="215">
        <f>N51*0.93</f>
        <v/>
      </c>
      <c r="E51" s="223" t="n"/>
      <c r="F51" s="218">
        <f>D51*1.3*1.105</f>
        <v/>
      </c>
      <c r="G51" s="219">
        <f>D51*1.3*1.105/0.9</f>
        <v/>
      </c>
      <c r="H51" s="220">
        <f>G51*1.21</f>
        <v/>
      </c>
      <c r="I51" s="215">
        <f>ROUND(H51/100,0)*100</f>
        <v/>
      </c>
      <c r="K51" s="236" t="n">
        <v>2741.42</v>
      </c>
      <c r="L51" s="257" t="n">
        <v>2467.28</v>
      </c>
      <c r="M51" s="257" t="n">
        <v>2330.21</v>
      </c>
      <c r="N51" s="253" t="n">
        <v>2193.14</v>
      </c>
      <c r="S51" s="223" t="n"/>
      <c r="T51" s="223" t="n"/>
      <c r="U51" s="223" t="n"/>
      <c r="V51" s="223" t="n"/>
      <c r="W51" s="223" t="n"/>
      <c r="X51" s="223" t="n"/>
    </row>
    <row r="52">
      <c r="A52" s="182" t="n">
        <v>220</v>
      </c>
      <c r="B52" s="224" t="inlineStr">
        <is>
          <t>Pack x 8 Rollos Papel Higienico Racional x 300 mts</t>
        </is>
      </c>
      <c r="D52" s="227">
        <f>N52*0.93</f>
        <v/>
      </c>
      <c r="E52" s="224" t="n"/>
      <c r="F52" s="228">
        <f>D52*1.3*1.105</f>
        <v/>
      </c>
      <c r="G52" s="226">
        <f>D52*1.3*1.105/0.9</f>
        <v/>
      </c>
      <c r="H52" s="227">
        <f>G52*1.21</f>
        <v/>
      </c>
      <c r="I52" s="227">
        <f>ROUND(H52/100,0)*100</f>
        <v/>
      </c>
      <c r="J52" s="193" t="n"/>
      <c r="K52" s="236" t="n">
        <v>3123.92</v>
      </c>
      <c r="L52" s="257" t="n">
        <v>2811.53</v>
      </c>
      <c r="M52" s="257" t="n">
        <v>2655.33</v>
      </c>
      <c r="N52" s="253" t="n">
        <v>2499.14</v>
      </c>
      <c r="O52" s="193" t="n"/>
      <c r="P52" s="193" t="n"/>
      <c r="Q52" s="193" t="n"/>
      <c r="R52" s="193" t="n"/>
      <c r="S52" s="224" t="n"/>
      <c r="T52" s="224" t="n"/>
      <c r="U52" s="224" t="n"/>
      <c r="V52" s="224" t="n"/>
      <c r="W52" s="224" t="n"/>
      <c r="X52" s="224" t="n"/>
      <c r="Y52" s="193" t="n"/>
    </row>
    <row r="53">
      <c r="A53" s="124" t="n">
        <v>222</v>
      </c>
      <c r="B53" s="223" t="inlineStr">
        <is>
          <t>Pack x 8 Rollos Papel Higienico x 260 mts Buje4,5</t>
        </is>
      </c>
      <c r="D53" s="215">
        <f>N53*0.93</f>
        <v/>
      </c>
      <c r="E53" s="223" t="n"/>
      <c r="F53" s="218">
        <f>D53*1.3*1.105</f>
        <v/>
      </c>
      <c r="G53" s="219">
        <f>D53*1.3*1.105/0.9</f>
        <v/>
      </c>
      <c r="H53" s="220">
        <f>G53*1.21</f>
        <v/>
      </c>
      <c r="I53" s="215">
        <f>ROUND(H53/100,0)*100</f>
        <v/>
      </c>
      <c r="K53" s="236" t="n">
        <v>2654.27</v>
      </c>
      <c r="L53" s="257" t="n">
        <v>2388.84</v>
      </c>
      <c r="M53" s="257" t="n">
        <v>2256.13</v>
      </c>
      <c r="N53" s="253" t="n">
        <v>2123.42</v>
      </c>
      <c r="S53" s="223" t="n"/>
      <c r="T53" s="223" t="n"/>
      <c r="U53" s="223" t="n"/>
      <c r="V53" s="223" t="n"/>
      <c r="W53" s="223" t="n"/>
      <c r="X53" s="223" t="n"/>
    </row>
    <row r="54">
      <c r="A54" s="182" t="n">
        <v>909</v>
      </c>
      <c r="B54" s="224" t="inlineStr">
        <is>
          <t>Papel Higiénico 20 x 14,5 8000 h. 4000 usos</t>
        </is>
      </c>
      <c r="D54" s="227">
        <f>N54*0.93</f>
        <v/>
      </c>
      <c r="E54" s="224" t="n"/>
      <c r="F54" s="228">
        <f>D54*1.3*1.105</f>
        <v/>
      </c>
      <c r="G54" s="226">
        <f>D54*1.3*1.105/0.9</f>
        <v/>
      </c>
      <c r="H54" s="227">
        <f>G54*1.21</f>
        <v/>
      </c>
      <c r="I54" s="227">
        <f>ROUND(H54/100,0)*100</f>
        <v/>
      </c>
      <c r="J54" s="193" t="n"/>
      <c r="K54" s="236" t="n">
        <v>4096.29</v>
      </c>
      <c r="L54" s="257" t="n">
        <v>3686.66</v>
      </c>
      <c r="M54" s="257" t="n">
        <v>3481.85</v>
      </c>
      <c r="N54" s="253" t="n">
        <v>3277.03</v>
      </c>
      <c r="O54" s="193" t="n"/>
      <c r="P54" s="193" t="n"/>
      <c r="Q54" s="193" t="n"/>
      <c r="R54" s="193" t="n"/>
      <c r="S54" s="224" t="n"/>
      <c r="T54" s="224" t="n"/>
      <c r="U54" s="224" t="n"/>
      <c r="V54" s="224" t="n"/>
      <c r="W54" s="224" t="n"/>
      <c r="X54" s="224" t="n"/>
      <c r="Y54" s="193" t="n"/>
    </row>
    <row r="55">
      <c r="A55" s="124" t="n">
        <v>912</v>
      </c>
      <c r="B55" s="223" t="inlineStr">
        <is>
          <t>Papel Higienico UNITAS(18x14,5cm) 8000 h/4000 usos</t>
        </is>
      </c>
      <c r="D55" s="215">
        <f>N55*0.93</f>
        <v/>
      </c>
      <c r="E55" s="223" t="n"/>
      <c r="F55" s="218">
        <f>D55*1.3*1.105</f>
        <v/>
      </c>
      <c r="G55" s="219">
        <f>D55*1.3*1.105/0.9</f>
        <v/>
      </c>
      <c r="H55" s="220">
        <f>G55*1.21</f>
        <v/>
      </c>
      <c r="I55" s="215">
        <f>ROUND(H55/100,0)*100</f>
        <v/>
      </c>
      <c r="K55" s="236" t="n">
        <v>3291.05</v>
      </c>
      <c r="L55" s="257" t="n">
        <v>2961.95</v>
      </c>
      <c r="M55" s="257" t="n">
        <v>2797.39</v>
      </c>
      <c r="N55" s="253" t="n">
        <v>2632.84</v>
      </c>
      <c r="S55" s="223" t="n"/>
      <c r="T55" s="223" t="n"/>
      <c r="U55" s="223" t="n"/>
      <c r="V55" s="223" t="n"/>
      <c r="W55" s="223" t="n"/>
      <c r="X55" s="223" t="n"/>
    </row>
    <row r="56">
      <c r="A56" s="124" t="n"/>
      <c r="B56" s="223" t="n"/>
      <c r="C56" s="223" t="n"/>
      <c r="D56" s="215" t="n"/>
      <c r="E56" s="223" t="n"/>
      <c r="F56" s="222" t="n"/>
      <c r="G56" s="222" t="n"/>
      <c r="H56" s="222" t="n"/>
      <c r="I56" s="223" t="n"/>
      <c r="K56" s="200" t="n"/>
      <c r="L56" s="200" t="n"/>
      <c r="M56" s="200" t="n"/>
      <c r="N56" s="200" t="n"/>
      <c r="S56" s="223" t="n"/>
      <c r="T56" s="223" t="n"/>
      <c r="U56" s="223" t="n"/>
      <c r="V56" s="223" t="n"/>
      <c r="W56" s="223" t="n"/>
      <c r="X56" s="223" t="n"/>
    </row>
    <row r="57">
      <c r="A57" s="124" t="n"/>
      <c r="B57" s="210" t="n">
        <v>44748</v>
      </c>
      <c r="C57" s="223" t="n"/>
      <c r="D57" s="215" t="n"/>
      <c r="E57" s="223" t="n"/>
      <c r="F57" s="222" t="n"/>
      <c r="G57" s="222" t="n"/>
      <c r="H57" s="222" t="n"/>
      <c r="I57" s="223" t="n"/>
      <c r="K57" s="200" t="n"/>
      <c r="L57" s="200" t="n"/>
      <c r="M57" s="200" t="n"/>
      <c r="N57" s="200" t="n"/>
      <c r="S57" s="223" t="n"/>
      <c r="T57" s="223" t="n"/>
      <c r="U57" s="223" t="n"/>
      <c r="V57" s="223" t="n"/>
      <c r="W57" s="223" t="n"/>
      <c r="X57" s="223" t="n"/>
    </row>
    <row r="58">
      <c r="A58" s="124" t="n"/>
      <c r="B58" s="223" t="n"/>
      <c r="C58" s="223" t="n"/>
      <c r="D58" s="215" t="n"/>
      <c r="E58" s="223" t="n"/>
      <c r="F58" s="222" t="n"/>
      <c r="G58" s="222" t="n"/>
      <c r="H58" s="222" t="n"/>
      <c r="I58" s="223" t="n"/>
      <c r="K58" s="200" t="n"/>
      <c r="L58" s="200" t="n"/>
      <c r="M58" s="200" t="n"/>
      <c r="N58" s="200" t="n"/>
      <c r="S58" s="223" t="n"/>
      <c r="T58" s="223" t="n"/>
      <c r="U58" s="223" t="n"/>
      <c r="V58" s="223" t="n"/>
      <c r="W58" s="223" t="n"/>
      <c r="X58" s="223" t="n"/>
    </row>
    <row r="59">
      <c r="A59" s="117" t="inlineStr">
        <is>
          <t>CAMILLEROS</t>
        </is>
      </c>
      <c r="B59" s="223" t="n"/>
      <c r="C59" s="223" t="n"/>
      <c r="D59" s="215" t="n"/>
      <c r="E59" s="223" t="n"/>
      <c r="F59" s="222" t="n"/>
      <c r="G59" s="222" t="n"/>
      <c r="H59" s="222" t="n"/>
      <c r="I59" s="223" t="n"/>
      <c r="K59" s="200" t="n"/>
      <c r="L59" s="200" t="n"/>
      <c r="M59" s="200" t="n"/>
      <c r="N59" s="200" t="n"/>
      <c r="S59" s="223" t="n"/>
      <c r="T59" s="223" t="n"/>
      <c r="U59" s="223" t="n"/>
      <c r="V59" s="223" t="n"/>
      <c r="W59" s="223" t="n"/>
      <c r="X59" s="223" t="n"/>
    </row>
    <row r="60">
      <c r="A60" s="131" t="n"/>
      <c r="B60" s="223" t="n"/>
      <c r="C60" s="223" t="n"/>
      <c r="D60" s="215" t="n"/>
      <c r="E60" s="223" t="n"/>
      <c r="F60" s="222" t="n"/>
      <c r="G60" s="222" t="n"/>
      <c r="H60" s="222" t="n"/>
      <c r="I60" s="223" t="n"/>
      <c r="K60" s="200" t="n"/>
      <c r="L60" s="200" t="n"/>
      <c r="M60" s="200" t="n"/>
      <c r="N60" s="200" t="n"/>
      <c r="S60" s="223" t="n"/>
      <c r="T60" s="223" t="n"/>
      <c r="U60" s="223" t="n"/>
      <c r="V60" s="223" t="n"/>
      <c r="W60" s="223" t="n"/>
      <c r="X60" s="223" t="n"/>
    </row>
    <row r="61">
      <c r="A61" s="182" t="n">
        <v>301</v>
      </c>
      <c r="B61" s="224" t="inlineStr">
        <is>
          <t>Pack x 2 Rollos Camilleros bco s/h 54x100mts Prec</t>
        </is>
      </c>
      <c r="D61" s="227" t="n">
        <v>2120.25</v>
      </c>
      <c r="E61" s="193" t="n"/>
      <c r="F61" s="228">
        <f>D61*1.3*1.105</f>
        <v/>
      </c>
      <c r="G61" s="226">
        <f>D61*1.3*1.105/0.9</f>
        <v/>
      </c>
      <c r="H61" s="227">
        <f>G61*1.21</f>
        <v/>
      </c>
      <c r="I61" s="227">
        <f>ROUND(H61/100,0)*100</f>
        <v/>
      </c>
      <c r="J61" s="193" t="n"/>
      <c r="K61" s="238" t="n">
        <v>3299.46</v>
      </c>
      <c r="L61" s="256" t="n">
        <v>2969.51</v>
      </c>
      <c r="M61" s="256" t="n">
        <v>2804.54</v>
      </c>
      <c r="N61" s="254" t="n">
        <v>2639.57</v>
      </c>
      <c r="O61" s="193" t="n"/>
      <c r="P61" s="193" t="n"/>
      <c r="Q61" s="193" t="n"/>
      <c r="R61" s="193" t="n"/>
      <c r="S61" s="227">
        <f>N61*0.93</f>
        <v/>
      </c>
      <c r="T61" s="224" t="n"/>
      <c r="U61" s="224" t="n"/>
      <c r="V61" s="224" t="n"/>
      <c r="W61" s="224" t="n"/>
      <c r="X61" s="224" t="n"/>
      <c r="Y61" s="193" t="n"/>
    </row>
    <row r="62">
      <c r="A62" s="124" t="n"/>
      <c r="B62" s="155" t="n"/>
      <c r="C62" s="223" t="n"/>
      <c r="D62" s="215" t="n"/>
      <c r="E62" s="223" t="n"/>
      <c r="F62" s="222" t="n"/>
      <c r="G62" s="222" t="n"/>
      <c r="H62" s="222" t="n"/>
      <c r="I62" s="223" t="n"/>
      <c r="K62" s="200" t="n"/>
      <c r="L62" s="200" t="n"/>
      <c r="M62" s="200" t="n"/>
      <c r="N62" s="200" t="n"/>
      <c r="S62" s="223" t="n"/>
      <c r="T62" s="223" t="n"/>
      <c r="U62" s="223" t="n"/>
      <c r="V62" s="223" t="n"/>
      <c r="W62" s="223" t="n"/>
      <c r="X62" s="223" t="n"/>
    </row>
    <row r="63">
      <c r="A63" s="142" t="inlineStr">
        <is>
          <t>DISPENSERS</t>
        </is>
      </c>
      <c r="B63" s="223" t="n"/>
      <c r="C63" s="223" t="n"/>
      <c r="D63" s="215" t="n"/>
      <c r="E63" s="223" t="n"/>
      <c r="F63" s="222" t="n"/>
      <c r="G63" s="222" t="n"/>
      <c r="H63" s="222" t="n"/>
      <c r="I63" s="223" t="n"/>
      <c r="K63" s="200" t="n"/>
      <c r="L63" s="200" t="n"/>
      <c r="M63" s="200" t="n"/>
      <c r="N63" s="200" t="n"/>
      <c r="S63" s="223" t="n"/>
      <c r="T63" s="223" t="n"/>
      <c r="U63" s="223" t="n"/>
      <c r="V63" s="223" t="n"/>
      <c r="W63" s="223" t="n"/>
      <c r="X63" s="223" t="n"/>
    </row>
    <row r="64">
      <c r="A64" s="111" t="n"/>
      <c r="B64" s="223" t="n"/>
      <c r="C64" s="223" t="n"/>
      <c r="D64" s="215" t="n"/>
      <c r="E64" s="223" t="n"/>
      <c r="F64" s="222" t="n"/>
      <c r="G64" s="222" t="n"/>
      <c r="H64" s="222" t="n"/>
      <c r="I64" s="223" t="n"/>
      <c r="K64" s="200" t="n"/>
      <c r="L64" s="200" t="n"/>
      <c r="M64" s="200" t="n"/>
      <c r="N64" s="200" t="n"/>
      <c r="S64" s="223" t="n"/>
      <c r="T64" s="223" t="n"/>
      <c r="U64" s="223" t="n"/>
      <c r="V64" s="223" t="n"/>
      <c r="W64" s="223" t="n"/>
      <c r="X64" s="223" t="n"/>
    </row>
    <row r="65">
      <c r="A65" s="124" t="n">
        <v>403</v>
      </c>
      <c r="B65" s="223" t="inlineStr">
        <is>
          <t>Portabobina de Pared</t>
        </is>
      </c>
      <c r="C65" s="223" t="n"/>
      <c r="D65" s="215">
        <f>N65*0.93</f>
        <v/>
      </c>
      <c r="E65" s="223" t="n"/>
      <c r="F65" s="218">
        <f>D65*1.3*1.105</f>
        <v/>
      </c>
      <c r="G65" s="219">
        <f>D65*1.3*1.105/0.9</f>
        <v/>
      </c>
      <c r="H65" s="220">
        <f>G65*1.21</f>
        <v/>
      </c>
      <c r="I65" s="215">
        <f>ROUND(H65/100,0)*100</f>
        <v/>
      </c>
      <c r="K65" s="238" t="n">
        <v>5365.8</v>
      </c>
      <c r="L65" s="256" t="n">
        <v>4829.22</v>
      </c>
      <c r="M65" s="256" t="n">
        <v>4560.93</v>
      </c>
      <c r="N65" s="254" t="n">
        <v>4292.64</v>
      </c>
      <c r="S65" s="223" t="n"/>
      <c r="T65" s="223" t="n"/>
      <c r="U65" s="223" t="n"/>
      <c r="V65" s="223" t="n"/>
      <c r="W65" s="223" t="n"/>
      <c r="X65" s="223" t="n"/>
    </row>
    <row r="66">
      <c r="A66" s="124" t="n">
        <v>404</v>
      </c>
      <c r="B66" s="223" t="inlineStr">
        <is>
          <t>Portarollo para Camilla</t>
        </is>
      </c>
      <c r="C66" s="223" t="n"/>
      <c r="D66" s="215">
        <f>N66*0.93</f>
        <v/>
      </c>
      <c r="E66" s="223" t="n"/>
      <c r="F66" s="218">
        <f>D66*1.3*1.105</f>
        <v/>
      </c>
      <c r="G66" s="219">
        <f>D66*1.3*1.105/0.9</f>
        <v/>
      </c>
      <c r="H66" s="220">
        <f>G66*1.21</f>
        <v/>
      </c>
      <c r="I66" s="215">
        <f>ROUND(H66/100,0)*100</f>
        <v/>
      </c>
      <c r="K66" s="236" t="n">
        <v>7404.54</v>
      </c>
      <c r="L66" s="257" t="n">
        <v>6664.09</v>
      </c>
      <c r="M66" s="257" t="n">
        <v>6293.86</v>
      </c>
      <c r="N66" s="253" t="n">
        <v>5923.63</v>
      </c>
      <c r="S66" s="223" t="n"/>
      <c r="T66" s="223" t="n"/>
      <c r="U66" s="223" t="n"/>
      <c r="V66" s="223" t="n"/>
      <c r="W66" s="223" t="n"/>
      <c r="X66" s="223" t="n"/>
    </row>
    <row r="67">
      <c r="A67" s="124" t="n">
        <v>418</v>
      </c>
      <c r="B67" s="223" t="inlineStr">
        <is>
          <t>Portabobina de Piso</t>
        </is>
      </c>
      <c r="C67" s="223" t="n"/>
      <c r="D67" s="215">
        <f>N67*0.93</f>
        <v/>
      </c>
      <c r="E67" s="223" t="n"/>
      <c r="F67" s="218">
        <f>D67*1.3*1.105</f>
        <v/>
      </c>
      <c r="G67" s="219">
        <f>D67*1.3*1.105/0.9</f>
        <v/>
      </c>
      <c r="H67" s="220">
        <f>G67*1.21</f>
        <v/>
      </c>
      <c r="I67" s="215">
        <f>ROUND(H67/100,0)*100</f>
        <v/>
      </c>
      <c r="K67" s="236" t="n">
        <v>5902.22</v>
      </c>
      <c r="L67" s="257" t="n">
        <v>5312</v>
      </c>
      <c r="M67" s="257" t="n">
        <v>5016.89</v>
      </c>
      <c r="N67" s="253" t="n">
        <v>4721.78</v>
      </c>
      <c r="S67" s="223" t="n"/>
      <c r="T67" s="223" t="n"/>
      <c r="U67" s="223" t="n"/>
      <c r="V67" s="223" t="n"/>
      <c r="W67" s="223" t="n"/>
      <c r="X67" s="223" t="n"/>
    </row>
    <row r="68">
      <c r="A68" s="124" t="n">
        <v>422</v>
      </c>
      <c r="B68" s="223" t="inlineStr">
        <is>
          <t>Dispenser Celmatic Due</t>
        </is>
      </c>
      <c r="C68" s="223" t="n"/>
      <c r="D68" s="215">
        <f>N68*0.93</f>
        <v/>
      </c>
      <c r="E68" s="223" t="n"/>
      <c r="F68" s="218">
        <f>D68*1.3*1.105</f>
        <v/>
      </c>
      <c r="G68" s="219">
        <f>D68*1.3*1.105/0.9</f>
        <v/>
      </c>
      <c r="H68" s="220">
        <f>G68*1.21</f>
        <v/>
      </c>
      <c r="I68" s="215">
        <f>ROUND(H68/100,0)*100</f>
        <v/>
      </c>
      <c r="K68" s="236" t="n">
        <v>7558.57</v>
      </c>
      <c r="L68" s="257" t="n">
        <v>6802.71</v>
      </c>
      <c r="M68" s="257" t="n">
        <v>6424.78</v>
      </c>
      <c r="N68" s="253" t="n">
        <v>6046.86</v>
      </c>
      <c r="S68" s="223" t="n"/>
      <c r="T68" s="223" t="n"/>
      <c r="U68" s="223" t="n"/>
      <c r="V68" s="223" t="n"/>
      <c r="W68" s="223" t="n"/>
      <c r="X68" s="223" t="n"/>
    </row>
    <row r="69">
      <c r="A69" s="124" t="n">
        <v>424</v>
      </c>
      <c r="B69" s="223" t="inlineStr">
        <is>
          <t>Costo Comodato Disp. Papel Rollo Celmatic</t>
        </is>
      </c>
      <c r="D69" s="215">
        <f>N69*0.93</f>
        <v/>
      </c>
      <c r="E69" s="223" t="n"/>
      <c r="F69" s="218">
        <f>D69*1.3*1.105</f>
        <v/>
      </c>
      <c r="G69" s="219">
        <f>D69*1.3*1.105/0.9</f>
        <v/>
      </c>
      <c r="H69" s="220">
        <f>G69*1.21</f>
        <v/>
      </c>
      <c r="I69" s="215">
        <f>ROUND(H69/100,0)*100</f>
        <v/>
      </c>
      <c r="K69" s="236" t="n">
        <v>8880.799999999999</v>
      </c>
      <c r="L69" s="257" t="n">
        <v>8880.799999999999</v>
      </c>
      <c r="M69" s="257" t="n">
        <v>8880.799999999999</v>
      </c>
      <c r="N69" s="253" t="n">
        <v>8880.799999999999</v>
      </c>
      <c r="S69" s="223" t="n"/>
      <c r="T69" s="223" t="n"/>
      <c r="U69" s="223" t="n"/>
      <c r="V69" s="223" t="n"/>
      <c r="W69" s="223" t="n"/>
      <c r="X69" s="223" t="n"/>
    </row>
    <row r="70">
      <c r="A70" s="124" t="n">
        <v>425</v>
      </c>
      <c r="B70" s="223" t="inlineStr">
        <is>
          <t>Dosificador para Jabón Líquido Recargable</t>
        </is>
      </c>
      <c r="D70" s="215">
        <f>N70*0.93</f>
        <v/>
      </c>
      <c r="E70" s="223" t="n"/>
      <c r="F70" s="218">
        <f>D70*1.3*1.105</f>
        <v/>
      </c>
      <c r="G70" s="219">
        <f>D70*1.3*1.105/0.9</f>
        <v/>
      </c>
      <c r="H70" s="220">
        <f>G70*1.21</f>
        <v/>
      </c>
      <c r="I70" s="215">
        <f>ROUND(H70/100,0)*100</f>
        <v/>
      </c>
      <c r="K70" s="236" t="n">
        <v>2836.81</v>
      </c>
      <c r="L70" s="257" t="n">
        <v>2553.13</v>
      </c>
      <c r="M70" s="257" t="n">
        <v>2411.29</v>
      </c>
      <c r="N70" s="253" t="n">
        <v>2269.45</v>
      </c>
      <c r="S70" s="223" t="n"/>
      <c r="T70" s="223" t="n"/>
      <c r="U70" s="223" t="n"/>
      <c r="V70" s="223" t="n"/>
      <c r="W70" s="223" t="n"/>
      <c r="X70" s="223" t="n"/>
    </row>
    <row r="71">
      <c r="A71" s="124" t="n">
        <v>427</v>
      </c>
      <c r="B71" s="223" t="inlineStr">
        <is>
          <t>Dispenser Para Papel Higienico Racional 350</t>
        </is>
      </c>
      <c r="D71" s="215">
        <f>N71*0.93</f>
        <v/>
      </c>
      <c r="E71" s="223" t="n"/>
      <c r="F71" s="218">
        <f>D71*1.3*1.105</f>
        <v/>
      </c>
      <c r="G71" s="219">
        <f>D71*1.3*1.105/0.9</f>
        <v/>
      </c>
      <c r="H71" s="220">
        <f>G71*1.21</f>
        <v/>
      </c>
      <c r="I71" s="215">
        <f>ROUND(H71/100,0)*100</f>
        <v/>
      </c>
      <c r="K71" s="236" t="n">
        <v>3465.09</v>
      </c>
      <c r="L71" s="257" t="n">
        <v>3118.58</v>
      </c>
      <c r="M71" s="257" t="n">
        <v>2945.33</v>
      </c>
      <c r="N71" s="253" t="n">
        <v>2772.07</v>
      </c>
      <c r="S71" s="223" t="n"/>
      <c r="T71" s="223" t="n"/>
      <c r="U71" s="223" t="n"/>
      <c r="V71" s="223" t="n"/>
      <c r="W71" s="223" t="n"/>
      <c r="X71" s="223" t="n"/>
    </row>
    <row r="72">
      <c r="A72" s="124" t="n">
        <v>428</v>
      </c>
      <c r="B72" s="223" t="inlineStr">
        <is>
          <t>Dispenser para Papel Higiénico</t>
        </is>
      </c>
      <c r="C72" s="223" t="n"/>
      <c r="D72" s="215">
        <f>N72*0.93</f>
        <v/>
      </c>
      <c r="E72" s="223" t="n"/>
      <c r="F72" s="218">
        <f>D72*1.3*1.105</f>
        <v/>
      </c>
      <c r="G72" s="219">
        <f>D72*1.3*1.105/0.9</f>
        <v/>
      </c>
      <c r="H72" s="220">
        <f>G72*1.21</f>
        <v/>
      </c>
      <c r="I72" s="215">
        <f>ROUND(H72/100,0)*100</f>
        <v/>
      </c>
      <c r="K72" s="236" t="n">
        <v>3962.79</v>
      </c>
      <c r="L72" s="257" t="n">
        <v>3566.51</v>
      </c>
      <c r="M72" s="257" t="n">
        <v>3368.37</v>
      </c>
      <c r="N72" s="253" t="n">
        <v>3170.23</v>
      </c>
      <c r="S72" s="223" t="n"/>
      <c r="T72" s="223" t="n"/>
      <c r="U72" s="223" t="n"/>
      <c r="V72" s="223" t="n"/>
      <c r="W72" s="223" t="n"/>
      <c r="X72" s="223" t="n"/>
    </row>
    <row r="73">
      <c r="A73" s="124" t="n">
        <v>429</v>
      </c>
      <c r="B73" s="223" t="inlineStr">
        <is>
          <t>Dispenser para Toallas de Papel</t>
        </is>
      </c>
      <c r="C73" s="223" t="n"/>
      <c r="D73" s="215">
        <f>N73*0.93</f>
        <v/>
      </c>
      <c r="E73" s="223" t="n"/>
      <c r="F73" s="218">
        <f>D73*1.3*1.105</f>
        <v/>
      </c>
      <c r="G73" s="219">
        <f>D73*1.3*1.105/0.9</f>
        <v/>
      </c>
      <c r="H73" s="220">
        <f>G73*1.21</f>
        <v/>
      </c>
      <c r="I73" s="215">
        <f>ROUND(H73/100,0)*100</f>
        <v/>
      </c>
      <c r="K73" s="236" t="n">
        <v>2843.03</v>
      </c>
      <c r="L73" s="257" t="n">
        <v>2558.73</v>
      </c>
      <c r="M73" s="257" t="n">
        <v>2416.58</v>
      </c>
      <c r="N73" s="253" t="n">
        <v>2274.42</v>
      </c>
      <c r="S73" s="223" t="n"/>
      <c r="T73" s="223" t="n"/>
      <c r="U73" s="223" t="n"/>
      <c r="V73" s="223" t="n"/>
      <c r="W73" s="223" t="n"/>
      <c r="X73" s="223" t="n"/>
    </row>
    <row r="74">
      <c r="A74" s="124" t="n">
        <v>430</v>
      </c>
      <c r="B74" s="223" t="inlineStr">
        <is>
          <t>Dispenser Para Papel Higienico Racional 600</t>
        </is>
      </c>
      <c r="D74" s="215">
        <f>N74*0.93</f>
        <v/>
      </c>
      <c r="E74" s="223" t="n"/>
      <c r="F74" s="218">
        <f>D74*1.3*1.105</f>
        <v/>
      </c>
      <c r="G74" s="219">
        <f>D74*1.3*1.105/0.9</f>
        <v/>
      </c>
      <c r="H74" s="220">
        <f>G74*1.21</f>
        <v/>
      </c>
      <c r="I74" s="215">
        <f>ROUND(H74/100,0)*100</f>
        <v/>
      </c>
      <c r="K74" s="236" t="n">
        <v>5578.27</v>
      </c>
      <c r="L74" s="257" t="n">
        <v>5020.44</v>
      </c>
      <c r="M74" s="257" t="n">
        <v>4741.53</v>
      </c>
      <c r="N74" s="253" t="n">
        <v>4462.62</v>
      </c>
      <c r="S74" s="223" t="n"/>
      <c r="T74" s="223" t="n"/>
      <c r="U74" s="223" t="n"/>
      <c r="V74" s="223" t="n"/>
      <c r="W74" s="223" t="n"/>
      <c r="X74" s="223" t="n"/>
    </row>
    <row r="75">
      <c r="A75" s="124" t="n"/>
      <c r="B75" s="223" t="n"/>
      <c r="C75" s="223" t="n"/>
      <c r="D75" s="215" t="n"/>
      <c r="E75" s="223" t="n"/>
      <c r="F75" s="222" t="n"/>
      <c r="G75" s="222" t="n"/>
      <c r="H75" s="222" t="n"/>
      <c r="I75" s="223" t="n"/>
      <c r="K75" s="200" t="n"/>
      <c r="L75" s="200" t="n"/>
      <c r="M75" s="200" t="n"/>
      <c r="N75" s="200" t="n"/>
      <c r="S75" s="223" t="n"/>
      <c r="T75" s="223" t="n"/>
      <c r="U75" s="223" t="n"/>
      <c r="V75" s="223" t="n"/>
      <c r="W75" s="223" t="n"/>
      <c r="X75" s="223" t="n"/>
    </row>
    <row r="76">
      <c r="A76" s="124" t="n"/>
      <c r="B76" s="223" t="n"/>
      <c r="C76" s="223" t="n"/>
      <c r="D76" s="215" t="n"/>
      <c r="E76" s="223" t="n"/>
      <c r="F76" s="222" t="n"/>
      <c r="G76" s="222" t="n"/>
      <c r="H76" s="222" t="n"/>
      <c r="I76" s="223" t="n"/>
      <c r="K76" s="200" t="n"/>
      <c r="L76" s="200" t="n"/>
      <c r="M76" s="200" t="n"/>
      <c r="N76" s="200" t="n"/>
      <c r="S76" s="223" t="n"/>
      <c r="T76" s="223" t="n"/>
      <c r="U76" s="223" t="n"/>
      <c r="V76" s="223" t="n"/>
      <c r="W76" s="223" t="n"/>
      <c r="X76" s="223" t="n"/>
    </row>
    <row r="77">
      <c r="A77" s="124" t="n"/>
      <c r="B77" s="223" t="n"/>
      <c r="C77" s="223" t="n"/>
      <c r="D77" s="215" t="n"/>
      <c r="E77" s="223" t="n"/>
      <c r="F77" s="222" t="n"/>
      <c r="G77" s="222" t="n"/>
      <c r="H77" s="222" t="n"/>
      <c r="I77" s="223" t="n"/>
      <c r="K77" s="200" t="n"/>
      <c r="L77" s="200" t="n"/>
      <c r="M77" s="200" t="n"/>
      <c r="N77" s="200" t="n"/>
      <c r="S77" s="223" t="n"/>
      <c r="T77" s="223" t="n"/>
      <c r="U77" s="223" t="n"/>
      <c r="V77" s="223" t="n"/>
      <c r="W77" s="223" t="n"/>
      <c r="X77" s="223" t="n"/>
    </row>
    <row r="78">
      <c r="A78" s="117" t="inlineStr">
        <is>
          <t>LIMPIEZA INDUSTRIAL</t>
        </is>
      </c>
      <c r="B78" s="271" t="n"/>
      <c r="C78" s="223" t="n"/>
      <c r="D78" s="215" t="n"/>
      <c r="E78" s="223" t="n"/>
      <c r="F78" s="222" t="n"/>
      <c r="G78" s="222" t="n"/>
      <c r="H78" s="222" t="n"/>
      <c r="I78" s="223" t="n"/>
      <c r="K78" s="200" t="n"/>
      <c r="L78" s="200" t="n"/>
      <c r="M78" s="200" t="n"/>
      <c r="N78" s="200" t="n"/>
      <c r="S78" s="223" t="n"/>
      <c r="T78" s="223" t="n"/>
      <c r="U78" s="223" t="n"/>
      <c r="V78" s="223" t="n"/>
      <c r="W78" s="223" t="n"/>
      <c r="X78" s="223" t="n"/>
    </row>
    <row r="79">
      <c r="A79" s="131" t="n"/>
      <c r="B79" s="223" t="n"/>
      <c r="C79" s="223" t="n"/>
      <c r="D79" s="215" t="n"/>
      <c r="E79" s="223" t="n"/>
      <c r="F79" s="222" t="n"/>
      <c r="G79" s="222" t="n"/>
      <c r="H79" s="222" t="n"/>
      <c r="I79" s="223" t="n"/>
      <c r="K79" s="200" t="n"/>
      <c r="L79" s="200" t="n"/>
      <c r="M79" s="200" t="n"/>
      <c r="N79" s="200" t="n"/>
      <c r="S79" s="223" t="n"/>
      <c r="T79" s="223" t="n"/>
      <c r="U79" s="223" t="n"/>
      <c r="V79" s="223" t="n"/>
      <c r="W79" s="223" t="n"/>
      <c r="X79" s="223" t="n"/>
    </row>
    <row r="80">
      <c r="A80" s="182" t="n">
        <v>101</v>
      </c>
      <c r="B80" s="224" t="inlineStr">
        <is>
          <t>Pack x 6 bobinas 22,5 cm x 300 porciones</t>
        </is>
      </c>
      <c r="D80" s="227">
        <f>N80*0.93</f>
        <v/>
      </c>
      <c r="E80" s="224" t="n"/>
      <c r="F80" s="228">
        <f>D80*1.3*1.105</f>
        <v/>
      </c>
      <c r="G80" s="226">
        <f>D80*1.3*1.105/0.9</f>
        <v/>
      </c>
      <c r="H80" s="227">
        <f>G80*1.21</f>
        <v/>
      </c>
      <c r="I80" s="227">
        <f>ROUND(H80/100,0)*100</f>
        <v/>
      </c>
      <c r="J80" s="193" t="n"/>
      <c r="K80" s="238" t="n">
        <v>4264.49</v>
      </c>
      <c r="L80" s="256" t="n">
        <v>3838.04</v>
      </c>
      <c r="M80" s="256" t="n">
        <v>3624.82</v>
      </c>
      <c r="N80" s="254" t="n">
        <v>3411.59</v>
      </c>
      <c r="O80" s="193" t="n"/>
      <c r="P80" s="193" t="n"/>
      <c r="Q80" s="193" t="n"/>
      <c r="R80" s="193" t="n"/>
      <c r="S80" s="224" t="n"/>
      <c r="T80" s="224" t="n"/>
      <c r="U80" s="224" t="n"/>
      <c r="V80" s="224" t="n"/>
      <c r="W80" s="224" t="n"/>
      <c r="X80" s="224" t="n"/>
      <c r="Y80" s="193" t="n"/>
    </row>
    <row r="81">
      <c r="A81" s="124" t="n">
        <v>109</v>
      </c>
      <c r="B81" s="223" t="inlineStr">
        <is>
          <t>Pack x 2 bobinas papel original 22,5 cm x 270 mts</t>
        </is>
      </c>
      <c r="D81" s="215">
        <f>N81*0.93</f>
        <v/>
      </c>
      <c r="E81" s="223" t="n"/>
      <c r="F81" s="218">
        <f>D81*1.3*1.105</f>
        <v/>
      </c>
      <c r="G81" s="219">
        <f>D81*1.3*1.105/0.9</f>
        <v/>
      </c>
      <c r="H81" s="220">
        <f>G81*1.21</f>
        <v/>
      </c>
      <c r="I81" s="215">
        <f>ROUND(H81/100,0)*100</f>
        <v/>
      </c>
      <c r="K81" s="236" t="n">
        <v>3328.56</v>
      </c>
      <c r="L81" s="257" t="n">
        <v>2995.7</v>
      </c>
      <c r="M81" s="257" t="n">
        <v>2829.28</v>
      </c>
      <c r="N81" s="253" t="n">
        <v>2662.85</v>
      </c>
      <c r="S81" s="223" t="n"/>
      <c r="T81" s="223" t="n"/>
      <c r="U81" s="223" t="n"/>
      <c r="V81" s="223" t="n"/>
      <c r="W81" s="223" t="n"/>
      <c r="X81" s="223" t="n"/>
    </row>
    <row r="82">
      <c r="A82" s="182" t="n">
        <v>123</v>
      </c>
      <c r="B82" s="224" t="inlineStr">
        <is>
          <t>Pack x 2 bobinas Papel Original 900 hjs/360 mts.</t>
        </is>
      </c>
      <c r="D82" s="227">
        <f>N82*0.93</f>
        <v/>
      </c>
      <c r="E82" s="224" t="n"/>
      <c r="F82" s="228">
        <f>D82*1.3*1.105</f>
        <v/>
      </c>
      <c r="G82" s="226">
        <f>D82*1.3*1.105/0.9</f>
        <v/>
      </c>
      <c r="H82" s="227">
        <f>G82*1.21</f>
        <v/>
      </c>
      <c r="I82" s="227">
        <f>ROUND(H82/100,0)*100</f>
        <v/>
      </c>
      <c r="J82" s="193" t="n"/>
      <c r="K82" s="236" t="n">
        <v>4889.4</v>
      </c>
      <c r="L82" s="257" t="n">
        <v>4400.46</v>
      </c>
      <c r="M82" s="257" t="n">
        <v>4155.99</v>
      </c>
      <c r="N82" s="253" t="n">
        <v>3911.52</v>
      </c>
      <c r="O82" s="193" t="n"/>
      <c r="P82" s="193" t="n"/>
      <c r="Q82" s="193" t="n"/>
      <c r="R82" s="193" t="n"/>
      <c r="S82" s="224" t="n"/>
      <c r="T82" s="224" t="n"/>
      <c r="U82" s="224" t="n"/>
      <c r="V82" s="224" t="n"/>
      <c r="W82" s="224" t="n"/>
      <c r="X82" s="224" t="n"/>
      <c r="Y82" s="193" t="n"/>
    </row>
    <row r="83">
      <c r="A83" s="124" t="n">
        <v>809</v>
      </c>
      <c r="B83" s="223" t="inlineStr">
        <is>
          <t>Pack x 4 Rollos 600 porc 25x25 Rep Tambo</t>
        </is>
      </c>
      <c r="D83" s="215">
        <f>N83*0.93</f>
        <v/>
      </c>
      <c r="E83" s="223" t="n"/>
      <c r="F83" s="218">
        <f>D83*1.3*1.105</f>
        <v/>
      </c>
      <c r="G83" s="219">
        <f>D83*1.3*1.105/0.9</f>
        <v/>
      </c>
      <c r="H83" s="220">
        <f>G83*1.21</f>
        <v/>
      </c>
      <c r="I83" s="215">
        <f>ROUND(H83/100,0)*100</f>
        <v/>
      </c>
      <c r="K83" s="236" t="n">
        <v>5079.2</v>
      </c>
      <c r="L83" s="257" t="n">
        <v>4571.28</v>
      </c>
      <c r="M83" s="257" t="n">
        <v>4317.32</v>
      </c>
      <c r="N83" s="253" t="n">
        <v>4063.36</v>
      </c>
      <c r="S83" s="223" t="n"/>
      <c r="T83" s="223" t="n"/>
      <c r="U83" s="223" t="n"/>
      <c r="V83" s="223" t="n"/>
      <c r="W83" s="223" t="n"/>
      <c r="X83" s="223" t="n"/>
    </row>
    <row r="84">
      <c r="A84" s="124" t="n"/>
      <c r="B84" s="223" t="n"/>
      <c r="C84" s="223" t="n"/>
      <c r="D84" s="215" t="n"/>
      <c r="E84" s="223" t="n"/>
      <c r="F84" s="222" t="n"/>
      <c r="G84" s="222" t="n"/>
      <c r="H84" s="222" t="n"/>
      <c r="I84" s="223" t="n"/>
      <c r="K84" s="200" t="n"/>
      <c r="L84" s="200" t="n"/>
      <c r="M84" s="200" t="n"/>
      <c r="N84" s="200" t="n"/>
      <c r="S84" s="223" t="n"/>
      <c r="T84" s="223" t="n"/>
      <c r="U84" s="223" t="n"/>
      <c r="V84" s="223" t="n"/>
      <c r="W84" s="223" t="n"/>
      <c r="X84" s="223" t="n"/>
    </row>
    <row r="85">
      <c r="A85" s="124" t="n"/>
      <c r="B85" s="223" t="n"/>
      <c r="C85" s="223" t="n"/>
      <c r="D85" s="215" t="n"/>
      <c r="E85" s="223" t="n"/>
      <c r="F85" s="222" t="n"/>
      <c r="G85" s="222" t="n"/>
      <c r="H85" s="222" t="n"/>
      <c r="I85" s="223" t="n"/>
      <c r="K85" s="200" t="n"/>
      <c r="L85" s="200" t="n"/>
      <c r="M85" s="200" t="n"/>
      <c r="N85" s="200" t="n"/>
      <c r="S85" s="223" t="n"/>
      <c r="T85" s="223" t="n"/>
      <c r="U85" s="223" t="n"/>
      <c r="V85" s="223" t="n"/>
      <c r="W85" s="223" t="n"/>
      <c r="X85" s="223" t="n"/>
    </row>
    <row r="86">
      <c r="A86" s="117" t="inlineStr">
        <is>
          <t>PAÑOS DE LIMPIEZA DE ALTA PERFORMANCE</t>
        </is>
      </c>
      <c r="B86" s="223" t="n"/>
      <c r="C86" s="223" t="n"/>
      <c r="D86" s="215" t="n"/>
      <c r="E86" s="223" t="n"/>
      <c r="F86" s="222" t="n"/>
      <c r="G86" s="222" t="n"/>
      <c r="H86" s="222" t="n"/>
      <c r="I86" s="223" t="n"/>
      <c r="K86" s="200" t="n"/>
      <c r="L86" s="200" t="n"/>
      <c r="M86" s="200" t="n"/>
      <c r="N86" s="200" t="n"/>
      <c r="S86" s="223" t="n"/>
      <c r="T86" s="223" t="n"/>
      <c r="U86" s="223" t="n"/>
      <c r="V86" s="223" t="n"/>
      <c r="W86" s="223" t="n"/>
      <c r="X86" s="223" t="n"/>
    </row>
    <row r="87">
      <c r="A87" s="131" t="n"/>
      <c r="B87" s="223" t="n"/>
      <c r="C87" s="223" t="n"/>
      <c r="D87" s="215" t="n"/>
      <c r="E87" s="223" t="n"/>
      <c r="F87" s="222" t="n"/>
      <c r="G87" s="222" t="n"/>
      <c r="H87" s="222" t="n"/>
      <c r="I87" s="223" t="n"/>
      <c r="K87" s="200" t="n"/>
      <c r="L87" s="200" t="n"/>
      <c r="M87" s="200" t="n"/>
      <c r="N87" s="200" t="n"/>
      <c r="S87" s="223" t="n"/>
      <c r="T87" s="223" t="n"/>
      <c r="U87" s="223" t="n"/>
      <c r="V87" s="223" t="n"/>
      <c r="W87" s="223" t="n"/>
      <c r="X87" s="223" t="n"/>
    </row>
    <row r="88">
      <c r="A88" s="157" t="inlineStr">
        <is>
          <t>Linea Softclean</t>
        </is>
      </c>
      <c r="C88" s="158" t="n"/>
      <c r="D88" s="215" t="n"/>
      <c r="E88" s="223" t="n"/>
      <c r="F88" s="222" t="n"/>
      <c r="G88" s="222" t="n"/>
      <c r="H88" s="222" t="n"/>
      <c r="I88" s="223" t="n"/>
      <c r="K88" s="197" t="inlineStr">
        <is>
          <t>U$S</t>
        </is>
      </c>
      <c r="L88" s="190" t="n"/>
      <c r="M88" s="190" t="n"/>
      <c r="N88" s="234" t="n"/>
      <c r="S88" s="223" t="n"/>
      <c r="T88" s="223" t="n"/>
      <c r="U88" s="223" t="n"/>
      <c r="V88" s="223" t="n"/>
      <c r="W88" s="223" t="n"/>
      <c r="X88" s="223" t="n"/>
    </row>
    <row r="89">
      <c r="A89" s="186" t="n">
        <v>601</v>
      </c>
      <c r="B89" s="223" t="inlineStr">
        <is>
          <t>Rollo precortado Maxi blanco 30 x 38 x 500 softclean</t>
        </is>
      </c>
      <c r="D89" s="215">
        <f>N89*0.93*0.98</f>
        <v/>
      </c>
      <c r="E89" s="223" t="n"/>
      <c r="F89" s="218">
        <f>D89*1.3*1.105</f>
        <v/>
      </c>
      <c r="G89" s="219">
        <f>D89*1.3*1.105/0.9</f>
        <v/>
      </c>
      <c r="H89" s="220">
        <f>G89*1.21</f>
        <v/>
      </c>
      <c r="I89" s="215">
        <f>ROUND(H89/100,0)*100</f>
        <v/>
      </c>
      <c r="K89" s="239" t="n">
        <v>68.04000000000001</v>
      </c>
      <c r="L89" s="268" t="n">
        <v>61.24</v>
      </c>
      <c r="M89" s="268" t="n">
        <v>57.83</v>
      </c>
      <c r="N89" s="255" t="n">
        <v>54.43</v>
      </c>
      <c r="S89" s="223" t="n"/>
      <c r="T89" s="223" t="n"/>
      <c r="U89" s="223" t="n"/>
      <c r="V89" s="223" t="n"/>
      <c r="W89" s="223" t="n"/>
      <c r="X89" s="223" t="n"/>
    </row>
    <row r="90">
      <c r="A90" s="242" t="n">
        <v>605</v>
      </c>
      <c r="B90" s="224" t="inlineStr">
        <is>
          <t>Caja x 250 Paños Ultratex de 34cm x 60cm</t>
        </is>
      </c>
      <c r="D90" s="227">
        <f>N90*0.93*0.98</f>
        <v/>
      </c>
      <c r="E90" s="224" t="n"/>
      <c r="F90" s="228">
        <f>D90*1.3*1.105</f>
        <v/>
      </c>
      <c r="G90" s="226">
        <f>D90*1.3*1.105/0.9</f>
        <v/>
      </c>
      <c r="H90" s="227">
        <f>G90*1.21</f>
        <v/>
      </c>
      <c r="I90" s="227">
        <f>ROUND(H90/100,0)*100</f>
        <v/>
      </c>
      <c r="J90" s="193" t="n"/>
      <c r="K90" s="239" t="n">
        <v>264.35</v>
      </c>
      <c r="L90" s="268" t="n">
        <v>237.92</v>
      </c>
      <c r="M90" s="268" t="n">
        <v>224.7</v>
      </c>
      <c r="N90" s="255" t="n">
        <v>211.48</v>
      </c>
      <c r="O90" s="193" t="n"/>
      <c r="P90" s="193" t="n"/>
      <c r="Q90" s="193" t="n"/>
      <c r="R90" s="193" t="n"/>
      <c r="S90" s="224" t="n"/>
      <c r="T90" s="224" t="n"/>
      <c r="U90" s="224" t="n"/>
      <c r="V90" s="224" t="n"/>
      <c r="W90" s="224" t="n"/>
      <c r="X90" s="224" t="n"/>
      <c r="Y90" s="193" t="n"/>
    </row>
    <row r="91">
      <c r="A91" s="186" t="n">
        <v>606</v>
      </c>
      <c r="B91" s="223" t="inlineStr">
        <is>
          <t>Caja x 300 Paños Ultratex de 45,7cm x 53,3cm</t>
        </is>
      </c>
      <c r="D91" s="215">
        <f>N91*0.93*0.98</f>
        <v/>
      </c>
      <c r="E91" s="223" t="n"/>
      <c r="F91" s="218">
        <f>D91*1.3*1.105</f>
        <v/>
      </c>
      <c r="G91" s="219">
        <f>D91*1.3*1.105/0.9</f>
        <v/>
      </c>
      <c r="H91" s="220">
        <f>G91*1.21</f>
        <v/>
      </c>
      <c r="I91" s="215">
        <f>ROUND(H91/100,0)*100</f>
        <v/>
      </c>
      <c r="K91" s="239" t="n">
        <v>374</v>
      </c>
      <c r="L91" s="268" t="n">
        <v>336.6</v>
      </c>
      <c r="M91" s="268" t="n">
        <v>317.9</v>
      </c>
      <c r="N91" s="255" t="n">
        <v>299.2</v>
      </c>
      <c r="S91" s="223" t="n"/>
      <c r="T91" s="223" t="n"/>
      <c r="U91" s="223" t="n"/>
      <c r="V91" s="223" t="n"/>
      <c r="W91" s="223" t="n"/>
      <c r="X91" s="223" t="n"/>
    </row>
    <row r="92">
      <c r="A92" s="186" t="n">
        <v>608</v>
      </c>
      <c r="B92" s="223" t="inlineStr">
        <is>
          <t>Repuesto x 2 rollos Softclean x 350 mts</t>
        </is>
      </c>
      <c r="D92" s="215">
        <f>N92*0.93*0.98</f>
        <v/>
      </c>
      <c r="E92" s="223" t="n"/>
      <c r="F92" s="218">
        <f>D92*1.3*1.105</f>
        <v/>
      </c>
      <c r="G92" s="219">
        <f>D92*1.3*1.105/0.9</f>
        <v/>
      </c>
      <c r="H92" s="220">
        <f>G92*1.21</f>
        <v/>
      </c>
      <c r="I92" s="215">
        <f>ROUND(H92/100,0)*100</f>
        <v/>
      </c>
      <c r="K92" s="239" t="n">
        <v>61.79</v>
      </c>
      <c r="L92" s="268" t="n">
        <v>55.61</v>
      </c>
      <c r="M92" s="268" t="n">
        <v>52.52</v>
      </c>
      <c r="N92" s="255" t="n">
        <v>49.43</v>
      </c>
      <c r="S92" s="223" t="n"/>
      <c r="T92" s="223" t="n"/>
      <c r="U92" s="223" t="n"/>
      <c r="V92" s="223" t="n"/>
      <c r="W92" s="223" t="n"/>
      <c r="X92" s="223" t="n"/>
    </row>
    <row r="93">
      <c r="A93" s="186" t="n">
        <v>612</v>
      </c>
      <c r="B93" s="223" t="inlineStr">
        <is>
          <t>Contenedor Mini Softclean x 150 porc. 13 x 26.5cm</t>
        </is>
      </c>
      <c r="D93" s="215">
        <f>N93*0.93*0.98</f>
        <v/>
      </c>
      <c r="E93" s="223" t="n"/>
      <c r="F93" s="218">
        <f>D93*1.3*1.105</f>
        <v/>
      </c>
      <c r="G93" s="219">
        <f>D93*1.3*1.105/0.9</f>
        <v/>
      </c>
      <c r="H93" s="220">
        <f>G93*1.21</f>
        <v/>
      </c>
      <c r="I93" s="215">
        <f>ROUND(H93/100,0)*100</f>
        <v/>
      </c>
      <c r="K93" s="239" t="n">
        <v>9.41</v>
      </c>
      <c r="L93" s="268" t="n">
        <v>8.470000000000001</v>
      </c>
      <c r="M93" s="268" t="n">
        <v>8</v>
      </c>
      <c r="N93" s="255" t="n">
        <v>7.53</v>
      </c>
      <c r="S93" s="223" t="n"/>
      <c r="T93" s="223" t="n"/>
      <c r="U93" s="223" t="n"/>
      <c r="V93" s="223" t="n"/>
      <c r="W93" s="223" t="n"/>
      <c r="X93" s="223" t="n"/>
    </row>
    <row r="94">
      <c r="A94" s="186" t="n">
        <v>614</v>
      </c>
      <c r="B94" s="223" t="inlineStr">
        <is>
          <t>Rollo SoftClean S 70x 875 Porciones de 30x 25</t>
        </is>
      </c>
      <c r="D94" s="215">
        <f>N94*0.93*0.98</f>
        <v/>
      </c>
      <c r="E94" s="223" t="n"/>
      <c r="F94" s="218">
        <f>D94*1.3*1.105</f>
        <v/>
      </c>
      <c r="G94" s="219">
        <f>D94*1.3*1.105/0.9</f>
        <v/>
      </c>
      <c r="H94" s="220">
        <f>G94*1.21</f>
        <v/>
      </c>
      <c r="I94" s="215">
        <f>ROUND(H94/100,0)*100</f>
        <v/>
      </c>
      <c r="K94" s="239" t="n">
        <v>74.44</v>
      </c>
      <c r="L94" s="268" t="n">
        <v>67</v>
      </c>
      <c r="M94" s="268" t="n">
        <v>63.27</v>
      </c>
      <c r="N94" s="255" t="n">
        <v>59.55</v>
      </c>
      <c r="S94" s="223" t="n"/>
      <c r="T94" s="223" t="n"/>
      <c r="U94" s="223" t="n"/>
      <c r="V94" s="223" t="n"/>
      <c r="W94" s="223" t="n"/>
      <c r="X94" s="223" t="n"/>
    </row>
    <row r="95">
      <c r="A95" s="186" t="n">
        <v>615</v>
      </c>
      <c r="B95" s="223" t="inlineStr">
        <is>
          <t>Contenedor Center Softclean x 350 22,5 x26,5</t>
        </is>
      </c>
      <c r="D95" s="215">
        <f>N95*0.93*0.98</f>
        <v/>
      </c>
      <c r="E95" s="223" t="n"/>
      <c r="F95" s="218">
        <f>D95*1.3*1.105</f>
        <v/>
      </c>
      <c r="G95" s="219">
        <f>D95*1.3*1.105/0.9</f>
        <v/>
      </c>
      <c r="H95" s="220">
        <f>G95*1.21</f>
        <v/>
      </c>
      <c r="I95" s="215">
        <f>ROUND(H95/100,0)*100</f>
        <v/>
      </c>
      <c r="K95" s="239" t="n">
        <v>32.37</v>
      </c>
      <c r="L95" s="268" t="n">
        <v>29.13</v>
      </c>
      <c r="M95" s="268" t="n">
        <v>27.51</v>
      </c>
      <c r="N95" s="255" t="n">
        <v>25.9</v>
      </c>
      <c r="S95" s="223" t="n"/>
      <c r="T95" s="223" t="n"/>
      <c r="U95" s="223" t="n"/>
      <c r="V95" s="223" t="n"/>
      <c r="W95" s="223" t="n"/>
      <c r="X95" s="223" t="n"/>
    </row>
    <row r="96">
      <c r="A96" s="186" t="n">
        <v>616</v>
      </c>
      <c r="B96" s="223" t="inlineStr">
        <is>
          <t>Rollo Mini Sofclean x 190 porciones de 22,5 x 26,5</t>
        </is>
      </c>
      <c r="D96" s="215">
        <f>N96*0.93*0.98</f>
        <v/>
      </c>
      <c r="E96" s="223" t="n"/>
      <c r="F96" s="218">
        <f>D96*1.3*1.105</f>
        <v/>
      </c>
      <c r="G96" s="219">
        <f>D96*1.3*1.105/0.9</f>
        <v/>
      </c>
      <c r="H96" s="220">
        <f>G96*1.21</f>
        <v/>
      </c>
      <c r="I96" s="215">
        <f>ROUND(H96/100,0)*100</f>
        <v/>
      </c>
      <c r="K96" s="239" t="n">
        <v>16.18</v>
      </c>
      <c r="L96" s="268" t="n">
        <v>14.56</v>
      </c>
      <c r="M96" s="268" t="n">
        <v>13.75</v>
      </c>
      <c r="N96" s="255" t="n">
        <v>12.94</v>
      </c>
      <c r="S96" s="223" t="n"/>
      <c r="T96" s="223" t="n"/>
      <c r="U96" s="223" t="n"/>
      <c r="V96" s="223" t="n"/>
      <c r="W96" s="223" t="n"/>
      <c r="X96" s="223" t="n"/>
    </row>
    <row r="97">
      <c r="A97" s="242" t="n">
        <v>617</v>
      </c>
      <c r="B97" s="224" t="inlineStr">
        <is>
          <t>Caja 1/4 Folded Softclean 500 30 x 30 cm Celeste</t>
        </is>
      </c>
      <c r="D97" s="227">
        <f>N97*0.93*0.98</f>
        <v/>
      </c>
      <c r="E97" s="224" t="n"/>
      <c r="F97" s="228">
        <f>D97*1.3*1.105</f>
        <v/>
      </c>
      <c r="G97" s="226">
        <f>D97*1.3*1.105/0.9</f>
        <v/>
      </c>
      <c r="H97" s="227">
        <f>G97*1.21</f>
        <v/>
      </c>
      <c r="I97" s="227">
        <f>ROUND(H97/100,0)*100</f>
        <v/>
      </c>
      <c r="J97" s="193" t="n"/>
      <c r="K97" s="239" t="n">
        <v>53.7</v>
      </c>
      <c r="L97" s="268" t="n">
        <v>48.33</v>
      </c>
      <c r="M97" s="268" t="n">
        <v>45.65</v>
      </c>
      <c r="N97" s="255" t="n">
        <v>42.96</v>
      </c>
      <c r="O97" s="193" t="n"/>
      <c r="P97" s="193" t="n"/>
      <c r="Q97" s="193" t="n"/>
      <c r="R97" s="193" t="n"/>
      <c r="S97" s="224" t="n"/>
      <c r="T97" s="224" t="n"/>
      <c r="U97" s="224" t="n"/>
      <c r="V97" s="224" t="n"/>
      <c r="W97" s="224" t="n"/>
      <c r="X97" s="224" t="n"/>
      <c r="Y97" s="193" t="n"/>
    </row>
    <row r="98">
      <c r="A98" s="186" t="n">
        <v>618</v>
      </c>
      <c r="B98" s="223" t="inlineStr">
        <is>
          <t>Rollo Precortado Softclean 600 porciones de 30x 26,5</t>
        </is>
      </c>
      <c r="D98" s="215">
        <f>N98*0.93*0.98</f>
        <v/>
      </c>
      <c r="E98" s="223" t="n"/>
      <c r="F98" s="218">
        <f>D98*1.3*1.105</f>
        <v/>
      </c>
      <c r="G98" s="219">
        <f>D98*1.3*1.105/0.9</f>
        <v/>
      </c>
      <c r="H98" s="220">
        <f>G98*1.21</f>
        <v/>
      </c>
      <c r="I98" s="215">
        <f>ROUND(H98/100,0)*100</f>
        <v/>
      </c>
      <c r="K98" s="239" t="n">
        <v>53.7</v>
      </c>
      <c r="L98" s="268" t="n">
        <v>48.33</v>
      </c>
      <c r="M98" s="268" t="n">
        <v>45.65</v>
      </c>
      <c r="N98" s="255" t="n">
        <v>42.96</v>
      </c>
      <c r="S98" s="223" t="n"/>
      <c r="T98" s="223" t="n"/>
      <c r="U98" s="223" t="n"/>
      <c r="V98" s="223" t="n"/>
      <c r="W98" s="223" t="n"/>
      <c r="X98" s="223" t="n"/>
    </row>
    <row r="99">
      <c r="A99" s="186" t="n"/>
      <c r="B99" s="223" t="n"/>
      <c r="C99" s="223" t="n"/>
      <c r="D99" s="215" t="n"/>
      <c r="E99" s="223" t="n"/>
      <c r="F99" s="222" t="n"/>
      <c r="G99" s="222" t="n"/>
      <c r="H99" s="222" t="n"/>
      <c r="I99" s="223" t="n"/>
      <c r="K99" s="195" t="n"/>
      <c r="L99" s="195" t="n"/>
      <c r="M99" s="195" t="n"/>
      <c r="N99" s="255" t="n"/>
      <c r="S99" s="223" t="n"/>
      <c r="T99" s="223" t="n"/>
      <c r="U99" s="223" t="n"/>
      <c r="V99" s="223" t="n"/>
      <c r="W99" s="223" t="n"/>
      <c r="X99" s="223" t="n"/>
    </row>
    <row r="100">
      <c r="A100" s="168" t="inlineStr">
        <is>
          <t>Linea Sontara</t>
        </is>
      </c>
      <c r="C100" s="158" t="n"/>
      <c r="D100" s="215" t="n"/>
      <c r="E100" s="223" t="n"/>
      <c r="F100" s="222" t="n"/>
      <c r="G100" s="222" t="n"/>
      <c r="H100" s="222" t="n"/>
      <c r="I100" s="223" t="n"/>
      <c r="K100" s="197" t="n"/>
      <c r="L100" s="197" t="n"/>
      <c r="M100" s="197" t="n"/>
      <c r="N100" s="245" t="n"/>
      <c r="S100" s="223" t="n"/>
      <c r="T100" s="223" t="n"/>
      <c r="U100" s="223" t="n"/>
      <c r="V100" s="223" t="n"/>
      <c r="W100" s="223" t="n"/>
      <c r="X100" s="223" t="n"/>
    </row>
    <row r="101">
      <c r="A101" s="186" t="n">
        <v>604</v>
      </c>
      <c r="B101" s="223" t="inlineStr">
        <is>
          <t>Rollo precortado Maxi de 30 x38 blanco</t>
        </is>
      </c>
      <c r="D101" s="215">
        <f>N101*0.93</f>
        <v/>
      </c>
      <c r="E101" s="223" t="n"/>
      <c r="F101" s="218">
        <f>D101*1.3*1.105</f>
        <v/>
      </c>
      <c r="G101" s="219">
        <f>D101*1.3*1.105/0.9</f>
        <v/>
      </c>
      <c r="H101" s="220">
        <f>G101*1.21</f>
        <v/>
      </c>
      <c r="I101" s="215">
        <f>ROUND(H101/100,0)*100</f>
        <v/>
      </c>
      <c r="K101" s="250" t="n">
        <v>131.28</v>
      </c>
      <c r="L101" s="247" t="n">
        <v>118.15</v>
      </c>
      <c r="M101" s="247" t="n">
        <v>111.59</v>
      </c>
      <c r="N101" s="255" t="n">
        <v>105.02</v>
      </c>
      <c r="S101" s="223" t="n"/>
      <c r="T101" s="223" t="n"/>
      <c r="U101" s="223" t="n"/>
      <c r="V101" s="223" t="n"/>
      <c r="W101" s="223" t="n"/>
      <c r="X101" s="223" t="n"/>
    </row>
    <row r="102">
      <c r="A102" s="186" t="n">
        <v>619</v>
      </c>
      <c r="B102" s="223" t="inlineStr">
        <is>
          <t>Centerfeed Sontara Celeste 350 porc22,5 x 26,5</t>
        </is>
      </c>
      <c r="D102" s="215">
        <f>N102*0.93</f>
        <v/>
      </c>
      <c r="E102" s="223" t="n"/>
      <c r="F102" s="218">
        <f>D102*1.3*1.105</f>
        <v/>
      </c>
      <c r="G102" s="219">
        <f>D102*1.3*1.105/0.9</f>
        <v/>
      </c>
      <c r="H102" s="220">
        <f>G102*1.21</f>
        <v/>
      </c>
      <c r="I102" s="215">
        <f>ROUND(H102/100,0)*100</f>
        <v/>
      </c>
      <c r="K102" s="239" t="n">
        <v>66.59</v>
      </c>
      <c r="L102" s="268" t="n">
        <v>59.93</v>
      </c>
      <c r="M102" s="268" t="n">
        <v>56.6</v>
      </c>
      <c r="N102" s="255" t="n">
        <v>53.27</v>
      </c>
      <c r="S102" s="223" t="n"/>
      <c r="T102" s="223" t="n"/>
      <c r="U102" s="223" t="n"/>
      <c r="V102" s="223" t="n"/>
      <c r="W102" s="223" t="n"/>
      <c r="X102" s="223" t="n"/>
    </row>
    <row r="103">
      <c r="A103" s="186" t="n">
        <v>620</v>
      </c>
      <c r="B103" s="223" t="inlineStr">
        <is>
          <t>Rollo prec Sontara por 600 porc 30 x26,5 celeste</t>
        </is>
      </c>
      <c r="D103" s="215">
        <f>N103*0.93</f>
        <v/>
      </c>
      <c r="E103" s="223" t="n"/>
      <c r="F103" s="218">
        <f>D103*1.3*1.105</f>
        <v/>
      </c>
      <c r="G103" s="219">
        <f>D103*1.3*1.105/0.9</f>
        <v/>
      </c>
      <c r="H103" s="220">
        <f>G103*1.21</f>
        <v/>
      </c>
      <c r="I103" s="215">
        <f>ROUND(H103/100,0)*100</f>
        <v/>
      </c>
      <c r="K103" s="239" t="n">
        <v>123.62</v>
      </c>
      <c r="L103" s="268" t="n">
        <v>111.26</v>
      </c>
      <c r="M103" s="268" t="n">
        <v>105.08</v>
      </c>
      <c r="N103" s="255" t="n">
        <v>98.90000000000001</v>
      </c>
      <c r="S103" s="223" t="n"/>
      <c r="T103" s="223" t="n"/>
      <c r="U103" s="223" t="n"/>
      <c r="V103" s="223" t="n"/>
      <c r="W103" s="223" t="n"/>
      <c r="X103" s="223" t="n"/>
    </row>
    <row r="104">
      <c r="A104" s="186" t="n">
        <v>621</v>
      </c>
      <c r="B104" s="223" t="inlineStr">
        <is>
          <t>Rollo Sontara Mini x 190 porc 22,5 x26,5 celeste</t>
        </is>
      </c>
      <c r="D104" s="215">
        <f>N104*0.93</f>
        <v/>
      </c>
      <c r="E104" s="223" t="n"/>
      <c r="F104" s="218">
        <f>D104*1.3*1.105</f>
        <v/>
      </c>
      <c r="G104" s="219">
        <f>D104*1.3*1.105/0.9</f>
        <v/>
      </c>
      <c r="H104" s="220">
        <f>G104*1.21</f>
        <v/>
      </c>
      <c r="I104" s="215">
        <f>ROUND(H104/100,0)*100</f>
        <v/>
      </c>
      <c r="K104" s="239" t="n">
        <v>30.26</v>
      </c>
      <c r="L104" s="268" t="n">
        <v>27.23</v>
      </c>
      <c r="M104" s="268" t="n">
        <v>25.72</v>
      </c>
      <c r="N104" s="255" t="n">
        <v>24.21</v>
      </c>
      <c r="S104" s="223" t="n"/>
      <c r="T104" s="223" t="n"/>
      <c r="U104" s="223" t="n"/>
      <c r="V104" s="223" t="n"/>
      <c r="W104" s="223" t="n"/>
      <c r="X104" s="223" t="n"/>
    </row>
    <row r="105">
      <c r="A105" s="186" t="n">
        <v>627</v>
      </c>
      <c r="B105" s="223" t="inlineStr">
        <is>
          <t>SMP 300 Paños de 22,5 cm x 22,5 cm</t>
        </is>
      </c>
      <c r="D105" s="215">
        <f>N105*0.93</f>
        <v/>
      </c>
      <c r="E105" s="223" t="n"/>
      <c r="F105" s="218">
        <f>D105*1.3*1.105</f>
        <v/>
      </c>
      <c r="G105" s="219">
        <f>D105*1.3*1.105/0.9</f>
        <v/>
      </c>
      <c r="H105" s="220">
        <f>G105*1.21</f>
        <v/>
      </c>
      <c r="I105" s="215">
        <f>ROUND(H105/100,0)*100</f>
        <v/>
      </c>
      <c r="K105" s="239" t="n">
        <v>79.90000000000001</v>
      </c>
      <c r="L105" s="268" t="n">
        <v>71.91</v>
      </c>
      <c r="M105" s="268" t="n">
        <v>67.92</v>
      </c>
      <c r="N105" s="255" t="n">
        <v>63.92</v>
      </c>
      <c r="S105" s="223" t="n"/>
      <c r="T105" s="223" t="n"/>
      <c r="U105" s="223" t="n"/>
      <c r="V105" s="223" t="n"/>
      <c r="W105" s="223" t="n"/>
      <c r="X105" s="103" t="n"/>
    </row>
    <row r="106">
      <c r="A106" s="171" t="n">
        <v>645</v>
      </c>
      <c r="B106" s="175" t="inlineStr">
        <is>
          <t>Caja por 500Paños Sontara de 30 x 30 cm celeste</t>
        </is>
      </c>
      <c r="D106" s="215">
        <f>N106*0.93</f>
        <v/>
      </c>
      <c r="E106" s="223" t="n"/>
      <c r="F106" s="218">
        <f>D106*1.3*1.105</f>
        <v/>
      </c>
      <c r="G106" s="219">
        <f>D106*1.3*1.105/0.9</f>
        <v/>
      </c>
      <c r="H106" s="220">
        <f>G106*1.21</f>
        <v/>
      </c>
      <c r="I106" s="215">
        <f>ROUND(H106/100,0)*100</f>
        <v/>
      </c>
      <c r="K106" s="239" t="n">
        <v>87.89</v>
      </c>
      <c r="L106" s="268" t="n">
        <v>79.09999999999999</v>
      </c>
      <c r="M106" s="268" t="n">
        <v>74.70999999999999</v>
      </c>
      <c r="N106" s="255" t="n">
        <v>70.31</v>
      </c>
      <c r="S106" s="223" t="n"/>
      <c r="T106" s="223" t="n"/>
      <c r="U106" s="223" t="n"/>
      <c r="V106" s="223" t="n"/>
      <c r="W106" s="223" t="n"/>
      <c r="X106" s="223" t="n"/>
    </row>
    <row r="107">
      <c r="A107" s="186" t="n">
        <v>656</v>
      </c>
      <c r="B107" s="175" t="inlineStr">
        <is>
          <t>Caja por 400 Paños Sontara de 30 x 30 cm Blancos</t>
        </is>
      </c>
      <c r="D107" s="215">
        <f>N107*0.93</f>
        <v/>
      </c>
      <c r="E107" s="223" t="n"/>
      <c r="F107" s="218">
        <f>D107*1.3*1.105</f>
        <v/>
      </c>
      <c r="G107" s="219">
        <f>D107*1.3*1.105/0.9</f>
        <v/>
      </c>
      <c r="H107" s="220">
        <f>G107*1.21</f>
        <v/>
      </c>
      <c r="I107" s="215">
        <f>ROUND(H107/100,0)*100</f>
        <v/>
      </c>
      <c r="K107" s="239" t="n">
        <v>85.06</v>
      </c>
      <c r="L107" s="268" t="n">
        <v>76.55</v>
      </c>
      <c r="M107" s="268" t="n">
        <v>72.3</v>
      </c>
      <c r="N107" s="255" t="n">
        <v>68.05</v>
      </c>
      <c r="S107" s="223" t="n"/>
      <c r="T107" s="223" t="n"/>
      <c r="U107" s="223" t="n"/>
      <c r="V107" s="223" t="n"/>
      <c r="W107" s="223" t="n"/>
      <c r="X107" s="223" t="n"/>
    </row>
    <row r="108">
      <c r="A108" s="223" t="n"/>
      <c r="B108" s="175" t="n"/>
      <c r="C108" s="175" t="n"/>
      <c r="D108" s="215" t="n"/>
      <c r="E108" s="223" t="n"/>
      <c r="F108" s="223" t="n"/>
      <c r="G108" s="223" t="n"/>
      <c r="H108" s="223" t="n"/>
      <c r="I108" s="223" t="n"/>
      <c r="K108" s="223" t="n"/>
      <c r="L108" s="223" t="n"/>
      <c r="M108" s="223" t="n"/>
      <c r="N108" s="223" t="n"/>
      <c r="S108" s="223" t="n"/>
      <c r="T108" s="223" t="n"/>
      <c r="U108" s="223" t="n"/>
      <c r="V108" s="223" t="n"/>
      <c r="W108" s="223" t="n"/>
      <c r="X108" s="223" t="n"/>
    </row>
    <row r="109">
      <c r="A109" s="223" t="n"/>
      <c r="B109" s="175" t="n"/>
      <c r="C109" s="223" t="n"/>
      <c r="D109" s="215" t="n"/>
      <c r="E109" s="223" t="n"/>
      <c r="F109" s="223" t="n"/>
      <c r="G109" s="223" t="n"/>
      <c r="H109" s="223" t="n"/>
      <c r="I109" s="223" t="n"/>
      <c r="K109" s="223" t="n"/>
      <c r="L109" s="223" t="n"/>
      <c r="M109" s="223" t="n"/>
      <c r="N109" s="223" t="n"/>
      <c r="S109" s="223" t="n"/>
      <c r="T109" s="223" t="n"/>
      <c r="U109" s="223" t="n"/>
      <c r="V109" s="223" t="n"/>
      <c r="W109" s="223" t="n"/>
      <c r="X109" s="223" t="n"/>
    </row>
    <row r="110">
      <c r="A110" s="223" t="n"/>
      <c r="B110" s="175" t="n"/>
      <c r="C110" s="223" t="n"/>
      <c r="D110" s="215" t="n"/>
      <c r="E110" s="223" t="n"/>
      <c r="F110" s="223" t="n"/>
      <c r="G110" s="223" t="n"/>
      <c r="H110" s="223" t="n"/>
      <c r="I110" s="223" t="n"/>
      <c r="K110" s="223" t="n"/>
      <c r="L110" s="223" t="n"/>
      <c r="M110" s="223" t="n"/>
      <c r="N110" s="223" t="n"/>
      <c r="S110" s="223" t="n"/>
      <c r="T110" s="223" t="n"/>
      <c r="U110" s="223" t="n"/>
      <c r="V110" s="223" t="n"/>
      <c r="W110" s="223" t="n"/>
      <c r="X110" s="223" t="n"/>
    </row>
    <row r="111">
      <c r="A111" s="248" t="inlineStr">
        <is>
          <t>LOS PRECIOS NO INCLUYEN I.V.A.</t>
        </is>
      </c>
      <c r="B111" s="272" t="n"/>
      <c r="C111" s="179" t="n"/>
      <c r="D111" s="215" t="n"/>
      <c r="E111" s="223" t="n"/>
      <c r="F111" s="223" t="n"/>
      <c r="G111" s="223" t="n"/>
      <c r="H111" s="223" t="n"/>
      <c r="I111" s="223" t="n"/>
      <c r="K111" s="223" t="n"/>
      <c r="L111" s="223" t="n"/>
      <c r="M111" s="223" t="n"/>
      <c r="N111" s="223" t="n"/>
      <c r="S111" s="223" t="n"/>
      <c r="T111" s="223" t="n"/>
      <c r="U111" s="223" t="n"/>
      <c r="V111" s="223" t="n"/>
      <c r="W111" s="223" t="n"/>
      <c r="X111" s="223" t="n"/>
    </row>
    <row r="112">
      <c r="A112" s="180" t="inlineStr">
        <is>
          <t>CONDICION DE PAGO: PAGO CONTADO 7% DE DESCUENTO</t>
        </is>
      </c>
      <c r="B112" s="273" t="n"/>
      <c r="C112" s="273" t="n"/>
      <c r="D112" s="215" t="n"/>
      <c r="E112" s="223" t="n"/>
      <c r="F112" s="223" t="n"/>
      <c r="G112" s="223" t="n"/>
      <c r="H112" s="223" t="n"/>
      <c r="I112" s="223" t="n"/>
      <c r="K112" s="223" t="n"/>
      <c r="L112" s="195" t="n"/>
      <c r="M112" s="223" t="n"/>
      <c r="N112" s="223" t="n"/>
      <c r="S112" s="223" t="n"/>
      <c r="T112" s="223" t="n"/>
      <c r="U112" s="223" t="n"/>
      <c r="V112" s="223" t="n"/>
      <c r="W112" s="223" t="n"/>
      <c r="X112" s="223" t="n"/>
    </row>
    <row r="113">
      <c r="A113" s="248" t="n"/>
      <c r="B113" s="179" t="n"/>
      <c r="C113" s="179" t="n"/>
      <c r="D113" s="215" t="n"/>
      <c r="E113" s="223" t="n"/>
      <c r="F113" s="223" t="n"/>
      <c r="G113" s="223" t="n"/>
      <c r="H113" s="223" t="n"/>
      <c r="I113" s="223" t="n"/>
      <c r="K113" s="223" t="n"/>
      <c r="L113" s="223" t="n"/>
      <c r="M113" s="223" t="n"/>
      <c r="N113" s="223" t="n"/>
      <c r="S113" s="223" t="n"/>
      <c r="T113" s="223" t="n"/>
      <c r="U113" s="223" t="n"/>
      <c r="V113" s="223" t="n"/>
      <c r="W113" s="223" t="n"/>
      <c r="X113" s="223" t="n"/>
    </row>
    <row r="114">
      <c r="A114" s="223" t="n"/>
      <c r="B114" s="223" t="n"/>
      <c r="C114" s="223" t="n"/>
      <c r="D114" s="215" t="n"/>
      <c r="E114" s="223" t="n"/>
      <c r="F114" s="223" t="n"/>
      <c r="G114" s="223" t="n"/>
      <c r="H114" s="223" t="n"/>
      <c r="I114" s="223" t="n"/>
      <c r="K114" s="223" t="n"/>
      <c r="L114" s="223" t="n"/>
      <c r="M114" s="223" t="n"/>
      <c r="N114" s="223" t="n"/>
      <c r="S114" s="223" t="n"/>
      <c r="T114" s="223" t="n"/>
      <c r="U114" s="223" t="n"/>
      <c r="V114" s="223" t="n"/>
      <c r="W114" s="223" t="n"/>
      <c r="X114" s="223" t="n"/>
    </row>
    <row r="115">
      <c r="A115" s="223" t="n"/>
      <c r="B115" s="223" t="n"/>
      <c r="C115" s="223" t="n"/>
      <c r="D115" s="215" t="n"/>
      <c r="E115" s="223" t="n"/>
      <c r="F115" s="223" t="n"/>
      <c r="G115" s="223" t="n"/>
      <c r="H115" s="223" t="n"/>
      <c r="I115" s="223" t="n"/>
      <c r="K115" s="223" t="n"/>
      <c r="L115" s="223" t="n"/>
      <c r="M115" s="223" t="n"/>
      <c r="N115" s="223" t="n"/>
      <c r="S115" s="223" t="n"/>
      <c r="T115" s="223" t="n"/>
      <c r="U115" s="223" t="n"/>
      <c r="V115" s="223" t="n"/>
      <c r="W115" s="223" t="n"/>
      <c r="X115" s="223" t="n"/>
    </row>
    <row r="116">
      <c r="D116" s="87" t="n"/>
    </row>
    <row r="117">
      <c r="D117" s="87" t="n"/>
    </row>
    <row r="118">
      <c r="D118" s="87" t="n"/>
    </row>
    <row r="119">
      <c r="D119" s="87" t="n"/>
    </row>
    <row r="120">
      <c r="D120" s="87" t="n"/>
    </row>
    <row r="121">
      <c r="D121" s="87" t="n"/>
    </row>
    <row r="122">
      <c r="D122" s="87" t="n"/>
    </row>
    <row r="123">
      <c r="D123" s="87" t="n"/>
    </row>
    <row r="124">
      <c r="D124" s="87" t="n"/>
    </row>
    <row r="125">
      <c r="D125" s="87" t="n"/>
    </row>
    <row r="126">
      <c r="D126" s="87" t="n"/>
    </row>
    <row r="127">
      <c r="D127" s="87" t="n"/>
    </row>
    <row r="128">
      <c r="D128" s="87" t="n"/>
    </row>
    <row r="129">
      <c r="D129" s="87" t="n"/>
    </row>
    <row r="130">
      <c r="D130" s="87" t="n"/>
    </row>
    <row r="131">
      <c r="D131" s="87" t="n"/>
    </row>
    <row r="132">
      <c r="D132" s="87" t="n"/>
    </row>
    <row r="133">
      <c r="D133" s="87" t="n"/>
    </row>
    <row r="134">
      <c r="D134" s="87" t="n"/>
    </row>
    <row r="135">
      <c r="D135" s="87" t="n"/>
    </row>
    <row r="136">
      <c r="D136" s="87" t="n"/>
    </row>
    <row r="137">
      <c r="D137" s="87" t="n"/>
    </row>
    <row r="138">
      <c r="D138" s="87" t="n"/>
    </row>
    <row r="139">
      <c r="D139" s="87" t="n"/>
    </row>
    <row r="140">
      <c r="D140" s="87" t="n"/>
    </row>
    <row r="141">
      <c r="D141" s="87" t="n"/>
    </row>
    <row r="142">
      <c r="D142" s="87" t="n"/>
    </row>
    <row r="143">
      <c r="D143" s="87" t="n"/>
    </row>
    <row r="144">
      <c r="D144" s="87" t="n"/>
    </row>
    <row r="145">
      <c r="D145" s="87" t="n"/>
    </row>
    <row r="146">
      <c r="D146" s="87" t="n"/>
    </row>
    <row r="147">
      <c r="D147" s="87" t="n"/>
    </row>
    <row r="148">
      <c r="D148" s="87" t="n"/>
    </row>
    <row r="149">
      <c r="D149" s="87" t="n"/>
    </row>
    <row r="150">
      <c r="D150" s="87" t="n"/>
    </row>
    <row r="151">
      <c r="D151" s="87" t="n"/>
    </row>
    <row r="152">
      <c r="D152" s="87" t="n"/>
    </row>
    <row r="153">
      <c r="D153" s="87" t="n"/>
    </row>
    <row r="154">
      <c r="D154" s="87" t="n"/>
    </row>
    <row r="155">
      <c r="D155" s="87" t="n"/>
    </row>
    <row r="156">
      <c r="D156" s="87" t="n"/>
    </row>
    <row r="157">
      <c r="D157" s="87" t="n"/>
    </row>
    <row r="158">
      <c r="D158" s="87" t="n"/>
    </row>
    <row r="159">
      <c r="D159" s="87" t="n"/>
    </row>
    <row r="160">
      <c r="D160" s="87" t="n"/>
    </row>
    <row r="161">
      <c r="D161" s="87" t="n"/>
    </row>
    <row r="162">
      <c r="D162" s="87" t="n"/>
    </row>
    <row r="163">
      <c r="D163" s="87" t="n"/>
    </row>
    <row r="164">
      <c r="D164" s="87" t="n"/>
    </row>
    <row r="165">
      <c r="D165" s="87" t="n"/>
    </row>
    <row r="166">
      <c r="D166" s="87" t="n"/>
    </row>
    <row r="167">
      <c r="D167" s="87" t="n"/>
    </row>
    <row r="168">
      <c r="D168" s="87" t="n"/>
    </row>
    <row r="169">
      <c r="D169" s="87" t="n"/>
    </row>
    <row r="170">
      <c r="D170" s="87" t="n"/>
    </row>
    <row r="171">
      <c r="D171" s="87" t="n"/>
    </row>
    <row r="172">
      <c r="D172" s="87" t="n"/>
    </row>
    <row r="173">
      <c r="D173" s="87" t="n"/>
    </row>
    <row r="174">
      <c r="D174" s="87" t="n"/>
    </row>
    <row r="175">
      <c r="D175" s="87" t="n"/>
    </row>
    <row r="176">
      <c r="D176" s="87" t="n"/>
    </row>
    <row r="177">
      <c r="D177" s="87" t="n"/>
    </row>
    <row r="178">
      <c r="D178" s="87" t="n"/>
    </row>
    <row r="179">
      <c r="D179" s="87" t="n"/>
    </row>
    <row r="180">
      <c r="D180" s="87" t="n"/>
    </row>
    <row r="181">
      <c r="D181" s="87" t="n"/>
    </row>
    <row r="182">
      <c r="D182" s="87" t="n"/>
    </row>
    <row r="183">
      <c r="D183" s="87" t="n"/>
    </row>
    <row r="184">
      <c r="D184" s="87" t="n"/>
    </row>
    <row r="185">
      <c r="D185" s="87" t="n"/>
    </row>
    <row r="186">
      <c r="D186" s="87" t="n"/>
    </row>
    <row r="187">
      <c r="D187" s="87" t="n"/>
    </row>
    <row r="188">
      <c r="D188" s="87" t="n"/>
    </row>
    <row r="189">
      <c r="D189" s="87" t="n"/>
    </row>
    <row r="190">
      <c r="D190" s="87" t="n"/>
    </row>
    <row r="191">
      <c r="D191" s="87" t="n"/>
    </row>
    <row r="192">
      <c r="D192" s="87" t="n"/>
    </row>
    <row r="193">
      <c r="D193" s="87" t="n"/>
    </row>
    <row r="194">
      <c r="D194" s="87" t="n"/>
    </row>
    <row r="195">
      <c r="D195" s="87" t="n"/>
    </row>
    <row r="196">
      <c r="D196" s="87" t="n"/>
    </row>
    <row r="197">
      <c r="D197" s="87" t="n"/>
    </row>
    <row r="198">
      <c r="D198" s="87" t="n"/>
    </row>
    <row r="199">
      <c r="D199" s="87" t="n"/>
    </row>
    <row r="200">
      <c r="D200" s="87" t="n"/>
    </row>
    <row r="201">
      <c r="D201" s="87" t="n"/>
    </row>
    <row r="202">
      <c r="D202" s="87" t="n"/>
    </row>
    <row r="203">
      <c r="D203" s="87" t="n"/>
    </row>
    <row r="204">
      <c r="D204" s="87" t="n"/>
    </row>
    <row r="205">
      <c r="D205" s="87" t="n"/>
    </row>
    <row r="206">
      <c r="D206" s="87" t="n"/>
    </row>
    <row r="207">
      <c r="D207" s="87" t="n"/>
    </row>
    <row r="208">
      <c r="D208" s="87" t="n"/>
    </row>
    <row r="209">
      <c r="D209" s="87" t="n"/>
    </row>
    <row r="210">
      <c r="D210" s="87" t="n"/>
    </row>
    <row r="211">
      <c r="D211" s="87" t="n"/>
    </row>
    <row r="212">
      <c r="D212" s="87" t="n"/>
    </row>
    <row r="213">
      <c r="D213" s="87" t="n"/>
    </row>
    <row r="214">
      <c r="D214" s="87" t="n"/>
    </row>
    <row r="215">
      <c r="D215" s="87" t="n"/>
    </row>
    <row r="216">
      <c r="D216" s="87" t="n"/>
    </row>
    <row r="217">
      <c r="D217" s="87" t="n"/>
    </row>
    <row r="218">
      <c r="D218" s="87" t="n"/>
    </row>
    <row r="219">
      <c r="D219" s="87" t="n"/>
    </row>
    <row r="220">
      <c r="D220" s="87" t="n"/>
    </row>
    <row r="221">
      <c r="D221" s="87" t="n"/>
    </row>
    <row r="222">
      <c r="D222" s="87" t="n"/>
    </row>
    <row r="223">
      <c r="D223" s="87" t="n"/>
    </row>
    <row r="224">
      <c r="D224" s="87" t="n"/>
    </row>
    <row r="225">
      <c r="D225" s="87" t="n"/>
    </row>
    <row r="226">
      <c r="D226" s="87" t="n"/>
    </row>
    <row r="227">
      <c r="D227" s="87" t="n"/>
    </row>
    <row r="228">
      <c r="D228" s="87" t="n"/>
    </row>
    <row r="229">
      <c r="D229" s="87" t="n"/>
    </row>
    <row r="230">
      <c r="D230" s="87" t="n"/>
    </row>
    <row r="231">
      <c r="D231" s="87" t="n"/>
    </row>
    <row r="232">
      <c r="D232" s="87" t="n"/>
    </row>
    <row r="233">
      <c r="D233" s="87" t="n"/>
    </row>
    <row r="234">
      <c r="D234" s="87" t="n"/>
    </row>
    <row r="235">
      <c r="D235" s="87" t="n"/>
    </row>
    <row r="236">
      <c r="D236" s="87" t="n"/>
    </row>
    <row r="237">
      <c r="D237" s="87" t="n"/>
    </row>
    <row r="238">
      <c r="D238" s="87" t="n"/>
    </row>
    <row r="239">
      <c r="D239" s="87" t="n"/>
    </row>
    <row r="240">
      <c r="D240" s="87" t="n"/>
    </row>
    <row r="241">
      <c r="D241" s="87" t="n"/>
    </row>
    <row r="242">
      <c r="D242" s="87" t="n"/>
    </row>
    <row r="243">
      <c r="D243" s="87" t="n"/>
    </row>
    <row r="244">
      <c r="D244" s="87" t="n"/>
    </row>
    <row r="245">
      <c r="D245" s="87" t="n"/>
    </row>
    <row r="246">
      <c r="D246" s="87" t="n"/>
    </row>
    <row r="247">
      <c r="D247" s="87" t="n"/>
    </row>
    <row r="248">
      <c r="D248" s="87" t="n"/>
    </row>
    <row r="249">
      <c r="D249" s="87" t="n"/>
    </row>
    <row r="250">
      <c r="D250" s="87" t="n"/>
    </row>
    <row r="251">
      <c r="D251" s="87" t="n"/>
    </row>
    <row r="252">
      <c r="D252" s="87" t="n"/>
    </row>
    <row r="253">
      <c r="D253" s="87" t="n"/>
    </row>
    <row r="254">
      <c r="D254" s="87" t="n"/>
    </row>
    <row r="255">
      <c r="D255" s="87" t="n"/>
    </row>
    <row r="256">
      <c r="D256" s="87" t="n"/>
    </row>
    <row r="257">
      <c r="D257" s="87" t="n"/>
    </row>
    <row r="258">
      <c r="D258" s="87" t="n"/>
    </row>
    <row r="259">
      <c r="D259" s="87" t="n"/>
    </row>
    <row r="260">
      <c r="D260" s="87" t="n"/>
    </row>
    <row r="261">
      <c r="D261" s="87" t="n"/>
    </row>
    <row r="262">
      <c r="D262" s="87" t="n"/>
    </row>
    <row r="263">
      <c r="D263" s="87" t="n"/>
    </row>
    <row r="264">
      <c r="D264" s="87" t="n"/>
    </row>
    <row r="265">
      <c r="D265" s="87" t="n"/>
    </row>
    <row r="266">
      <c r="D266" s="87" t="n"/>
    </row>
    <row r="267">
      <c r="D267" s="87" t="n"/>
    </row>
    <row r="268">
      <c r="D268" s="87" t="n"/>
    </row>
    <row r="269">
      <c r="D269" s="87" t="n"/>
    </row>
    <row r="270">
      <c r="D270" s="87" t="n"/>
    </row>
    <row r="271">
      <c r="D271" s="87" t="n"/>
    </row>
    <row r="272">
      <c r="D272" s="87" t="n"/>
    </row>
    <row r="273">
      <c r="D273" s="87" t="n"/>
    </row>
    <row r="274">
      <c r="D274" s="87" t="n"/>
    </row>
    <row r="275">
      <c r="D275" s="87" t="n"/>
    </row>
    <row r="276">
      <c r="D276" s="87" t="n"/>
    </row>
    <row r="277">
      <c r="D277" s="87" t="n"/>
    </row>
    <row r="278">
      <c r="D278" s="87" t="n"/>
    </row>
    <row r="279">
      <c r="D279" s="87" t="n"/>
    </row>
    <row r="280">
      <c r="D280" s="87" t="n"/>
    </row>
    <row r="281">
      <c r="D281" s="87" t="n"/>
    </row>
    <row r="282">
      <c r="D282" s="87" t="n"/>
    </row>
    <row r="283">
      <c r="D283" s="87" t="n"/>
    </row>
    <row r="284">
      <c r="D284" s="87" t="n"/>
    </row>
    <row r="285">
      <c r="D285" s="87" t="n"/>
    </row>
    <row r="286">
      <c r="D286" s="87" t="n"/>
    </row>
    <row r="287">
      <c r="D287" s="87" t="n"/>
    </row>
    <row r="288">
      <c r="D288" s="87" t="n"/>
    </row>
    <row r="289">
      <c r="D289" s="87" t="n"/>
    </row>
    <row r="290">
      <c r="D290" s="87" t="n"/>
    </row>
    <row r="291">
      <c r="D291" s="87" t="n"/>
    </row>
    <row r="292">
      <c r="D292" s="87" t="n"/>
    </row>
    <row r="293">
      <c r="D293" s="87" t="n"/>
    </row>
    <row r="294">
      <c r="D294" s="87" t="n"/>
    </row>
    <row r="295">
      <c r="D295" s="87" t="n"/>
    </row>
    <row r="296">
      <c r="D296" s="87" t="n"/>
    </row>
    <row r="297">
      <c r="D297" s="87" t="n"/>
    </row>
    <row r="298">
      <c r="D298" s="87" t="n"/>
    </row>
    <row r="299">
      <c r="D299" s="87" t="n"/>
    </row>
    <row r="300">
      <c r="D300" s="87" t="n"/>
    </row>
    <row r="301">
      <c r="D301" s="87" t="n"/>
    </row>
    <row r="302">
      <c r="D302" s="87" t="n"/>
    </row>
    <row r="303">
      <c r="D303" s="87" t="n"/>
    </row>
    <row r="304">
      <c r="D304" s="87" t="n"/>
    </row>
    <row r="305">
      <c r="D305" s="87" t="n"/>
    </row>
    <row r="306">
      <c r="D306" s="87" t="n"/>
    </row>
    <row r="307">
      <c r="D307" s="87" t="n"/>
    </row>
    <row r="308">
      <c r="D308" s="87" t="n"/>
    </row>
    <row r="309">
      <c r="D309" s="87" t="n"/>
    </row>
    <row r="310">
      <c r="D310" s="87" t="n"/>
    </row>
    <row r="311">
      <c r="D311" s="87" t="n"/>
    </row>
    <row r="312">
      <c r="D312" s="87" t="n"/>
    </row>
    <row r="313">
      <c r="D313" s="87" t="n"/>
    </row>
    <row r="314">
      <c r="D314" s="87" t="n"/>
    </row>
    <row r="315">
      <c r="D315" s="87" t="n"/>
    </row>
    <row r="316">
      <c r="D316" s="87" t="n"/>
    </row>
    <row r="317">
      <c r="D317" s="87" t="n"/>
    </row>
    <row r="318">
      <c r="D318" s="87" t="n"/>
    </row>
    <row r="319">
      <c r="D319" s="87" t="n"/>
    </row>
    <row r="320">
      <c r="D320" s="87" t="n"/>
    </row>
    <row r="321">
      <c r="D321" s="87" t="n"/>
    </row>
    <row r="322">
      <c r="D322" s="87" t="n"/>
    </row>
    <row r="323">
      <c r="D323" s="87" t="n"/>
    </row>
    <row r="324">
      <c r="D324" s="87" t="n"/>
    </row>
    <row r="325">
      <c r="D325" s="87" t="n"/>
    </row>
    <row r="326">
      <c r="D326" s="87" t="n"/>
    </row>
    <row r="327">
      <c r="D327" s="87" t="n"/>
    </row>
    <row r="328">
      <c r="D328" s="87" t="n"/>
    </row>
    <row r="329">
      <c r="D329" s="87" t="n"/>
    </row>
    <row r="330">
      <c r="D330" s="87" t="n"/>
    </row>
    <row r="331">
      <c r="D331" s="87" t="n"/>
    </row>
    <row r="332">
      <c r="D332" s="87" t="n"/>
    </row>
    <row r="333">
      <c r="D333" s="87" t="n"/>
    </row>
    <row r="334">
      <c r="D334" s="87" t="n"/>
    </row>
    <row r="335">
      <c r="D335" s="87" t="n"/>
    </row>
    <row r="336">
      <c r="D336" s="87" t="n"/>
    </row>
    <row r="337">
      <c r="D337" s="87" t="n"/>
    </row>
    <row r="338">
      <c r="D338" s="87" t="n"/>
    </row>
    <row r="339">
      <c r="D339" s="87" t="n"/>
    </row>
    <row r="340">
      <c r="D340" s="87" t="n"/>
    </row>
    <row r="341">
      <c r="D341" s="87" t="n"/>
    </row>
    <row r="342">
      <c r="D342" s="87" t="n"/>
    </row>
    <row r="343">
      <c r="D343" s="87" t="n"/>
    </row>
    <row r="344">
      <c r="D344" s="87" t="n"/>
    </row>
    <row r="345">
      <c r="D345" s="87" t="n"/>
    </row>
    <row r="346">
      <c r="D346" s="87" t="n"/>
    </row>
    <row r="347">
      <c r="D347" s="87" t="n"/>
    </row>
    <row r="348">
      <c r="D348" s="87" t="n"/>
    </row>
    <row r="349">
      <c r="D349" s="87" t="n"/>
    </row>
    <row r="350">
      <c r="D350" s="87" t="n"/>
    </row>
    <row r="351">
      <c r="D351" s="87" t="n"/>
    </row>
    <row r="352">
      <c r="D352" s="87" t="n"/>
    </row>
    <row r="353">
      <c r="D353" s="87" t="n"/>
    </row>
    <row r="354">
      <c r="D354" s="87" t="n"/>
    </row>
    <row r="355">
      <c r="D355" s="87" t="n"/>
    </row>
    <row r="356">
      <c r="D356" s="87" t="n"/>
    </row>
    <row r="357">
      <c r="D357" s="87" t="n"/>
    </row>
    <row r="358">
      <c r="D358" s="87" t="n"/>
    </row>
    <row r="359">
      <c r="D359" s="87" t="n"/>
    </row>
    <row r="360">
      <c r="D360" s="87" t="n"/>
    </row>
    <row r="361">
      <c r="D361" s="87" t="n"/>
    </row>
    <row r="362">
      <c r="D362" s="87" t="n"/>
    </row>
    <row r="363">
      <c r="D363" s="87" t="n"/>
    </row>
    <row r="364">
      <c r="D364" s="87" t="n"/>
    </row>
    <row r="365">
      <c r="D365" s="87" t="n"/>
    </row>
    <row r="366">
      <c r="D366" s="87" t="n"/>
    </row>
    <row r="367">
      <c r="D367" s="87" t="n"/>
    </row>
    <row r="368">
      <c r="D368" s="87" t="n"/>
    </row>
    <row r="369">
      <c r="D369" s="87" t="n"/>
    </row>
    <row r="370">
      <c r="D370" s="87" t="n"/>
    </row>
    <row r="371">
      <c r="D371" s="87" t="n"/>
    </row>
    <row r="372">
      <c r="D372" s="87" t="n"/>
    </row>
    <row r="373">
      <c r="D373" s="87" t="n"/>
    </row>
    <row r="374">
      <c r="D374" s="87" t="n"/>
    </row>
    <row r="375">
      <c r="D375" s="87" t="n"/>
    </row>
    <row r="376">
      <c r="D376" s="87" t="n"/>
    </row>
    <row r="377">
      <c r="D377" s="87" t="n"/>
    </row>
    <row r="378">
      <c r="D378" s="87" t="n"/>
    </row>
    <row r="379">
      <c r="D379" s="87" t="n"/>
    </row>
    <row r="380">
      <c r="D380" s="87" t="n"/>
    </row>
    <row r="381">
      <c r="D381" s="87" t="n"/>
    </row>
    <row r="382">
      <c r="D382" s="87" t="n"/>
    </row>
    <row r="383">
      <c r="D383" s="87" t="n"/>
    </row>
    <row r="384">
      <c r="D384" s="87" t="n"/>
    </row>
    <row r="385">
      <c r="D385" s="87" t="n"/>
    </row>
    <row r="386">
      <c r="D386" s="87" t="n"/>
    </row>
    <row r="387">
      <c r="D387" s="87" t="n"/>
    </row>
    <row r="388">
      <c r="D388" s="87" t="n"/>
    </row>
    <row r="389">
      <c r="D389" s="87" t="n"/>
    </row>
    <row r="390">
      <c r="D390" s="87" t="n"/>
    </row>
    <row r="391">
      <c r="D391" s="87" t="n"/>
    </row>
    <row r="392">
      <c r="D392" s="87" t="n"/>
    </row>
    <row r="393">
      <c r="D393" s="87" t="n"/>
    </row>
    <row r="394">
      <c r="D394" s="87" t="n"/>
    </row>
    <row r="395">
      <c r="D395" s="87" t="n"/>
    </row>
    <row r="396">
      <c r="D396" s="87" t="n"/>
    </row>
    <row r="397">
      <c r="D397" s="87" t="n"/>
    </row>
    <row r="398">
      <c r="D398" s="87" t="n"/>
    </row>
    <row r="399">
      <c r="D399" s="87" t="n"/>
    </row>
    <row r="400">
      <c r="D400" s="87" t="n"/>
    </row>
    <row r="401">
      <c r="D401" s="87" t="n"/>
    </row>
    <row r="402">
      <c r="D402" s="87" t="n"/>
    </row>
    <row r="403">
      <c r="D403" s="87" t="n"/>
    </row>
    <row r="404">
      <c r="D404" s="87" t="n"/>
    </row>
    <row r="405">
      <c r="D405" s="87" t="n"/>
    </row>
    <row r="406">
      <c r="D406" s="87" t="n"/>
    </row>
    <row r="407">
      <c r="D407" s="87" t="n"/>
    </row>
    <row r="408">
      <c r="D408" s="87" t="n"/>
    </row>
    <row r="409">
      <c r="D409" s="87" t="n"/>
    </row>
    <row r="410">
      <c r="D410" s="87" t="n"/>
    </row>
    <row r="411">
      <c r="D411" s="87" t="n"/>
    </row>
    <row r="412">
      <c r="D412" s="87" t="n"/>
    </row>
    <row r="413">
      <c r="D413" s="87" t="n"/>
    </row>
    <row r="414">
      <c r="D414" s="87" t="n"/>
    </row>
    <row r="415">
      <c r="D415" s="87" t="n"/>
    </row>
    <row r="416">
      <c r="D416" s="87" t="n"/>
    </row>
    <row r="417">
      <c r="D417" s="87" t="n"/>
    </row>
    <row r="418">
      <c r="D418" s="87" t="n"/>
    </row>
    <row r="419">
      <c r="D419" s="87" t="n"/>
    </row>
    <row r="420">
      <c r="D420" s="87" t="n"/>
    </row>
    <row r="421">
      <c r="D421" s="87" t="n"/>
    </row>
    <row r="422">
      <c r="D422" s="87" t="n"/>
    </row>
    <row r="423">
      <c r="D423" s="87" t="n"/>
    </row>
    <row r="424">
      <c r="D424" s="87" t="n"/>
    </row>
    <row r="425">
      <c r="D425" s="87" t="n"/>
    </row>
    <row r="426">
      <c r="D426" s="87" t="n"/>
    </row>
    <row r="427">
      <c r="D427" s="87" t="n"/>
    </row>
    <row r="428">
      <c r="D428" s="87" t="n"/>
    </row>
    <row r="429">
      <c r="D429" s="87" t="n"/>
    </row>
    <row r="430">
      <c r="D430" s="87" t="n"/>
    </row>
    <row r="431">
      <c r="D431" s="87" t="n"/>
    </row>
    <row r="432">
      <c r="D432" s="87" t="n"/>
    </row>
    <row r="433">
      <c r="D433" s="87" t="n"/>
    </row>
    <row r="434">
      <c r="D434" s="87" t="n"/>
    </row>
    <row r="435">
      <c r="D435" s="87" t="n"/>
    </row>
    <row r="436">
      <c r="D436" s="87" t="n"/>
    </row>
    <row r="437">
      <c r="D437" s="87" t="n"/>
    </row>
    <row r="438">
      <c r="D438" s="87" t="n"/>
    </row>
    <row r="439">
      <c r="D439" s="87" t="n"/>
    </row>
    <row r="440">
      <c r="D440" s="87" t="n"/>
    </row>
    <row r="441">
      <c r="D441" s="87" t="n"/>
    </row>
    <row r="442">
      <c r="D442" s="87" t="n"/>
    </row>
    <row r="443">
      <c r="D443" s="87" t="n"/>
    </row>
    <row r="444">
      <c r="D444" s="87" t="n"/>
    </row>
    <row r="445">
      <c r="D445" s="87" t="n"/>
    </row>
    <row r="446">
      <c r="D446" s="87" t="n"/>
    </row>
    <row r="447">
      <c r="D447" s="87" t="n"/>
    </row>
    <row r="448">
      <c r="D448" s="87" t="n"/>
    </row>
    <row r="449">
      <c r="D449" s="87" t="n"/>
    </row>
    <row r="450">
      <c r="D450" s="87" t="n"/>
    </row>
    <row r="451">
      <c r="D451" s="87" t="n"/>
    </row>
    <row r="452">
      <c r="D452" s="87" t="n"/>
    </row>
    <row r="453">
      <c r="D453" s="87" t="n"/>
    </row>
    <row r="454">
      <c r="D454" s="87" t="n"/>
    </row>
    <row r="455">
      <c r="D455" s="87" t="n"/>
    </row>
    <row r="456">
      <c r="D456" s="87" t="n"/>
    </row>
    <row r="457">
      <c r="D457" s="87" t="n"/>
    </row>
    <row r="458">
      <c r="D458" s="87" t="n"/>
    </row>
    <row r="459">
      <c r="D459" s="87" t="n"/>
    </row>
    <row r="460">
      <c r="D460" s="87" t="n"/>
    </row>
    <row r="461">
      <c r="D461" s="87" t="n"/>
    </row>
    <row r="462">
      <c r="D462" s="87" t="n"/>
    </row>
    <row r="463">
      <c r="D463" s="87" t="n"/>
    </row>
    <row r="464">
      <c r="D464" s="87" t="n"/>
    </row>
    <row r="465">
      <c r="D465" s="87" t="n"/>
    </row>
    <row r="466">
      <c r="D466" s="87" t="n"/>
    </row>
    <row r="467">
      <c r="D467" s="87" t="n"/>
    </row>
    <row r="468">
      <c r="D468" s="87" t="n"/>
    </row>
    <row r="469">
      <c r="D469" s="87" t="n"/>
    </row>
    <row r="470">
      <c r="D470" s="87" t="n"/>
    </row>
    <row r="471">
      <c r="D471" s="87" t="n"/>
    </row>
    <row r="472">
      <c r="D472" s="87" t="n"/>
    </row>
    <row r="473">
      <c r="D473" s="87" t="n"/>
    </row>
    <row r="474">
      <c r="D474" s="87" t="n"/>
    </row>
    <row r="475">
      <c r="D475" s="87" t="n"/>
    </row>
    <row r="476">
      <c r="D476" s="87" t="n"/>
    </row>
    <row r="477">
      <c r="D477" s="87" t="n"/>
    </row>
    <row r="478">
      <c r="D478" s="87" t="n"/>
    </row>
    <row r="479">
      <c r="D479" s="87" t="n"/>
    </row>
    <row r="480">
      <c r="D480" s="87" t="n"/>
    </row>
    <row r="481">
      <c r="D481" s="87" t="n"/>
    </row>
    <row r="482">
      <c r="D482" s="87" t="n"/>
    </row>
    <row r="483">
      <c r="D483" s="87" t="n"/>
    </row>
    <row r="484">
      <c r="D484" s="87" t="n"/>
    </row>
    <row r="485">
      <c r="D485" s="87" t="n"/>
    </row>
    <row r="486">
      <c r="D486" s="87" t="n"/>
    </row>
    <row r="487">
      <c r="D487" s="87" t="n"/>
    </row>
    <row r="488">
      <c r="D488" s="87" t="n"/>
    </row>
    <row r="489">
      <c r="D489" s="87" t="n"/>
    </row>
    <row r="490">
      <c r="D490" s="87" t="n"/>
    </row>
    <row r="491">
      <c r="D491" s="87" t="n"/>
    </row>
    <row r="492">
      <c r="D492" s="87" t="n"/>
    </row>
    <row r="493">
      <c r="D493" s="87" t="n"/>
    </row>
    <row r="494">
      <c r="D494" s="87" t="n"/>
    </row>
    <row r="495">
      <c r="D495" s="87" t="n"/>
    </row>
    <row r="496">
      <c r="D496" s="87" t="n"/>
    </row>
    <row r="497">
      <c r="D497" s="87" t="n"/>
    </row>
    <row r="498">
      <c r="D498" s="87" t="n"/>
    </row>
    <row r="499">
      <c r="D499" s="87" t="n"/>
    </row>
    <row r="500">
      <c r="D500" s="87" t="n"/>
    </row>
    <row r="501">
      <c r="D501" s="87" t="n"/>
    </row>
    <row r="502">
      <c r="D502" s="87" t="n"/>
    </row>
    <row r="503">
      <c r="D503" s="87" t="n"/>
    </row>
    <row r="504">
      <c r="D504" s="87" t="n"/>
    </row>
    <row r="505">
      <c r="D505" s="87" t="n"/>
    </row>
    <row r="506">
      <c r="D506" s="87" t="n"/>
    </row>
    <row r="507">
      <c r="D507" s="87" t="n"/>
    </row>
    <row r="508">
      <c r="D508" s="87" t="n"/>
    </row>
    <row r="509">
      <c r="D509" s="87" t="n"/>
    </row>
    <row r="510">
      <c r="D510" s="87" t="n"/>
    </row>
    <row r="511">
      <c r="D511" s="87" t="n"/>
    </row>
    <row r="512">
      <c r="D512" s="87" t="n"/>
    </row>
    <row r="513">
      <c r="D513" s="87" t="n"/>
    </row>
    <row r="514">
      <c r="D514" s="87" t="n"/>
    </row>
    <row r="515">
      <c r="D515" s="87" t="n"/>
    </row>
    <row r="516">
      <c r="D516" s="87" t="n"/>
    </row>
    <row r="517">
      <c r="D517" s="87" t="n"/>
    </row>
    <row r="518">
      <c r="D518" s="87" t="n"/>
    </row>
    <row r="519">
      <c r="D519" s="87" t="n"/>
    </row>
    <row r="520">
      <c r="D520" s="87" t="n"/>
    </row>
    <row r="521">
      <c r="D521" s="87" t="n"/>
    </row>
    <row r="522">
      <c r="D522" s="87" t="n"/>
    </row>
    <row r="523">
      <c r="D523" s="87" t="n"/>
    </row>
    <row r="524">
      <c r="D524" s="87" t="n"/>
    </row>
    <row r="525">
      <c r="D525" s="87" t="n"/>
    </row>
    <row r="526">
      <c r="D526" s="87" t="n"/>
    </row>
    <row r="527">
      <c r="D527" s="87" t="n"/>
    </row>
    <row r="528">
      <c r="D528" s="87" t="n"/>
    </row>
    <row r="529">
      <c r="D529" s="87" t="n"/>
    </row>
    <row r="530">
      <c r="D530" s="87" t="n"/>
    </row>
    <row r="531">
      <c r="D531" s="87" t="n"/>
    </row>
    <row r="532">
      <c r="D532" s="87" t="n"/>
    </row>
    <row r="533">
      <c r="D533" s="87" t="n"/>
    </row>
    <row r="534">
      <c r="D534" s="87" t="n"/>
    </row>
    <row r="535">
      <c r="D535" s="87" t="n"/>
    </row>
    <row r="536">
      <c r="D536" s="87" t="n"/>
    </row>
    <row r="537">
      <c r="D537" s="87" t="n"/>
    </row>
    <row r="538">
      <c r="D538" s="87" t="n"/>
    </row>
    <row r="539">
      <c r="D539" s="87" t="n"/>
    </row>
    <row r="540">
      <c r="D540" s="87" t="n"/>
    </row>
    <row r="541">
      <c r="D541" s="87" t="n"/>
    </row>
    <row r="542">
      <c r="D542" s="87" t="n"/>
    </row>
    <row r="543">
      <c r="D543" s="87" t="n"/>
    </row>
    <row r="544">
      <c r="D544" s="87" t="n"/>
    </row>
    <row r="545">
      <c r="D545" s="87" t="n"/>
    </row>
    <row r="546">
      <c r="D546" s="87" t="n"/>
    </row>
    <row r="547">
      <c r="D547" s="87" t="n"/>
    </row>
    <row r="548">
      <c r="D548" s="87" t="n"/>
    </row>
    <row r="549">
      <c r="D549" s="87" t="n"/>
    </row>
    <row r="550">
      <c r="D550" s="87" t="n"/>
    </row>
    <row r="551">
      <c r="D551" s="87" t="n"/>
    </row>
    <row r="552">
      <c r="D552" s="87" t="n"/>
    </row>
    <row r="553">
      <c r="D553" s="87" t="n"/>
    </row>
    <row r="554">
      <c r="D554" s="87" t="n"/>
    </row>
    <row r="555">
      <c r="D555" s="87" t="n"/>
    </row>
    <row r="556">
      <c r="D556" s="87" t="n"/>
    </row>
    <row r="557">
      <c r="D557" s="87" t="n"/>
    </row>
    <row r="558">
      <c r="D558" s="87" t="n"/>
    </row>
    <row r="559">
      <c r="D559" s="87" t="n"/>
    </row>
    <row r="560">
      <c r="D560" s="87" t="n"/>
    </row>
    <row r="561">
      <c r="D561" s="87" t="n"/>
    </row>
    <row r="562">
      <c r="D562" s="87" t="n"/>
    </row>
    <row r="563">
      <c r="D563" s="87" t="n"/>
    </row>
    <row r="564">
      <c r="D564" s="87" t="n"/>
    </row>
    <row r="565">
      <c r="D565" s="87" t="n"/>
    </row>
    <row r="566">
      <c r="D566" s="87" t="n"/>
    </row>
    <row r="567">
      <c r="D567" s="87" t="n"/>
    </row>
    <row r="568">
      <c r="D568" s="87" t="n"/>
    </row>
    <row r="569">
      <c r="D569" s="87" t="n"/>
    </row>
    <row r="570">
      <c r="D570" s="87" t="n"/>
    </row>
    <row r="571">
      <c r="D571" s="87" t="n"/>
    </row>
    <row r="572">
      <c r="D572" s="87" t="n"/>
    </row>
    <row r="573">
      <c r="D573" s="87" t="n"/>
    </row>
    <row r="574">
      <c r="D574" s="87" t="n"/>
    </row>
    <row r="575">
      <c r="D575" s="87" t="n"/>
    </row>
    <row r="576">
      <c r="D576" s="87" t="n"/>
    </row>
    <row r="577">
      <c r="D577" s="87" t="n"/>
    </row>
    <row r="578">
      <c r="D578" s="87" t="n"/>
    </row>
    <row r="579">
      <c r="D579" s="87" t="n"/>
    </row>
    <row r="580">
      <c r="D580" s="87" t="n"/>
    </row>
    <row r="581">
      <c r="D581" s="87" t="n"/>
    </row>
    <row r="582">
      <c r="D582" s="87" t="n"/>
    </row>
    <row r="583">
      <c r="D583" s="87" t="n"/>
    </row>
    <row r="584">
      <c r="D584" s="87" t="n"/>
    </row>
    <row r="585">
      <c r="D585" s="87" t="n"/>
    </row>
    <row r="586">
      <c r="D586" s="87" t="n"/>
    </row>
    <row r="587">
      <c r="D587" s="87" t="n"/>
    </row>
    <row r="588">
      <c r="D588" s="87" t="n"/>
    </row>
    <row r="589">
      <c r="D589" s="87" t="n"/>
    </row>
    <row r="590">
      <c r="D590" s="87" t="n"/>
    </row>
    <row r="591">
      <c r="D591" s="87" t="n"/>
    </row>
    <row r="592">
      <c r="D592" s="87" t="n"/>
    </row>
    <row r="593">
      <c r="D593" s="87" t="n"/>
    </row>
    <row r="594">
      <c r="D594" s="87" t="n"/>
    </row>
    <row r="595">
      <c r="D595" s="87" t="n"/>
    </row>
    <row r="596">
      <c r="D596" s="87" t="n"/>
    </row>
    <row r="597">
      <c r="D597" s="87" t="n"/>
    </row>
    <row r="598">
      <c r="D598" s="87" t="n"/>
    </row>
    <row r="599">
      <c r="D599" s="87" t="n"/>
    </row>
    <row r="600">
      <c r="D600" s="87" t="n"/>
    </row>
    <row r="601">
      <c r="D601" s="87" t="n"/>
    </row>
    <row r="602">
      <c r="D602" s="87" t="n"/>
    </row>
    <row r="603">
      <c r="D603" s="87" t="n"/>
    </row>
    <row r="604">
      <c r="D604" s="87" t="n"/>
    </row>
    <row r="605">
      <c r="D605" s="87" t="n"/>
    </row>
    <row r="606">
      <c r="D606" s="87" t="n"/>
    </row>
    <row r="607">
      <c r="D607" s="87" t="n"/>
    </row>
    <row r="608">
      <c r="D608" s="87" t="n"/>
    </row>
    <row r="609">
      <c r="D609" s="87" t="n"/>
    </row>
    <row r="610">
      <c r="D610" s="87" t="n"/>
    </row>
    <row r="611">
      <c r="D611" s="87" t="n"/>
    </row>
    <row r="612">
      <c r="D612" s="87" t="n"/>
    </row>
    <row r="613">
      <c r="D613" s="87" t="n"/>
    </row>
    <row r="614">
      <c r="D614" s="87" t="n"/>
    </row>
    <row r="615">
      <c r="D615" s="87" t="n"/>
    </row>
    <row r="616">
      <c r="D616" s="87" t="n"/>
    </row>
    <row r="617">
      <c r="D617" s="87" t="n"/>
    </row>
    <row r="618">
      <c r="D618" s="87" t="n"/>
    </row>
    <row r="619">
      <c r="D619" s="87" t="n"/>
    </row>
    <row r="620">
      <c r="D620" s="87" t="n"/>
    </row>
    <row r="621">
      <c r="D621" s="87" t="n"/>
    </row>
    <row r="622">
      <c r="D622" s="87" t="n"/>
    </row>
    <row r="623">
      <c r="D623" s="87" t="n"/>
    </row>
    <row r="624">
      <c r="D624" s="87" t="n"/>
    </row>
    <row r="625">
      <c r="D625" s="87" t="n"/>
    </row>
    <row r="626">
      <c r="D626" s="87" t="n"/>
    </row>
    <row r="627">
      <c r="D627" s="87" t="n"/>
    </row>
    <row r="628">
      <c r="D628" s="87" t="n"/>
    </row>
    <row r="629">
      <c r="D629" s="87" t="n"/>
    </row>
    <row r="630">
      <c r="D630" s="87" t="n"/>
    </row>
    <row r="631">
      <c r="D631" s="87" t="n"/>
    </row>
    <row r="632">
      <c r="D632" s="87" t="n"/>
    </row>
    <row r="633">
      <c r="D633" s="87" t="n"/>
    </row>
    <row r="634">
      <c r="D634" s="87" t="n"/>
    </row>
    <row r="635">
      <c r="D635" s="87" t="n"/>
    </row>
    <row r="636">
      <c r="D636" s="87" t="n"/>
    </row>
    <row r="637">
      <c r="D637" s="87" t="n"/>
    </row>
    <row r="638">
      <c r="D638" s="87" t="n"/>
    </row>
    <row r="639">
      <c r="D639" s="87" t="n"/>
    </row>
    <row r="640">
      <c r="D640" s="87" t="n"/>
    </row>
    <row r="641">
      <c r="D641" s="87" t="n"/>
    </row>
    <row r="642">
      <c r="D642" s="87" t="n"/>
    </row>
    <row r="643">
      <c r="D643" s="87" t="n"/>
    </row>
    <row r="644">
      <c r="D644" s="87" t="n"/>
    </row>
    <row r="645">
      <c r="D645" s="87" t="n"/>
    </row>
    <row r="646">
      <c r="D646" s="87" t="n"/>
    </row>
    <row r="647">
      <c r="D647" s="87" t="n"/>
    </row>
    <row r="648">
      <c r="D648" s="87" t="n"/>
    </row>
    <row r="649">
      <c r="D649" s="87" t="n"/>
    </row>
    <row r="650">
      <c r="D650" s="87" t="n"/>
    </row>
    <row r="651">
      <c r="D651" s="87" t="n"/>
    </row>
    <row r="652">
      <c r="D652" s="87" t="n"/>
    </row>
    <row r="653">
      <c r="D653" s="87" t="n"/>
    </row>
    <row r="654">
      <c r="D654" s="87" t="n"/>
    </row>
    <row r="655">
      <c r="D655" s="87" t="n"/>
    </row>
    <row r="656">
      <c r="D656" s="87" t="n"/>
    </row>
    <row r="657">
      <c r="D657" s="87" t="n"/>
    </row>
    <row r="658">
      <c r="D658" s="87" t="n"/>
    </row>
    <row r="659">
      <c r="D659" s="87" t="n"/>
    </row>
    <row r="660">
      <c r="D660" s="87" t="n"/>
    </row>
    <row r="661">
      <c r="D661" s="87" t="n"/>
    </row>
    <row r="662">
      <c r="D662" s="87" t="n"/>
    </row>
    <row r="663">
      <c r="D663" s="87" t="n"/>
    </row>
    <row r="664">
      <c r="D664" s="87" t="n"/>
    </row>
    <row r="665">
      <c r="D665" s="87" t="n"/>
    </row>
    <row r="666">
      <c r="D666" s="87" t="n"/>
    </row>
    <row r="667">
      <c r="D667" s="87" t="n"/>
    </row>
    <row r="668">
      <c r="D668" s="87" t="n"/>
    </row>
    <row r="669">
      <c r="D669" s="87" t="n"/>
    </row>
    <row r="670">
      <c r="D670" s="87" t="n"/>
    </row>
    <row r="671">
      <c r="D671" s="87" t="n"/>
    </row>
    <row r="672">
      <c r="D672" s="87" t="n"/>
    </row>
    <row r="673">
      <c r="D673" s="87" t="n"/>
    </row>
    <row r="674">
      <c r="D674" s="87" t="n"/>
    </row>
    <row r="675">
      <c r="D675" s="87" t="n"/>
    </row>
    <row r="676">
      <c r="D676" s="87" t="n"/>
    </row>
    <row r="677">
      <c r="D677" s="87" t="n"/>
    </row>
    <row r="678">
      <c r="D678" s="87" t="n"/>
    </row>
    <row r="679">
      <c r="D679" s="87" t="n"/>
    </row>
    <row r="680">
      <c r="D680" s="87" t="n"/>
    </row>
    <row r="681">
      <c r="D681" s="87" t="n"/>
    </row>
    <row r="682">
      <c r="D682" s="87" t="n"/>
    </row>
    <row r="683">
      <c r="D683" s="87" t="n"/>
    </row>
    <row r="684">
      <c r="D684" s="87" t="n"/>
    </row>
    <row r="685">
      <c r="D685" s="87" t="n"/>
    </row>
    <row r="686">
      <c r="D686" s="87" t="n"/>
    </row>
    <row r="687">
      <c r="D687" s="87" t="n"/>
    </row>
    <row r="688">
      <c r="D688" s="87" t="n"/>
    </row>
    <row r="689">
      <c r="D689" s="87" t="n"/>
    </row>
    <row r="690">
      <c r="D690" s="87" t="n"/>
    </row>
    <row r="691">
      <c r="D691" s="87" t="n"/>
    </row>
    <row r="692">
      <c r="D692" s="87" t="n"/>
    </row>
    <row r="693">
      <c r="D693" s="87" t="n"/>
    </row>
    <row r="694">
      <c r="D694" s="87" t="n"/>
    </row>
    <row r="695">
      <c r="D695" s="87" t="n"/>
    </row>
    <row r="696">
      <c r="D696" s="87" t="n"/>
    </row>
    <row r="697">
      <c r="D697" s="87" t="n"/>
    </row>
    <row r="698">
      <c r="D698" s="87" t="n"/>
    </row>
    <row r="699">
      <c r="D699" s="87" t="n"/>
    </row>
    <row r="700">
      <c r="D700" s="87" t="n"/>
    </row>
    <row r="701">
      <c r="D701" s="87" t="n"/>
    </row>
    <row r="702">
      <c r="D702" s="87" t="n"/>
    </row>
    <row r="703">
      <c r="D703" s="87" t="n"/>
    </row>
    <row r="704">
      <c r="D704" s="87" t="n"/>
    </row>
    <row r="705">
      <c r="D705" s="87" t="n"/>
    </row>
    <row r="706">
      <c r="D706" s="87" t="n"/>
    </row>
    <row r="707">
      <c r="D707" s="87" t="n"/>
    </row>
    <row r="708">
      <c r="D708" s="87" t="n"/>
    </row>
    <row r="709">
      <c r="D709" s="87" t="n"/>
    </row>
    <row r="710">
      <c r="D710" s="87" t="n"/>
    </row>
    <row r="711">
      <c r="D711" s="87" t="n"/>
    </row>
    <row r="712">
      <c r="D712" s="87" t="n"/>
    </row>
    <row r="713">
      <c r="D713" s="87" t="n"/>
    </row>
    <row r="714">
      <c r="D714" s="87" t="n"/>
    </row>
    <row r="715">
      <c r="D715" s="87" t="n"/>
    </row>
    <row r="716">
      <c r="D716" s="87" t="n"/>
    </row>
    <row r="717">
      <c r="D717" s="87" t="n"/>
    </row>
    <row r="718">
      <c r="D718" s="87" t="n"/>
    </row>
    <row r="719">
      <c r="D719" s="87" t="n"/>
    </row>
    <row r="720">
      <c r="D720" s="87" t="n"/>
    </row>
    <row r="721">
      <c r="D721" s="87" t="n"/>
    </row>
    <row r="722">
      <c r="D722" s="87" t="n"/>
    </row>
    <row r="723">
      <c r="D723" s="87" t="n"/>
    </row>
    <row r="724">
      <c r="D724" s="87" t="n"/>
    </row>
    <row r="725">
      <c r="D725" s="87" t="n"/>
    </row>
    <row r="726">
      <c r="D726" s="87" t="n"/>
    </row>
    <row r="727">
      <c r="D727" s="87" t="n"/>
    </row>
    <row r="728">
      <c r="D728" s="87" t="n"/>
    </row>
    <row r="729">
      <c r="D729" s="87" t="n"/>
    </row>
    <row r="730">
      <c r="D730" s="87" t="n"/>
    </row>
    <row r="731">
      <c r="D731" s="87" t="n"/>
    </row>
    <row r="732">
      <c r="D732" s="87" t="n"/>
    </row>
    <row r="733">
      <c r="D733" s="87" t="n"/>
    </row>
    <row r="734">
      <c r="D734" s="87" t="n"/>
    </row>
    <row r="735">
      <c r="D735" s="87" t="n"/>
    </row>
    <row r="736">
      <c r="D736" s="87" t="n"/>
    </row>
    <row r="737">
      <c r="D737" s="87" t="n"/>
    </row>
    <row r="738">
      <c r="D738" s="87" t="n"/>
    </row>
    <row r="739">
      <c r="D739" s="87" t="n"/>
    </row>
    <row r="740">
      <c r="D740" s="87" t="n"/>
    </row>
    <row r="741">
      <c r="D741" s="87" t="n"/>
    </row>
    <row r="742">
      <c r="D742" s="87" t="n"/>
    </row>
    <row r="743">
      <c r="D743" s="87" t="n"/>
    </row>
    <row r="744">
      <c r="D744" s="87" t="n"/>
    </row>
    <row r="745">
      <c r="D745" s="87" t="n"/>
    </row>
    <row r="746">
      <c r="D746" s="87" t="n"/>
    </row>
    <row r="747">
      <c r="D747" s="87" t="n"/>
    </row>
    <row r="748">
      <c r="D748" s="87" t="n"/>
    </row>
    <row r="749">
      <c r="D749" s="87" t="n"/>
    </row>
    <row r="750">
      <c r="D750" s="87" t="n"/>
    </row>
    <row r="751">
      <c r="D751" s="87" t="n"/>
    </row>
    <row r="752">
      <c r="D752" s="87" t="n"/>
    </row>
    <row r="753">
      <c r="D753" s="87" t="n"/>
    </row>
    <row r="754">
      <c r="D754" s="87" t="n"/>
    </row>
    <row r="755">
      <c r="D755" s="87" t="n"/>
    </row>
    <row r="756">
      <c r="D756" s="87" t="n"/>
    </row>
    <row r="757">
      <c r="D757" s="87" t="n"/>
    </row>
    <row r="758">
      <c r="D758" s="87" t="n"/>
    </row>
    <row r="759">
      <c r="D759" s="87" t="n"/>
    </row>
    <row r="760">
      <c r="D760" s="87" t="n"/>
    </row>
    <row r="761">
      <c r="D761" s="87" t="n"/>
    </row>
    <row r="762">
      <c r="D762" s="87" t="n"/>
    </row>
    <row r="763">
      <c r="D763" s="87" t="n"/>
    </row>
    <row r="764">
      <c r="D764" s="87" t="n"/>
    </row>
    <row r="765">
      <c r="D765" s="87" t="n"/>
    </row>
    <row r="766">
      <c r="D766" s="87" t="n"/>
    </row>
    <row r="767">
      <c r="D767" s="87" t="n"/>
    </row>
    <row r="768">
      <c r="D768" s="87" t="n"/>
    </row>
    <row r="769">
      <c r="D769" s="87" t="n"/>
    </row>
    <row r="770">
      <c r="D770" s="87" t="n"/>
    </row>
    <row r="771">
      <c r="D771" s="87" t="n"/>
    </row>
    <row r="772">
      <c r="D772" s="87" t="n"/>
    </row>
    <row r="773">
      <c r="D773" s="87" t="n"/>
    </row>
    <row r="774">
      <c r="D774" s="87" t="n"/>
    </row>
    <row r="775">
      <c r="D775" s="87" t="n"/>
    </row>
    <row r="776">
      <c r="D776" s="87" t="n"/>
    </row>
    <row r="777">
      <c r="D777" s="87" t="n"/>
    </row>
    <row r="778">
      <c r="D778" s="87" t="n"/>
    </row>
    <row r="779">
      <c r="D779" s="87" t="n"/>
    </row>
    <row r="780">
      <c r="D780" s="87" t="n"/>
    </row>
    <row r="781">
      <c r="D781" s="87" t="n"/>
    </row>
    <row r="782">
      <c r="D782" s="87" t="n"/>
    </row>
    <row r="783">
      <c r="D783" s="87" t="n"/>
    </row>
    <row r="784">
      <c r="D784" s="87" t="n"/>
    </row>
    <row r="785">
      <c r="D785" s="87" t="n"/>
    </row>
    <row r="786">
      <c r="D786" s="87" t="n"/>
    </row>
    <row r="787">
      <c r="D787" s="87" t="n"/>
    </row>
    <row r="788">
      <c r="D788" s="87" t="n"/>
    </row>
    <row r="789">
      <c r="D789" s="87" t="n"/>
    </row>
    <row r="790">
      <c r="D790" s="87" t="n"/>
    </row>
    <row r="791">
      <c r="D791" s="87" t="n"/>
    </row>
    <row r="792">
      <c r="D792" s="87" t="n"/>
    </row>
    <row r="793">
      <c r="D793" s="87" t="n"/>
    </row>
    <row r="794">
      <c r="D794" s="87" t="n"/>
    </row>
    <row r="795">
      <c r="D795" s="87" t="n"/>
    </row>
    <row r="796">
      <c r="D796" s="87" t="n"/>
    </row>
    <row r="797">
      <c r="D797" s="87" t="n"/>
    </row>
    <row r="798">
      <c r="D798" s="87" t="n"/>
    </row>
    <row r="799">
      <c r="D799" s="87" t="n"/>
    </row>
    <row r="800">
      <c r="D800" s="87" t="n"/>
    </row>
    <row r="801">
      <c r="D801" s="87" t="n"/>
    </row>
    <row r="802">
      <c r="D802" s="87" t="n"/>
    </row>
    <row r="803">
      <c r="D803" s="87" t="n"/>
    </row>
    <row r="804">
      <c r="D804" s="87" t="n"/>
    </row>
    <row r="805">
      <c r="D805" s="87" t="n"/>
    </row>
    <row r="806">
      <c r="D806" s="87" t="n"/>
    </row>
    <row r="807">
      <c r="D807" s="87" t="n"/>
    </row>
    <row r="808">
      <c r="D808" s="87" t="n"/>
    </row>
    <row r="809">
      <c r="D809" s="87" t="n"/>
    </row>
    <row r="810">
      <c r="D810" s="87" t="n"/>
    </row>
    <row r="811">
      <c r="D811" s="87" t="n"/>
    </row>
    <row r="812">
      <c r="D812" s="87" t="n"/>
    </row>
    <row r="813">
      <c r="D813" s="87" t="n"/>
    </row>
    <row r="814">
      <c r="D814" s="87" t="n"/>
    </row>
    <row r="815">
      <c r="D815" s="87" t="n"/>
    </row>
    <row r="816">
      <c r="D816" s="87" t="n"/>
    </row>
    <row r="817">
      <c r="D817" s="87" t="n"/>
    </row>
    <row r="818">
      <c r="D818" s="87" t="n"/>
    </row>
    <row r="819">
      <c r="D819" s="87" t="n"/>
    </row>
    <row r="820">
      <c r="D820" s="87" t="n"/>
    </row>
    <row r="821">
      <c r="D821" s="87" t="n"/>
    </row>
    <row r="822">
      <c r="D822" s="87" t="n"/>
    </row>
    <row r="823">
      <c r="D823" s="87" t="n"/>
    </row>
    <row r="824">
      <c r="D824" s="87" t="n"/>
    </row>
    <row r="825">
      <c r="D825" s="87" t="n"/>
    </row>
    <row r="826">
      <c r="D826" s="87" t="n"/>
    </row>
    <row r="827">
      <c r="D827" s="87" t="n"/>
    </row>
    <row r="828">
      <c r="D828" s="87" t="n"/>
    </row>
    <row r="829">
      <c r="D829" s="87" t="n"/>
    </row>
    <row r="830">
      <c r="D830" s="87" t="n"/>
    </row>
    <row r="831">
      <c r="D831" s="87" t="n"/>
    </row>
    <row r="832">
      <c r="D832" s="87" t="n"/>
    </row>
    <row r="833">
      <c r="D833" s="87" t="n"/>
    </row>
    <row r="834">
      <c r="D834" s="87" t="n"/>
    </row>
    <row r="835">
      <c r="D835" s="87" t="n"/>
    </row>
    <row r="836">
      <c r="D836" s="87" t="n"/>
    </row>
    <row r="837">
      <c r="D837" s="87" t="n"/>
    </row>
    <row r="838">
      <c r="D838" s="87" t="n"/>
    </row>
    <row r="839">
      <c r="D839" s="87" t="n"/>
    </row>
    <row r="840">
      <c r="D840" s="87" t="n"/>
    </row>
    <row r="841">
      <c r="D841" s="87" t="n"/>
    </row>
    <row r="842">
      <c r="D842" s="87" t="n"/>
    </row>
    <row r="843">
      <c r="D843" s="87" t="n"/>
    </row>
    <row r="844">
      <c r="D844" s="87" t="n"/>
    </row>
    <row r="845">
      <c r="D845" s="87" t="n"/>
    </row>
    <row r="846">
      <c r="D846" s="87" t="n"/>
    </row>
    <row r="847">
      <c r="D847" s="87" t="n"/>
    </row>
    <row r="848">
      <c r="D848" s="87" t="n"/>
    </row>
    <row r="849">
      <c r="D849" s="87" t="n"/>
    </row>
    <row r="850">
      <c r="D850" s="87" t="n"/>
    </row>
    <row r="851">
      <c r="D851" s="87" t="n"/>
    </row>
    <row r="852">
      <c r="D852" s="87" t="n"/>
    </row>
    <row r="853">
      <c r="D853" s="87" t="n"/>
    </row>
    <row r="854">
      <c r="D854" s="87" t="n"/>
    </row>
    <row r="855">
      <c r="D855" s="87" t="n"/>
    </row>
    <row r="856">
      <c r="D856" s="87" t="n"/>
    </row>
    <row r="857">
      <c r="D857" s="87" t="n"/>
    </row>
    <row r="858">
      <c r="D858" s="87" t="n"/>
    </row>
    <row r="859">
      <c r="D859" s="87" t="n"/>
    </row>
    <row r="860">
      <c r="D860" s="87" t="n"/>
    </row>
    <row r="861">
      <c r="D861" s="87" t="n"/>
    </row>
    <row r="862">
      <c r="D862" s="87" t="n"/>
    </row>
    <row r="863">
      <c r="D863" s="87" t="n"/>
    </row>
    <row r="864">
      <c r="D864" s="87" t="n"/>
    </row>
    <row r="865">
      <c r="D865" s="87" t="n"/>
    </row>
    <row r="866">
      <c r="D866" s="87" t="n"/>
    </row>
    <row r="867">
      <c r="D867" s="87" t="n"/>
    </row>
    <row r="868">
      <c r="D868" s="87" t="n"/>
    </row>
    <row r="869">
      <c r="D869" s="87" t="n"/>
    </row>
    <row r="870">
      <c r="D870" s="87" t="n"/>
    </row>
    <row r="871">
      <c r="D871" s="87" t="n"/>
    </row>
    <row r="872">
      <c r="D872" s="87" t="n"/>
    </row>
    <row r="873">
      <c r="D873" s="87" t="n"/>
    </row>
    <row r="874">
      <c r="D874" s="87" t="n"/>
    </row>
    <row r="875">
      <c r="D875" s="87" t="n"/>
    </row>
    <row r="876">
      <c r="D876" s="87" t="n"/>
    </row>
    <row r="877">
      <c r="D877" s="87" t="n"/>
    </row>
    <row r="878">
      <c r="D878" s="87" t="n"/>
    </row>
    <row r="879">
      <c r="D879" s="87" t="n"/>
    </row>
    <row r="880">
      <c r="D880" s="87" t="n"/>
    </row>
    <row r="881">
      <c r="D881" s="87" t="n"/>
    </row>
    <row r="882">
      <c r="D882" s="87" t="n"/>
    </row>
    <row r="883">
      <c r="D883" s="87" t="n"/>
    </row>
    <row r="884">
      <c r="D884" s="87" t="n"/>
    </row>
    <row r="885">
      <c r="D885" s="87" t="n"/>
    </row>
    <row r="886">
      <c r="D886" s="87" t="n"/>
    </row>
    <row r="887">
      <c r="D887" s="87" t="n"/>
    </row>
    <row r="888">
      <c r="D888" s="87" t="n"/>
    </row>
    <row r="889">
      <c r="D889" s="87" t="n"/>
    </row>
    <row r="890">
      <c r="D890" s="87" t="n"/>
    </row>
    <row r="891">
      <c r="D891" s="87" t="n"/>
    </row>
    <row r="892">
      <c r="D892" s="87" t="n"/>
    </row>
    <row r="893">
      <c r="D893" s="87" t="n"/>
    </row>
    <row r="894">
      <c r="D894" s="87" t="n"/>
    </row>
    <row r="895">
      <c r="D895" s="87" t="n"/>
    </row>
    <row r="896">
      <c r="D896" s="87" t="n"/>
    </row>
    <row r="897">
      <c r="D897" s="87" t="n"/>
    </row>
    <row r="898">
      <c r="D898" s="87" t="n"/>
    </row>
    <row r="899">
      <c r="D899" s="87" t="n"/>
    </row>
    <row r="900">
      <c r="D900" s="87" t="n"/>
    </row>
    <row r="901">
      <c r="D901" s="87" t="n"/>
    </row>
    <row r="902">
      <c r="D902" s="87" t="n"/>
    </row>
    <row r="903">
      <c r="D903" s="87" t="n"/>
    </row>
    <row r="904">
      <c r="D904" s="87" t="n"/>
    </row>
    <row r="905">
      <c r="D905" s="87" t="n"/>
    </row>
    <row r="906">
      <c r="D906" s="87" t="n"/>
    </row>
    <row r="907">
      <c r="D907" s="87" t="n"/>
    </row>
    <row r="908">
      <c r="D908" s="87" t="n"/>
    </row>
    <row r="909">
      <c r="D909" s="87" t="n"/>
    </row>
    <row r="910">
      <c r="D910" s="87" t="n"/>
    </row>
    <row r="911">
      <c r="D911" s="87" t="n"/>
    </row>
    <row r="912">
      <c r="D912" s="87" t="n"/>
    </row>
    <row r="913">
      <c r="D913" s="87" t="n"/>
    </row>
    <row r="914">
      <c r="D914" s="87" t="n"/>
    </row>
    <row r="915">
      <c r="D915" s="87" t="n"/>
    </row>
    <row r="916">
      <c r="D916" s="87" t="n"/>
    </row>
    <row r="917">
      <c r="D917" s="87" t="n"/>
    </row>
    <row r="918">
      <c r="D918" s="87" t="n"/>
    </row>
    <row r="919">
      <c r="D919" s="87" t="n"/>
    </row>
    <row r="920">
      <c r="D920" s="87" t="n"/>
    </row>
    <row r="921">
      <c r="D921" s="87" t="n"/>
    </row>
    <row r="922">
      <c r="D922" s="87" t="n"/>
    </row>
    <row r="923">
      <c r="D923" s="87" t="n"/>
    </row>
    <row r="924">
      <c r="D924" s="87" t="n"/>
    </row>
    <row r="925">
      <c r="D925" s="87" t="n"/>
    </row>
    <row r="926">
      <c r="D926" s="87" t="n"/>
    </row>
    <row r="927">
      <c r="D927" s="87" t="n"/>
    </row>
    <row r="928">
      <c r="D928" s="87" t="n"/>
    </row>
    <row r="929">
      <c r="D929" s="87" t="n"/>
    </row>
    <row r="930">
      <c r="D930" s="87" t="n"/>
    </row>
    <row r="931">
      <c r="D931" s="87" t="n"/>
    </row>
    <row r="932">
      <c r="D932" s="87" t="n"/>
    </row>
    <row r="933">
      <c r="D933" s="87" t="n"/>
    </row>
    <row r="934">
      <c r="D934" s="87" t="n"/>
    </row>
    <row r="935">
      <c r="D935" s="87" t="n"/>
    </row>
    <row r="936">
      <c r="D936" s="87" t="n"/>
    </row>
    <row r="937">
      <c r="D937" s="87" t="n"/>
    </row>
    <row r="938">
      <c r="D938" s="87" t="n"/>
    </row>
    <row r="939">
      <c r="D939" s="87" t="n"/>
    </row>
    <row r="940">
      <c r="D940" s="87" t="n"/>
    </row>
    <row r="941">
      <c r="D941" s="87" t="n"/>
    </row>
    <row r="942">
      <c r="D942" s="87" t="n"/>
    </row>
    <row r="943">
      <c r="D943" s="87" t="n"/>
    </row>
    <row r="944">
      <c r="D944" s="87" t="n"/>
    </row>
    <row r="945">
      <c r="D945" s="87" t="n"/>
    </row>
    <row r="946">
      <c r="D946" s="87" t="n"/>
    </row>
    <row r="947">
      <c r="D947" s="87" t="n"/>
    </row>
    <row r="948">
      <c r="D948" s="87" t="n"/>
    </row>
    <row r="949">
      <c r="D949" s="87" t="n"/>
    </row>
    <row r="950">
      <c r="D950" s="87" t="n"/>
    </row>
    <row r="951">
      <c r="D951" s="87" t="n"/>
    </row>
    <row r="952">
      <c r="D952" s="87" t="n"/>
    </row>
    <row r="953">
      <c r="D953" s="87" t="n"/>
    </row>
    <row r="954">
      <c r="D954" s="87" t="n"/>
    </row>
    <row r="955">
      <c r="D955" s="87" t="n"/>
    </row>
    <row r="956">
      <c r="D956" s="87" t="n"/>
    </row>
    <row r="957">
      <c r="D957" s="87" t="n"/>
    </row>
    <row r="958">
      <c r="D958" s="87" t="n"/>
    </row>
    <row r="959">
      <c r="D959" s="87" t="n"/>
    </row>
    <row r="960">
      <c r="D960" s="87" t="n"/>
    </row>
    <row r="961">
      <c r="D961" s="87" t="n"/>
    </row>
    <row r="962">
      <c r="D962" s="87" t="n"/>
    </row>
    <row r="963">
      <c r="D963" s="87" t="n"/>
    </row>
    <row r="964">
      <c r="D964" s="87" t="n"/>
    </row>
    <row r="965">
      <c r="D965" s="87" t="n"/>
    </row>
    <row r="966">
      <c r="D966" s="87" t="n"/>
    </row>
    <row r="967">
      <c r="D967" s="87" t="n"/>
    </row>
    <row r="968">
      <c r="D968" s="87" t="n"/>
    </row>
    <row r="969">
      <c r="D969" s="87" t="n"/>
    </row>
    <row r="970">
      <c r="D970" s="87" t="n"/>
    </row>
    <row r="971">
      <c r="D971" s="87" t="n"/>
    </row>
    <row r="972">
      <c r="D972" s="87" t="n"/>
    </row>
    <row r="973">
      <c r="D973" s="87" t="n"/>
    </row>
    <row r="974">
      <c r="D974" s="87" t="n"/>
    </row>
    <row r="975">
      <c r="D975" s="87" t="n"/>
    </row>
    <row r="976">
      <c r="D976" s="87" t="n"/>
    </row>
    <row r="977">
      <c r="D977" s="87" t="n"/>
    </row>
    <row r="978">
      <c r="D978" s="87" t="n"/>
    </row>
    <row r="979">
      <c r="D979" s="87" t="n"/>
    </row>
    <row r="980">
      <c r="D980" s="87" t="n"/>
    </row>
    <row r="981">
      <c r="D981" s="87" t="n"/>
    </row>
    <row r="982">
      <c r="D982" s="87" t="n"/>
    </row>
    <row r="983">
      <c r="D983" s="87" t="n"/>
    </row>
    <row r="984">
      <c r="D984" s="87" t="n"/>
    </row>
    <row r="985">
      <c r="D985" s="87" t="n"/>
    </row>
    <row r="986">
      <c r="D986" s="87" t="n"/>
    </row>
    <row r="987">
      <c r="D987" s="87" t="n"/>
    </row>
    <row r="988">
      <c r="D988" s="87" t="n"/>
    </row>
    <row r="989">
      <c r="D989" s="87" t="n"/>
    </row>
    <row r="990">
      <c r="D990" s="87" t="n"/>
    </row>
    <row r="991">
      <c r="D991" s="87" t="n"/>
    </row>
    <row r="992">
      <c r="D992" s="87" t="n"/>
    </row>
    <row r="993">
      <c r="D993" s="87" t="n"/>
    </row>
    <row r="994">
      <c r="D994" s="87" t="n"/>
    </row>
    <row r="995">
      <c r="D995" s="87" t="n"/>
    </row>
    <row r="996">
      <c r="D996" s="87" t="n"/>
    </row>
    <row r="997">
      <c r="D997" s="87" t="n"/>
    </row>
    <row r="998">
      <c r="D998" s="87" t="n"/>
    </row>
    <row r="999">
      <c r="D999" s="87" t="n"/>
    </row>
    <row r="1000">
      <c r="D1000" s="87" t="n"/>
    </row>
  </sheetData>
  <mergeCells count="67">
    <mergeCell ref="B91:C91"/>
    <mergeCell ref="B97:C97"/>
    <mergeCell ref="A24:B24"/>
    <mergeCell ref="B16:C16"/>
    <mergeCell ref="B54:C54"/>
    <mergeCell ref="B7:C7"/>
    <mergeCell ref="B90:C90"/>
    <mergeCell ref="B81:C81"/>
    <mergeCell ref="B22:C22"/>
    <mergeCell ref="B93:C93"/>
    <mergeCell ref="A88:B88"/>
    <mergeCell ref="B27:C27"/>
    <mergeCell ref="B96:C96"/>
    <mergeCell ref="B102:C102"/>
    <mergeCell ref="B71:C71"/>
    <mergeCell ref="B105:C105"/>
    <mergeCell ref="B18:C18"/>
    <mergeCell ref="B43:C43"/>
    <mergeCell ref="B39:C39"/>
    <mergeCell ref="B52:C52"/>
    <mergeCell ref="B21:C21"/>
    <mergeCell ref="B48:C48"/>
    <mergeCell ref="B70:C70"/>
    <mergeCell ref="A78:B78"/>
    <mergeCell ref="B98:C98"/>
    <mergeCell ref="B42:C42"/>
    <mergeCell ref="B107:C107"/>
    <mergeCell ref="A46:B46"/>
    <mergeCell ref="B101:C101"/>
    <mergeCell ref="B61:C61"/>
    <mergeCell ref="B17:C17"/>
    <mergeCell ref="B8:C8"/>
    <mergeCell ref="B53:C53"/>
    <mergeCell ref="B82:C82"/>
    <mergeCell ref="B69:C69"/>
    <mergeCell ref="A112:C112"/>
    <mergeCell ref="B38:C38"/>
    <mergeCell ref="B44:C44"/>
    <mergeCell ref="B29:C29"/>
    <mergeCell ref="B103:C103"/>
    <mergeCell ref="B19:C19"/>
    <mergeCell ref="B34:C34"/>
    <mergeCell ref="B37:C37"/>
    <mergeCell ref="B28:C28"/>
    <mergeCell ref="B40:C40"/>
    <mergeCell ref="B49:C49"/>
    <mergeCell ref="B83:C83"/>
    <mergeCell ref="B74:C74"/>
    <mergeCell ref="B92:C92"/>
    <mergeCell ref="A100:B100"/>
    <mergeCell ref="B30:C30"/>
    <mergeCell ref="B55:C55"/>
    <mergeCell ref="B15:C15"/>
    <mergeCell ref="A1:C1"/>
    <mergeCell ref="B104:C104"/>
    <mergeCell ref="B51:C51"/>
    <mergeCell ref="B95:C95"/>
    <mergeCell ref="B80:C80"/>
    <mergeCell ref="B89:C89"/>
    <mergeCell ref="A111:B111"/>
    <mergeCell ref="B36:C36"/>
    <mergeCell ref="B94:C94"/>
    <mergeCell ref="B50:C50"/>
    <mergeCell ref="B26:C26"/>
    <mergeCell ref="B41:C41"/>
    <mergeCell ref="B35:C35"/>
    <mergeCell ref="B106:C10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Y99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33" customWidth="1" style="270" min="3" max="3"/>
    <col width="15.13" customWidth="1" style="270" min="8" max="8"/>
  </cols>
  <sheetData>
    <row r="1">
      <c r="A1" s="111" t="inlineStr">
        <is>
          <t>LISTA DE PRECIOS DE PRODUCTOS CELTRAP/JABOCON</t>
        </is>
      </c>
      <c r="D1" s="215" t="n"/>
      <c r="E1" s="223" t="n"/>
      <c r="F1" s="223" t="n"/>
      <c r="G1" s="223" t="n"/>
      <c r="H1" s="223" t="n"/>
      <c r="I1" s="223" t="n"/>
      <c r="K1" s="103" t="n"/>
      <c r="L1" s="103" t="n"/>
      <c r="M1" s="223" t="n"/>
      <c r="N1" s="223" t="n"/>
      <c r="S1" s="223" t="n"/>
      <c r="T1" s="223" t="n"/>
      <c r="U1" s="223" t="n"/>
      <c r="V1" s="223" t="n"/>
      <c r="W1" s="223" t="n"/>
      <c r="X1" s="223" t="n"/>
    </row>
    <row r="2">
      <c r="A2" s="186" t="inlineStr">
        <is>
          <t>VIGENCIA:</t>
        </is>
      </c>
      <c r="B2" s="210" t="n">
        <v>44805</v>
      </c>
      <c r="C2" s="223" t="n"/>
      <c r="D2" s="215" t="n"/>
      <c r="E2" s="223" t="n"/>
      <c r="F2" s="223" t="n"/>
      <c r="G2" s="223" t="n"/>
      <c r="H2" s="223" t="n"/>
      <c r="I2" s="223" t="n"/>
      <c r="K2" s="111" t="n"/>
      <c r="L2" s="103" t="n"/>
      <c r="M2" s="223" t="n"/>
      <c r="N2" s="223" t="n"/>
      <c r="S2" s="223" t="n"/>
      <c r="T2" s="223" t="n"/>
      <c r="U2" s="223" t="n"/>
      <c r="V2" s="223" t="n"/>
      <c r="W2" s="223" t="n"/>
      <c r="X2" s="223" t="n"/>
    </row>
    <row r="3">
      <c r="A3" s="223" t="n"/>
      <c r="B3" s="223" t="n"/>
      <c r="C3" s="223" t="n"/>
      <c r="D3" s="215" t="n"/>
      <c r="E3" s="223" t="n"/>
      <c r="F3" s="223" t="n"/>
      <c r="G3" s="223" t="n"/>
      <c r="H3" s="223" t="n"/>
      <c r="I3" s="223" t="n"/>
      <c r="K3" s="223" t="n"/>
      <c r="L3" s="223" t="n"/>
      <c r="M3" s="223" t="n"/>
      <c r="N3" s="223" t="n"/>
      <c r="S3" s="223" t="n"/>
      <c r="T3" s="223" t="n"/>
      <c r="U3" s="223" t="n"/>
      <c r="V3" s="223" t="n"/>
      <c r="W3" s="223" t="n"/>
      <c r="X3" s="223" t="n"/>
    </row>
    <row r="4">
      <c r="A4" s="211" t="inlineStr">
        <is>
          <t>Artículos</t>
        </is>
      </c>
      <c r="B4" s="223" t="n"/>
      <c r="C4" s="223" t="n"/>
      <c r="D4" s="249" t="inlineStr">
        <is>
          <t>Costo</t>
        </is>
      </c>
      <c r="E4" s="223" t="n"/>
      <c r="F4" s="186" t="inlineStr">
        <is>
          <t xml:space="preserve">Mayorista </t>
        </is>
      </c>
      <c r="G4" s="186" t="inlineStr">
        <is>
          <t xml:space="preserve">Minorista </t>
        </is>
      </c>
      <c r="H4" s="111" t="inlineStr">
        <is>
          <t>Minorista con IVA</t>
        </is>
      </c>
      <c r="I4" s="111" t="inlineStr">
        <is>
          <t>Redondeado</t>
        </is>
      </c>
      <c r="K4" s="188" t="inlineStr">
        <is>
          <t>Lista</t>
        </is>
      </c>
      <c r="L4" s="201" t="n">
        <v>0.1</v>
      </c>
      <c r="M4" s="201" t="n">
        <v>0.15</v>
      </c>
      <c r="N4" s="201" t="n">
        <v>0.2</v>
      </c>
      <c r="S4" s="223" t="n"/>
      <c r="T4" s="223" t="n"/>
      <c r="U4" s="223" t="n"/>
      <c r="V4" s="223" t="n"/>
      <c r="W4" s="223" t="n"/>
      <c r="X4" s="103" t="n"/>
    </row>
    <row r="5">
      <c r="A5" s="131" t="n"/>
      <c r="B5" s="223" t="n"/>
      <c r="C5" s="223" t="n"/>
      <c r="D5" s="215" t="n"/>
      <c r="E5" s="223" t="n"/>
      <c r="F5" s="223" t="n"/>
      <c r="G5" s="223" t="n"/>
      <c r="H5" s="223" t="n"/>
      <c r="I5" s="223" t="n"/>
      <c r="K5" s="188" t="n"/>
      <c r="L5" s="188" t="n"/>
      <c r="M5" s="188" t="n"/>
      <c r="N5" s="188" t="n"/>
      <c r="S5" s="223" t="n"/>
      <c r="T5" s="223" t="n"/>
      <c r="U5" s="223" t="n"/>
      <c r="V5" s="223" t="n"/>
      <c r="W5" s="223" t="n"/>
      <c r="X5" s="103" t="n"/>
    </row>
    <row r="6">
      <c r="A6" s="117" t="inlineStr">
        <is>
          <t>JABONES</t>
        </is>
      </c>
      <c r="B6" s="223" t="n"/>
      <c r="C6" s="223" t="n"/>
      <c r="D6" s="215" t="n"/>
      <c r="E6" s="223" t="n"/>
      <c r="F6" s="223" t="n"/>
      <c r="G6" s="223" t="n"/>
      <c r="H6" s="223" t="n"/>
      <c r="I6" s="223" t="n"/>
      <c r="K6" s="200" t="n"/>
      <c r="L6" s="200" t="n"/>
      <c r="M6" s="200" t="n"/>
      <c r="N6" s="200" t="n"/>
      <c r="S6" s="223" t="n"/>
      <c r="T6" s="223" t="n"/>
      <c r="U6" s="223" t="n"/>
      <c r="V6" s="223" t="n"/>
      <c r="W6" s="223" t="n"/>
      <c r="X6" s="223" t="n"/>
    </row>
    <row r="7">
      <c r="A7" s="124" t="n">
        <v>701</v>
      </c>
      <c r="B7" s="223" t="inlineStr">
        <is>
          <t>Botella 1 lt. Servicio Dilución DMQ</t>
        </is>
      </c>
      <c r="D7" s="215">
        <f>E7*0.93</f>
        <v/>
      </c>
      <c r="E7" s="238" t="n">
        <v>715.42</v>
      </c>
      <c r="F7" s="215">
        <f>D7*1.3*1.105</f>
        <v/>
      </c>
      <c r="G7" s="215">
        <f>D7*1.3*1.105/0.9</f>
        <v/>
      </c>
      <c r="H7" s="215">
        <f>G7*1.21</f>
        <v/>
      </c>
      <c r="I7" s="215">
        <f>ROUND(H7/100,0)*100</f>
        <v/>
      </c>
      <c r="K7" s="238" t="n">
        <v>777.63</v>
      </c>
      <c r="L7" s="256" t="n">
        <v>699.87</v>
      </c>
      <c r="M7" s="256" t="n">
        <v>660.99</v>
      </c>
      <c r="N7" s="254" t="n">
        <v>622.1</v>
      </c>
      <c r="S7" s="223" t="n"/>
      <c r="T7" s="223" t="n"/>
      <c r="U7" s="223" t="n"/>
      <c r="V7" s="223" t="n"/>
      <c r="W7" s="223" t="n"/>
      <c r="X7" s="223" t="n"/>
    </row>
    <row r="8">
      <c r="A8" s="124" t="n">
        <v>720</v>
      </c>
      <c r="B8" s="223" t="inlineStr">
        <is>
          <t>Bidon x 5 lts. Jabón Líquido Tocador</t>
        </is>
      </c>
      <c r="D8" s="215">
        <f>E8*0.93</f>
        <v/>
      </c>
      <c r="E8" s="236" t="n">
        <v>2243.81</v>
      </c>
      <c r="F8" s="218">
        <f>D8*1.3*1.105</f>
        <v/>
      </c>
      <c r="G8" s="219">
        <f>D8*1.3*1.105/0.9</f>
        <v/>
      </c>
      <c r="H8" s="220">
        <f>G8*1.21</f>
        <v/>
      </c>
      <c r="I8" s="215">
        <f>ROUND(H8/100,0)*100</f>
        <v/>
      </c>
      <c r="K8" s="236" t="n">
        <v>2438.92</v>
      </c>
      <c r="L8" s="257" t="n">
        <v>2195.03</v>
      </c>
      <c r="M8" s="257" t="n">
        <v>2073.08</v>
      </c>
      <c r="N8" s="253" t="n">
        <v>1951.14</v>
      </c>
      <c r="S8" s="223" t="n"/>
      <c r="T8" s="223" t="n"/>
      <c r="U8" s="223" t="n"/>
      <c r="V8" s="223" t="n"/>
      <c r="W8" s="223" t="n"/>
      <c r="X8" s="223" t="n"/>
    </row>
    <row r="9">
      <c r="A9" s="124" t="n"/>
      <c r="B9" s="223" t="n"/>
      <c r="C9" s="223" t="n"/>
      <c r="D9" s="215" t="n"/>
      <c r="E9" s="223" t="n"/>
      <c r="F9" s="222" t="n"/>
      <c r="G9" s="222" t="n"/>
      <c r="H9" s="222" t="n"/>
      <c r="I9" s="223" t="n"/>
      <c r="K9" s="200" t="n"/>
      <c r="L9" s="200" t="n"/>
      <c r="M9" s="200" t="n"/>
      <c r="N9" s="223" t="n"/>
      <c r="S9" s="223" t="n"/>
      <c r="T9" s="223" t="n"/>
      <c r="U9" s="223" t="n"/>
      <c r="V9" s="223" t="n"/>
      <c r="W9" s="223" t="n"/>
      <c r="X9" s="223" t="n"/>
    </row>
    <row r="10">
      <c r="A10" s="117" t="inlineStr">
        <is>
          <t>TOALLAS</t>
        </is>
      </c>
      <c r="B10" s="223" t="n"/>
      <c r="C10" s="223" t="n"/>
      <c r="D10" s="215" t="n"/>
      <c r="E10" s="223" t="n"/>
      <c r="F10" s="222" t="n"/>
      <c r="G10" s="222" t="n"/>
      <c r="H10" s="222" t="n"/>
      <c r="I10" s="223" t="n"/>
      <c r="K10" s="200" t="n"/>
      <c r="L10" s="200" t="n"/>
      <c r="M10" s="200" t="n"/>
      <c r="N10" s="223" t="n"/>
      <c r="S10" s="223" t="n"/>
      <c r="T10" s="223" t="n"/>
      <c r="U10" s="223" t="n"/>
      <c r="V10" s="223" t="n"/>
      <c r="W10" s="223" t="n"/>
      <c r="X10" s="223" t="n"/>
    </row>
    <row r="11">
      <c r="A11" s="131" t="n"/>
      <c r="B11" s="223" t="n"/>
      <c r="C11" s="223" t="n"/>
      <c r="D11" s="215" t="n"/>
      <c r="E11" s="223" t="n"/>
      <c r="F11" s="222" t="n"/>
      <c r="G11" s="222" t="n"/>
      <c r="H11" s="222" t="n"/>
      <c r="I11" s="223" t="n"/>
      <c r="K11" s="200" t="n"/>
      <c r="L11" s="200" t="n"/>
      <c r="M11" s="200" t="n"/>
      <c r="N11" s="223" t="n"/>
      <c r="S11" s="223" t="n"/>
      <c r="T11" s="223" t="n"/>
      <c r="U11" s="223" t="n"/>
      <c r="V11" s="223" t="n"/>
      <c r="W11" s="223" t="n"/>
      <c r="X11" s="223" t="n"/>
    </row>
    <row r="12">
      <c r="A12" s="182" t="n">
        <v>901</v>
      </c>
      <c r="B12" s="224" t="inlineStr">
        <is>
          <t>Toallas Blancas Super 21x25</t>
        </is>
      </c>
      <c r="C12" s="224" t="n"/>
      <c r="D12" s="227">
        <f>E12*0.93</f>
        <v/>
      </c>
      <c r="E12" s="238" t="n">
        <v>2662.58</v>
      </c>
      <c r="F12" s="227">
        <f>D12*1.3*1.105</f>
        <v/>
      </c>
      <c r="G12" s="226">
        <f>D12*1.3*1.105/0.9</f>
        <v/>
      </c>
      <c r="H12" s="227">
        <f>G12*1.21</f>
        <v/>
      </c>
      <c r="I12" s="227">
        <f>ROUND(H12/100,0)*100</f>
        <v/>
      </c>
      <c r="J12" s="193" t="n"/>
      <c r="K12" s="238" t="n">
        <v>2894.1</v>
      </c>
      <c r="L12" s="256" t="n">
        <v>2604.69</v>
      </c>
      <c r="M12" s="256" t="n">
        <v>2459.99</v>
      </c>
      <c r="N12" s="254" t="n">
        <v>2315.28</v>
      </c>
      <c r="O12" s="193" t="n"/>
      <c r="P12" s="193" t="n"/>
      <c r="Q12" s="193" t="n"/>
      <c r="R12" s="193" t="n"/>
      <c r="S12" s="224" t="n"/>
      <c r="T12" s="224" t="n"/>
      <c r="U12" s="224" t="n"/>
      <c r="V12" s="224" t="n"/>
      <c r="W12" s="224" t="n"/>
      <c r="X12" s="224" t="n"/>
      <c r="Y12" s="193" t="n"/>
    </row>
    <row r="13">
      <c r="A13" s="124" t="n">
        <v>902</v>
      </c>
      <c r="B13" s="223" t="inlineStr">
        <is>
          <t>Toallas Blancas Pura Simple</t>
        </is>
      </c>
      <c r="C13" s="223" t="n"/>
      <c r="D13" s="215">
        <f>E13*0.93</f>
        <v/>
      </c>
      <c r="E13" s="236" t="n">
        <v>2952.22</v>
      </c>
      <c r="F13" s="220">
        <f>D13*1.3*1.105</f>
        <v/>
      </c>
      <c r="G13" s="219">
        <f>D13*1.3*1.105/0.9</f>
        <v/>
      </c>
      <c r="H13" s="220">
        <f>G13*1.21</f>
        <v/>
      </c>
      <c r="I13" s="215">
        <f>ROUND(H13/100,0)*100</f>
        <v/>
      </c>
      <c r="K13" s="236" t="n">
        <v>3209.28</v>
      </c>
      <c r="L13" s="257" t="n">
        <v>2888.35</v>
      </c>
      <c r="M13" s="257" t="n">
        <v>2727.89</v>
      </c>
      <c r="N13" s="253" t="n">
        <v>2567.42</v>
      </c>
      <c r="S13" s="223" t="n"/>
      <c r="T13" s="223" t="n"/>
      <c r="U13" s="223" t="n"/>
      <c r="V13" s="223" t="n"/>
      <c r="W13" s="223" t="n"/>
      <c r="X13" s="223" t="n"/>
    </row>
    <row r="14">
      <c r="A14" s="124" t="n">
        <v>903</v>
      </c>
      <c r="B14" s="223" t="inlineStr">
        <is>
          <t>Toallas Blancas Pura Doble</t>
        </is>
      </c>
      <c r="C14" s="223" t="n"/>
      <c r="D14" s="215">
        <f>E14*0.93</f>
        <v/>
      </c>
      <c r="E14" s="236" t="n">
        <v>3679.16</v>
      </c>
      <c r="F14" s="220">
        <f>D14*1.3*1.105</f>
        <v/>
      </c>
      <c r="G14" s="219">
        <f>D14*1.3*1.105/0.9</f>
        <v/>
      </c>
      <c r="H14" s="220">
        <f>G14*1.21</f>
        <v/>
      </c>
      <c r="I14" s="215">
        <f>ROUND(H14/100,0)*100</f>
        <v/>
      </c>
      <c r="K14" s="236" t="n">
        <v>3999.09</v>
      </c>
      <c r="L14" s="257" t="n">
        <v>3599.18</v>
      </c>
      <c r="M14" s="257" t="n">
        <v>3399.23</v>
      </c>
      <c r="N14" s="253" t="n">
        <v>3199.27</v>
      </c>
      <c r="S14" s="223" t="n"/>
      <c r="T14" s="223" t="n"/>
      <c r="U14" s="223" t="n"/>
      <c r="V14" s="223" t="n"/>
      <c r="W14" s="223" t="n"/>
      <c r="X14" s="223" t="n"/>
    </row>
    <row r="15">
      <c r="A15" s="124" t="n">
        <v>914</v>
      </c>
      <c r="B15" s="223" t="inlineStr">
        <is>
          <t>Toalla Blanca Unitas (17,5x25 cm)</t>
        </is>
      </c>
      <c r="D15" s="215">
        <f>E15*0.93</f>
        <v/>
      </c>
      <c r="E15" s="236" t="n">
        <v>2028.81</v>
      </c>
      <c r="F15" s="220">
        <f>D15*1.3*1.105</f>
        <v/>
      </c>
      <c r="G15" s="219">
        <f>D15*1.3*1.105/0.9</f>
        <v/>
      </c>
      <c r="H15" s="220">
        <f>G15*1.21</f>
        <v/>
      </c>
      <c r="I15" s="215">
        <f>ROUND(H15/100,0)*100</f>
        <v/>
      </c>
      <c r="K15" s="236" t="n">
        <v>2205.23</v>
      </c>
      <c r="L15" s="257" t="n">
        <v>1984.71</v>
      </c>
      <c r="M15" s="257" t="n">
        <v>1874.45</v>
      </c>
      <c r="N15" s="253" t="n">
        <v>1764.18</v>
      </c>
      <c r="S15" s="223" t="n"/>
      <c r="T15" s="223" t="n"/>
      <c r="U15" s="223" t="n"/>
      <c r="V15" s="223" t="n"/>
      <c r="W15" s="223" t="n"/>
      <c r="X15" s="223" t="n"/>
    </row>
    <row r="16">
      <c r="A16" s="124" t="n">
        <v>916</v>
      </c>
      <c r="B16" s="223" t="inlineStr">
        <is>
          <t>Toalla Blanca Especial 21 x 25 ( tiza )</t>
        </is>
      </c>
      <c r="D16" s="215">
        <f>E16*0.93</f>
        <v/>
      </c>
      <c r="E16" s="236" t="n">
        <v>2483.14</v>
      </c>
      <c r="F16" s="220">
        <f>D16*1.3*1.105</f>
        <v/>
      </c>
      <c r="G16" s="219">
        <f>D16*1.3*1.105/0.9</f>
        <v/>
      </c>
      <c r="H16" s="220">
        <f>G16*1.21</f>
        <v/>
      </c>
      <c r="I16" s="215">
        <f>ROUND(H16/100,0)*100</f>
        <v/>
      </c>
      <c r="K16" s="236" t="n">
        <v>2699.06</v>
      </c>
      <c r="L16" s="257" t="n">
        <v>2429.15</v>
      </c>
      <c r="M16" s="257" t="n">
        <v>2294.2</v>
      </c>
      <c r="N16" s="253" t="n">
        <v>2159.25</v>
      </c>
      <c r="S16" s="223" t="n"/>
      <c r="T16" s="223" t="n"/>
      <c r="U16" s="223" t="n"/>
      <c r="V16" s="223" t="n"/>
      <c r="W16" s="223" t="n"/>
      <c r="X16" s="223" t="n"/>
    </row>
    <row r="17">
      <c r="A17" s="124" t="n">
        <v>920</v>
      </c>
      <c r="B17" s="223" t="inlineStr">
        <is>
          <t>Toalla Blanca Especial 21 x 37 ( tiza )</t>
        </is>
      </c>
      <c r="D17" s="215">
        <f>E17*0.93</f>
        <v/>
      </c>
      <c r="E17" s="236" t="n">
        <v>3387.37</v>
      </c>
      <c r="F17" s="220">
        <f>D17*1.3*1.105</f>
        <v/>
      </c>
      <c r="G17" s="219">
        <f>D17*1.3*1.105/0.9</f>
        <v/>
      </c>
      <c r="H17" s="220">
        <f>G17*1.21</f>
        <v/>
      </c>
      <c r="I17" s="215">
        <f>ROUND(H17/100,0)*100</f>
        <v/>
      </c>
      <c r="K17" s="236" t="n">
        <v>3681.92</v>
      </c>
      <c r="L17" s="257" t="n">
        <v>3313.73</v>
      </c>
      <c r="M17" s="257" t="n">
        <v>3129.63</v>
      </c>
      <c r="N17" s="253" t="n">
        <v>2945.54</v>
      </c>
      <c r="S17" s="223" t="n"/>
      <c r="T17" s="223" t="n"/>
      <c r="U17" s="223" t="n"/>
      <c r="V17" s="223" t="n"/>
      <c r="W17" s="223" t="n"/>
      <c r="X17" s="223" t="n"/>
    </row>
    <row r="18">
      <c r="A18" s="124" t="n">
        <v>927</v>
      </c>
      <c r="B18" s="223" t="inlineStr">
        <is>
          <t>Toalla Blanca Especial 17,5 x 25 ( tiza ) Unita</t>
        </is>
      </c>
      <c r="D18" s="215">
        <f>E18*0.93</f>
        <v/>
      </c>
      <c r="E18" s="236" t="n">
        <v>1946.49</v>
      </c>
      <c r="F18" s="220">
        <f>D18*1.3*1.105</f>
        <v/>
      </c>
      <c r="G18" s="219">
        <f>D18*1.3*1.105/0.9</f>
        <v/>
      </c>
      <c r="H18" s="220">
        <f>G18*1.21</f>
        <v/>
      </c>
      <c r="I18" s="215">
        <f>ROUND(H18/100,0)*100</f>
        <v/>
      </c>
      <c r="K18" s="236" t="n">
        <v>2115.75</v>
      </c>
      <c r="L18" s="257" t="n">
        <v>1904.18</v>
      </c>
      <c r="M18" s="257" t="n">
        <v>1798.39</v>
      </c>
      <c r="N18" s="253" t="n">
        <v>1692.6</v>
      </c>
      <c r="S18" s="223" t="n"/>
      <c r="T18" s="223" t="n"/>
      <c r="U18" s="223" t="n"/>
      <c r="V18" s="223" t="n"/>
      <c r="W18" s="223" t="n"/>
      <c r="X18" s="223" t="n"/>
    </row>
    <row r="19">
      <c r="A19" s="182" t="n">
        <v>928</v>
      </c>
      <c r="B19" s="224" t="inlineStr">
        <is>
          <t>Cajas x 2500 Toallas Beige 21x37</t>
        </is>
      </c>
      <c r="D19" s="227">
        <f>E19*0.93</f>
        <v/>
      </c>
      <c r="E19" s="236" t="n">
        <v>2868.82</v>
      </c>
      <c r="F19" s="227">
        <f>D19*1.3*1.105</f>
        <v/>
      </c>
      <c r="G19" s="226">
        <f>D19*1.3*1.105/0.9</f>
        <v/>
      </c>
      <c r="H19" s="227">
        <f>G19*1.21</f>
        <v/>
      </c>
      <c r="I19" s="227">
        <f>ROUND(H19/100,0)*100</f>
        <v/>
      </c>
      <c r="J19" s="193" t="n"/>
      <c r="K19" s="236" t="n">
        <v>3118.29</v>
      </c>
      <c r="L19" s="257" t="n">
        <v>2806.46</v>
      </c>
      <c r="M19" s="257" t="n">
        <v>2650.55</v>
      </c>
      <c r="N19" s="253" t="n">
        <v>2494.63</v>
      </c>
      <c r="O19" s="193" t="n"/>
      <c r="P19" s="193" t="n"/>
      <c r="Q19" s="193" t="n"/>
      <c r="R19" s="193" t="n"/>
      <c r="S19" s="224" t="n"/>
      <c r="T19" s="224" t="n"/>
      <c r="U19" s="224" t="n"/>
      <c r="V19" s="224" t="n"/>
      <c r="W19" s="224" t="n"/>
      <c r="X19" s="224" t="n"/>
      <c r="Y19" s="193" t="n"/>
    </row>
    <row r="20">
      <c r="A20" s="182" t="n">
        <v>930</v>
      </c>
      <c r="B20" s="224" t="inlineStr">
        <is>
          <t>Toalla Blanca Super 21x37 cm</t>
        </is>
      </c>
      <c r="C20" s="224" t="n"/>
      <c r="D20" s="227">
        <f>E20*0.93</f>
        <v/>
      </c>
      <c r="E20" s="236" t="n">
        <v>3661.48</v>
      </c>
      <c r="F20" s="227">
        <f>D20*1.3*1.105</f>
        <v/>
      </c>
      <c r="G20" s="226">
        <f>D20*1.3*1.105/0.9</f>
        <v/>
      </c>
      <c r="H20" s="227">
        <f>G20*1.21</f>
        <v/>
      </c>
      <c r="I20" s="227">
        <f>ROUND(H20/100,0)*100</f>
        <v/>
      </c>
      <c r="J20" s="193" t="n"/>
      <c r="K20" s="236" t="n">
        <v>3979.87</v>
      </c>
      <c r="L20" s="257" t="n">
        <v>3581.88</v>
      </c>
      <c r="M20" s="257" t="n">
        <v>3382.89</v>
      </c>
      <c r="N20" s="253" t="n">
        <v>3183.9</v>
      </c>
      <c r="O20" s="193" t="n"/>
      <c r="P20" s="193" t="n"/>
      <c r="Q20" s="193" t="n"/>
      <c r="R20" s="193" t="n"/>
      <c r="S20" s="224" t="n"/>
      <c r="T20" s="224" t="n"/>
      <c r="U20" s="224" t="n"/>
      <c r="V20" s="224" t="n"/>
      <c r="W20" s="224" t="n"/>
      <c r="X20" s="224" t="n"/>
      <c r="Y20" s="193" t="n"/>
    </row>
    <row r="21">
      <c r="A21" s="124" t="n">
        <v>931</v>
      </c>
      <c r="B21" s="223" t="inlineStr">
        <is>
          <t>Caja x 2500 Toallas Beige Unitas 17,5 cm x 25 cm</t>
        </is>
      </c>
      <c r="D21" s="215">
        <f>E21*0.93</f>
        <v/>
      </c>
      <c r="E21" s="236" t="n">
        <v>1790.76</v>
      </c>
      <c r="F21" s="220">
        <f>D21*1.3*1.105</f>
        <v/>
      </c>
      <c r="G21" s="219">
        <f>D21*1.3*1.105/0.9</f>
        <v/>
      </c>
      <c r="H21" s="220">
        <f>G21*1.21</f>
        <v/>
      </c>
      <c r="I21" s="215">
        <f>ROUND(H21/100,0)*100</f>
        <v/>
      </c>
      <c r="K21" s="236" t="n">
        <v>1946.48</v>
      </c>
      <c r="L21" s="257" t="n">
        <v>1751.83</v>
      </c>
      <c r="M21" s="257" t="n">
        <v>1654.51</v>
      </c>
      <c r="N21" s="253" t="n">
        <v>1557.18</v>
      </c>
      <c r="S21" s="223" t="n"/>
      <c r="T21" s="223" t="n"/>
      <c r="U21" s="223" t="n"/>
      <c r="V21" s="223" t="n"/>
      <c r="W21" s="223" t="n"/>
      <c r="X21" s="223" t="n"/>
    </row>
    <row r="22">
      <c r="A22" s="182" t="n">
        <v>932</v>
      </c>
      <c r="B22" s="224" t="inlineStr">
        <is>
          <t>Caja x 2500 Toallas Beige 21 cm x 25 cm simple hoja</t>
        </is>
      </c>
      <c r="D22" s="227">
        <f>E22*0.93</f>
        <v/>
      </c>
      <c r="E22" s="236" t="n">
        <v>2041.83</v>
      </c>
      <c r="F22" s="227">
        <f>D22*1.3*1.105</f>
        <v/>
      </c>
      <c r="G22" s="227">
        <f>D22*1.3*1.105/0.9</f>
        <v/>
      </c>
      <c r="H22" s="227">
        <f>G22*1.21</f>
        <v/>
      </c>
      <c r="I22" s="227">
        <f>ROUND(H22/100,0)*100</f>
        <v/>
      </c>
      <c r="J22" s="193" t="n"/>
      <c r="K22" s="236" t="n">
        <v>2219.38</v>
      </c>
      <c r="L22" s="257" t="n">
        <v>1997.44</v>
      </c>
      <c r="M22" s="257" t="n">
        <v>1886.47</v>
      </c>
      <c r="N22" s="253" t="n">
        <v>1775.5</v>
      </c>
      <c r="O22" s="193" t="n"/>
      <c r="P22" s="193" t="n"/>
      <c r="Q22" s="193" t="n"/>
      <c r="R22" s="193" t="n"/>
      <c r="S22" s="224" t="n"/>
      <c r="T22" s="224" t="n"/>
      <c r="U22" s="224" t="n"/>
      <c r="V22" s="224" t="n"/>
      <c r="W22" s="224" t="n"/>
      <c r="X22" s="224" t="n"/>
      <c r="Y22" s="193" t="n"/>
    </row>
    <row r="23">
      <c r="A23" s="124" t="n"/>
      <c r="B23" s="223" t="n"/>
      <c r="C23" s="223" t="n"/>
      <c r="D23" s="215" t="n"/>
      <c r="E23" s="223" t="n"/>
      <c r="F23" s="222" t="n"/>
      <c r="G23" s="222" t="n"/>
      <c r="H23" s="222" t="n"/>
      <c r="I23" s="223" t="n"/>
      <c r="K23" s="200" t="n"/>
      <c r="L23" s="200" t="n"/>
      <c r="M23" s="200" t="n"/>
      <c r="N23" s="223" t="n"/>
      <c r="S23" s="223" t="n"/>
      <c r="T23" s="223" t="n"/>
      <c r="U23" s="223" t="n"/>
      <c r="V23" s="223" t="n"/>
      <c r="W23" s="223" t="n"/>
      <c r="X23" s="223" t="n"/>
    </row>
    <row r="24">
      <c r="A24" s="117" t="inlineStr">
        <is>
          <t>TOALLAS EN ROLLO</t>
        </is>
      </c>
      <c r="B24" s="271" t="n"/>
      <c r="C24" s="223" t="n"/>
      <c r="D24" s="215" t="n"/>
      <c r="E24" s="223" t="n"/>
      <c r="F24" s="222" t="n"/>
      <c r="G24" s="222" t="n"/>
      <c r="H24" s="222" t="n"/>
      <c r="I24" s="223" t="n"/>
      <c r="K24" s="200" t="n"/>
      <c r="L24" s="200" t="n"/>
      <c r="M24" s="200" t="n"/>
      <c r="N24" s="223" t="n"/>
      <c r="S24" s="223" t="n"/>
      <c r="T24" s="223" t="n"/>
      <c r="U24" s="223" t="n"/>
      <c r="V24" s="223" t="n"/>
      <c r="W24" s="223" t="n"/>
      <c r="X24" s="223" t="n"/>
    </row>
    <row r="25">
      <c r="A25" s="131" t="n"/>
      <c r="B25" s="111" t="n"/>
      <c r="C25" s="223" t="n"/>
      <c r="D25" s="215" t="n"/>
      <c r="E25" s="223" t="n"/>
      <c r="F25" s="222" t="n"/>
      <c r="G25" s="222" t="n"/>
      <c r="H25" s="222" t="n"/>
      <c r="I25" s="223" t="n"/>
      <c r="K25" s="200" t="n"/>
      <c r="L25" s="200" t="n"/>
      <c r="M25" s="200" t="n"/>
      <c r="N25" s="223" t="n"/>
      <c r="S25" s="223" t="n"/>
      <c r="T25" s="223" t="n"/>
      <c r="U25" s="223" t="n"/>
      <c r="V25" s="223" t="n"/>
      <c r="W25" s="223" t="n"/>
      <c r="X25" s="223" t="n"/>
    </row>
    <row r="26">
      <c r="A26" s="124" t="n">
        <v>204</v>
      </c>
      <c r="B26" s="223" t="inlineStr">
        <is>
          <t>Pack X 2 Rollos de toalla x 300 mts Blanca</t>
        </is>
      </c>
      <c r="D26" s="215">
        <f>E26*0.93</f>
        <v/>
      </c>
      <c r="E26" s="238" t="n">
        <v>1963.44</v>
      </c>
      <c r="F26" s="218">
        <f>D26*1.3*1.105</f>
        <v/>
      </c>
      <c r="G26" s="219">
        <f>D26*1.3*1.105/0.9</f>
        <v/>
      </c>
      <c r="H26" s="220">
        <f>G26*1.21</f>
        <v/>
      </c>
      <c r="I26" s="215">
        <f>ROUND(H26/100,0)*100</f>
        <v/>
      </c>
      <c r="K26" s="238" t="n">
        <v>2134.17</v>
      </c>
      <c r="L26" s="256" t="n">
        <v>1920.75</v>
      </c>
      <c r="M26" s="256" t="n">
        <v>1814.04</v>
      </c>
      <c r="N26" s="254" t="n">
        <v>1707.34</v>
      </c>
      <c r="S26" s="223" t="n"/>
      <c r="T26" s="223" t="n"/>
      <c r="U26" s="223" t="n"/>
      <c r="V26" s="223" t="n"/>
      <c r="W26" s="223" t="n"/>
      <c r="X26" s="223" t="n"/>
    </row>
    <row r="27">
      <c r="A27" s="124" t="n">
        <v>205</v>
      </c>
      <c r="B27" s="223" t="inlineStr">
        <is>
          <t>Pack X 2 Rollos de toalla x 240 mts Blanca</t>
        </is>
      </c>
      <c r="D27" s="215">
        <f>E27*0.93</f>
        <v/>
      </c>
      <c r="E27" s="236" t="n">
        <v>1564.78</v>
      </c>
      <c r="F27" s="218">
        <f>D27*1.3*1.105</f>
        <v/>
      </c>
      <c r="G27" s="219">
        <f>D27*1.3*1.105/0.9</f>
        <v/>
      </c>
      <c r="H27" s="220">
        <f>G27*1.21</f>
        <v/>
      </c>
      <c r="I27" s="215">
        <f>ROUND(H27/100,0)*100</f>
        <v/>
      </c>
      <c r="K27" s="236" t="n">
        <v>1700.85</v>
      </c>
      <c r="L27" s="257" t="n">
        <v>1530.77</v>
      </c>
      <c r="M27" s="257" t="n">
        <v>1445.72</v>
      </c>
      <c r="N27" s="253" t="n">
        <v>1360.68</v>
      </c>
      <c r="S27" s="223" t="n"/>
      <c r="T27" s="223" t="n"/>
      <c r="U27" s="223" t="n"/>
      <c r="V27" s="223" t="n"/>
      <c r="W27" s="223" t="n"/>
      <c r="X27" s="223" t="n"/>
    </row>
    <row r="28">
      <c r="A28" s="182" t="n">
        <v>116</v>
      </c>
      <c r="B28" s="224" t="inlineStr">
        <is>
          <t>Pack x 6 Rollos de Toallas x 200 mts. Blanca</t>
        </is>
      </c>
      <c r="D28" s="227">
        <f>E28*0.93</f>
        <v/>
      </c>
      <c r="E28" s="236" t="n">
        <v>4018.42</v>
      </c>
      <c r="F28" s="228">
        <f>D28*1.3*1.105</f>
        <v/>
      </c>
      <c r="G28" s="226">
        <f>D28*1.3*1.105/0.9</f>
        <v/>
      </c>
      <c r="H28" s="227">
        <f>G28*1.21</f>
        <v/>
      </c>
      <c r="I28" s="227">
        <f>ROUND(H28/100,0)*100</f>
        <v/>
      </c>
      <c r="J28" s="193" t="n"/>
      <c r="K28" s="236" t="n">
        <v>4367.85</v>
      </c>
      <c r="L28" s="257" t="n">
        <v>3931.07</v>
      </c>
      <c r="M28" s="257" t="n">
        <v>3712.67</v>
      </c>
      <c r="N28" s="253" t="n">
        <v>3494.28</v>
      </c>
      <c r="O28" s="193" t="n"/>
      <c r="P28" s="193" t="n"/>
      <c r="Q28" s="193" t="n"/>
      <c r="R28" s="193" t="n"/>
      <c r="S28" s="224" t="n"/>
      <c r="T28" s="224" t="n"/>
      <c r="U28" s="224" t="n"/>
      <c r="V28" s="224" t="n"/>
      <c r="W28" s="224" t="n"/>
      <c r="X28" s="224" t="n"/>
      <c r="Y28" s="193" t="n"/>
    </row>
    <row r="29">
      <c r="A29" s="124" t="n">
        <v>135</v>
      </c>
      <c r="B29" s="223" t="inlineStr">
        <is>
          <t>Recarga Original P/Dispenser Celmatic 2500 U. Dobles</t>
        </is>
      </c>
      <c r="D29" s="215">
        <f>E29*0.93</f>
        <v/>
      </c>
      <c r="E29" s="236" t="n">
        <v>5164.9</v>
      </c>
      <c r="F29" s="218">
        <f>D29*1.3*1.105</f>
        <v/>
      </c>
      <c r="G29" s="219">
        <f>D29*1.3*1.105/0.9</f>
        <v/>
      </c>
      <c r="H29" s="220">
        <f>G29*1.21</f>
        <v/>
      </c>
      <c r="I29" s="215">
        <f>ROUND(H29/100,0)*100</f>
        <v/>
      </c>
      <c r="K29" s="236" t="n">
        <v>5614.02</v>
      </c>
      <c r="L29" s="257" t="n">
        <v>5052.62</v>
      </c>
      <c r="M29" s="257" t="n">
        <v>4771.92</v>
      </c>
      <c r="N29" s="253" t="n">
        <v>4491.22</v>
      </c>
      <c r="S29" s="223" t="n"/>
      <c r="T29" s="223" t="n"/>
      <c r="U29" s="223" t="n"/>
      <c r="V29" s="223" t="n"/>
      <c r="W29" s="223" t="n"/>
      <c r="X29" s="223" t="n"/>
    </row>
    <row r="30">
      <c r="A30" s="124" t="n">
        <v>136</v>
      </c>
      <c r="B30" s="223" t="inlineStr">
        <is>
          <t>Pack x 4 Recarga Celmatic Due 2400 U. Dobles</t>
        </is>
      </c>
      <c r="D30" s="215">
        <f>E30*0.93</f>
        <v/>
      </c>
      <c r="E30" s="236" t="n">
        <v>3863.1</v>
      </c>
      <c r="F30" s="218">
        <f>D30*1.3*1.105</f>
        <v/>
      </c>
      <c r="G30" s="219">
        <f>D30*1.3*1.105/0.9</f>
        <v/>
      </c>
      <c r="H30" s="220">
        <f>G30*1.21</f>
        <v/>
      </c>
      <c r="I30" s="215">
        <f>ROUND(H30/100,0)*100</f>
        <v/>
      </c>
      <c r="K30" s="236" t="n">
        <v>4199.02</v>
      </c>
      <c r="L30" s="257" t="n">
        <v>3779.12</v>
      </c>
      <c r="M30" s="257" t="n">
        <v>3569.17</v>
      </c>
      <c r="N30" s="253" t="n">
        <v>3359.22</v>
      </c>
      <c r="S30" s="223" t="n"/>
      <c r="T30" s="223" t="n"/>
      <c r="U30" s="223" t="n"/>
      <c r="V30" s="223" t="n"/>
      <c r="W30" s="223" t="n"/>
      <c r="X30" s="223" t="n"/>
    </row>
    <row r="31">
      <c r="A31" s="124" t="n"/>
      <c r="B31" s="223" t="n"/>
      <c r="C31" s="223" t="n"/>
      <c r="D31" s="215" t="n"/>
      <c r="E31" s="236" t="n"/>
      <c r="F31" s="222" t="n"/>
      <c r="G31" s="222" t="n"/>
      <c r="H31" s="222" t="n"/>
      <c r="I31" s="223" t="n"/>
      <c r="K31" s="200" t="n"/>
      <c r="L31" s="200" t="n"/>
      <c r="M31" s="200" t="n"/>
      <c r="N31" s="200" t="n"/>
      <c r="S31" s="223" t="n"/>
      <c r="T31" s="223" t="n"/>
      <c r="U31" s="223" t="n"/>
      <c r="V31" s="223" t="n"/>
      <c r="W31" s="223" t="n"/>
      <c r="X31" s="223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215" t="n"/>
      <c r="E32" s="190" t="n"/>
      <c r="F32" s="222" t="n"/>
      <c r="G32" s="222" t="n"/>
      <c r="H32" s="222" t="n"/>
      <c r="I32" s="223" t="n"/>
      <c r="K32" s="190" t="n"/>
      <c r="L32" s="190" t="n"/>
      <c r="M32" s="190" t="n"/>
      <c r="N32" s="190" t="n"/>
      <c r="S32" s="223" t="n"/>
      <c r="T32" s="223" t="n"/>
      <c r="U32" s="223" t="n"/>
      <c r="V32" s="223" t="n"/>
      <c r="W32" s="223" t="n"/>
      <c r="X32" s="223" t="n"/>
    </row>
    <row r="33">
      <c r="A33" s="131" t="n"/>
      <c r="B33" s="158" t="n"/>
      <c r="C33" s="223" t="n"/>
      <c r="D33" s="215" t="n"/>
      <c r="E33" s="234" t="n"/>
      <c r="F33" s="222" t="n"/>
      <c r="G33" s="222" t="n"/>
      <c r="H33" s="222" t="n"/>
      <c r="I33" s="223" t="n"/>
      <c r="K33" s="197" t="inlineStr">
        <is>
          <t>U$S</t>
        </is>
      </c>
      <c r="L33" s="190" t="n"/>
      <c r="M33" s="190" t="n"/>
      <c r="N33" s="234" t="n"/>
      <c r="S33" s="223" t="n"/>
      <c r="T33" s="223" t="n"/>
      <c r="U33" s="223" t="n"/>
      <c r="V33" s="223" t="n"/>
      <c r="W33" s="223" t="n"/>
      <c r="X33" s="223" t="n"/>
    </row>
    <row r="34">
      <c r="A34" s="182" t="n">
        <v>501</v>
      </c>
      <c r="B34" s="235" t="inlineStr">
        <is>
          <t>Pack x 2 rollos Cel-Soft de 22,5 x 150 mts</t>
        </is>
      </c>
      <c r="D34" s="227">
        <f>E34*0.93</f>
        <v/>
      </c>
      <c r="E34" s="236" t="n">
        <v>49.56</v>
      </c>
      <c r="F34" s="228">
        <f>D34*1.3*1.105</f>
        <v/>
      </c>
      <c r="G34" s="226">
        <f>D34*1.3*1.105/0.9</f>
        <v/>
      </c>
      <c r="H34" s="227">
        <f>G34*1.21</f>
        <v/>
      </c>
      <c r="I34" s="227">
        <f>ROUND(H34/100,0)*100</f>
        <v/>
      </c>
      <c r="J34" s="193" t="n"/>
      <c r="K34" s="238" t="n">
        <v>61.93</v>
      </c>
      <c r="L34" s="256" t="n">
        <v>55.75</v>
      </c>
      <c r="M34" s="256" t="n">
        <v>52.65</v>
      </c>
      <c r="N34" s="253" t="n">
        <v>49.56</v>
      </c>
      <c r="O34" s="193" t="n"/>
      <c r="P34" s="193" t="n"/>
      <c r="Q34" s="193" t="n"/>
      <c r="R34" s="193" t="n"/>
      <c r="S34" s="224" t="n"/>
      <c r="T34" s="224" t="n"/>
      <c r="U34" s="224" t="n"/>
      <c r="V34" s="224" t="n"/>
      <c r="W34" s="224" t="n"/>
      <c r="X34" s="224" t="n"/>
      <c r="Y34" s="193" t="n"/>
    </row>
    <row r="35">
      <c r="A35" s="124" t="n">
        <v>505</v>
      </c>
      <c r="B35" s="223" t="inlineStr">
        <is>
          <t>Caja x 2000 U. Servilletas Cel-Soft 30 x 40 cm</t>
        </is>
      </c>
      <c r="D35" s="215">
        <f>E35*0.93</f>
        <v/>
      </c>
      <c r="E35" s="236" t="n">
        <v>238.04</v>
      </c>
      <c r="F35" s="218">
        <f>D35*1.3*1.105</f>
        <v/>
      </c>
      <c r="G35" s="219">
        <f>D35*1.3*1.105/0.9</f>
        <v/>
      </c>
      <c r="H35" s="220">
        <f>G35*1.21</f>
        <v/>
      </c>
      <c r="I35" s="215">
        <f>ROUND(H35/100,0)*100</f>
        <v/>
      </c>
      <c r="K35" s="236" t="n">
        <v>297.55</v>
      </c>
      <c r="L35" s="257" t="n">
        <v>267.8</v>
      </c>
      <c r="M35" s="257" t="n">
        <v>252.92</v>
      </c>
      <c r="N35" s="253" t="n">
        <v>238.04</v>
      </c>
      <c r="S35" s="223" t="n"/>
      <c r="T35" s="223" t="n"/>
      <c r="U35" s="223" t="n"/>
      <c r="V35" s="223" t="n"/>
      <c r="W35" s="223" t="n"/>
      <c r="X35" s="223" t="n"/>
    </row>
    <row r="36">
      <c r="A36" s="124" t="n">
        <v>506</v>
      </c>
      <c r="B36" s="223" t="inlineStr">
        <is>
          <t>Caja x 3500 Toallas Cel-Soft 21 x 25 cm Blancas</t>
        </is>
      </c>
      <c r="D36" s="215">
        <f>E36*0.93</f>
        <v/>
      </c>
      <c r="E36" s="236" t="n">
        <v>133.23</v>
      </c>
      <c r="F36" s="218">
        <f>D36*1.3*1.105</f>
        <v/>
      </c>
      <c r="G36" s="219">
        <f>D36*1.3*1.105/0.9</f>
        <v/>
      </c>
      <c r="H36" s="220">
        <f>G36*1.21</f>
        <v/>
      </c>
      <c r="I36" s="215">
        <f>ROUND(H36/100,0)*100</f>
        <v/>
      </c>
      <c r="K36" s="236" t="n">
        <v>166.54</v>
      </c>
      <c r="L36" s="257" t="n">
        <v>149.89</v>
      </c>
      <c r="M36" s="257" t="n">
        <v>141.56</v>
      </c>
      <c r="N36" s="253" t="n">
        <v>133.23</v>
      </c>
      <c r="S36" s="223" t="n"/>
      <c r="T36" s="223" t="n"/>
      <c r="U36" s="223" t="n"/>
      <c r="V36" s="223" t="n"/>
      <c r="W36" s="223" t="n"/>
      <c r="X36" s="223" t="n"/>
    </row>
    <row r="37">
      <c r="A37" s="182" t="n">
        <v>512</v>
      </c>
      <c r="B37" s="224" t="inlineStr">
        <is>
          <t>Caja x 2000 U. Servilletas Cel-Soft 30 x 25 cm</t>
        </is>
      </c>
      <c r="D37" s="227">
        <f>E37*0.93</f>
        <v/>
      </c>
      <c r="E37" s="236" t="n">
        <v>151.01</v>
      </c>
      <c r="F37" s="228">
        <f>D37*1.3*1.105</f>
        <v/>
      </c>
      <c r="G37" s="226">
        <f>D37*1.3*1.105/0.9</f>
        <v/>
      </c>
      <c r="H37" s="227">
        <f>G37*1.21</f>
        <v/>
      </c>
      <c r="I37" s="227">
        <f>ROUND(H37/100,0)*100</f>
        <v/>
      </c>
      <c r="J37" s="193" t="n"/>
      <c r="K37" s="236" t="n">
        <v>188.76</v>
      </c>
      <c r="L37" s="257" t="n">
        <v>169.88</v>
      </c>
      <c r="M37" s="257" t="n">
        <v>160.45</v>
      </c>
      <c r="N37" s="253" t="n">
        <v>151.01</v>
      </c>
      <c r="O37" s="193" t="n"/>
      <c r="P37" s="193" t="n"/>
      <c r="Q37" s="193" t="n"/>
      <c r="R37" s="193" t="n"/>
      <c r="S37" s="224" t="n"/>
      <c r="T37" s="224" t="n"/>
      <c r="U37" s="224" t="n"/>
      <c r="V37" s="224" t="n"/>
      <c r="W37" s="224" t="n"/>
      <c r="X37" s="224" t="n"/>
      <c r="Y37" s="193" t="n"/>
    </row>
    <row r="38">
      <c r="A38" s="124" t="n">
        <v>514</v>
      </c>
      <c r="B38" s="223" t="inlineStr">
        <is>
          <t>Caja por 600 servilletas Celsoft 40x40 Victoria Ambra</t>
        </is>
      </c>
      <c r="D38" s="215">
        <f>E38*0.93</f>
        <v/>
      </c>
      <c r="E38" s="236" t="n">
        <v>162.78</v>
      </c>
      <c r="F38" s="218">
        <f>D38*1.3*1.105</f>
        <v/>
      </c>
      <c r="G38" s="219">
        <f>D38*1.3*1.105/0.9</f>
        <v/>
      </c>
      <c r="H38" s="220">
        <f>G38*1.21</f>
        <v/>
      </c>
      <c r="I38" s="215">
        <f>ROUND(H38/100,0)*100</f>
        <v/>
      </c>
      <c r="K38" s="236" t="n">
        <v>203.47</v>
      </c>
      <c r="L38" s="257" t="n">
        <v>183.12</v>
      </c>
      <c r="M38" s="257" t="n">
        <v>172.95</v>
      </c>
      <c r="N38" s="253" t="n">
        <v>162.78</v>
      </c>
      <c r="S38" s="223" t="n"/>
      <c r="T38" s="223" t="n"/>
      <c r="U38" s="223" t="n"/>
      <c r="V38" s="223" t="n"/>
      <c r="W38" s="223" t="n"/>
      <c r="X38" s="223" t="n"/>
    </row>
    <row r="39">
      <c r="A39" s="124" t="n">
        <v>515</v>
      </c>
      <c r="B39" s="223" t="inlineStr">
        <is>
          <t>Caja por 600 servilletas Celsoft 40x40 Victoria Nero</t>
        </is>
      </c>
      <c r="D39" s="215">
        <f>E39*0.93</f>
        <v/>
      </c>
      <c r="E39" s="236" t="n">
        <v>162.78</v>
      </c>
      <c r="F39" s="218">
        <f>D39*1.3*1.105</f>
        <v/>
      </c>
      <c r="G39" s="219">
        <f>D39*1.3*1.105/0.9</f>
        <v/>
      </c>
      <c r="H39" s="220">
        <f>G39*1.21</f>
        <v/>
      </c>
      <c r="I39" s="215">
        <f>ROUND(H39/100,0)*100</f>
        <v/>
      </c>
      <c r="K39" s="236" t="n">
        <v>203.47</v>
      </c>
      <c r="L39" s="257" t="n">
        <v>183.12</v>
      </c>
      <c r="M39" s="257" t="n">
        <v>172.95</v>
      </c>
      <c r="N39" s="253" t="n">
        <v>162.78</v>
      </c>
      <c r="S39" s="223" t="n"/>
      <c r="T39" s="223" t="n"/>
      <c r="U39" s="223" t="n"/>
      <c r="V39" s="223" t="n"/>
      <c r="W39" s="223" t="n"/>
      <c r="X39" s="223" t="n"/>
    </row>
    <row r="40">
      <c r="A40" s="124" t="n">
        <v>516</v>
      </c>
      <c r="B40" s="223" t="inlineStr">
        <is>
          <t>Caja por 600 servilletas Celsoft 40x40 Tasca Bordeaux</t>
        </is>
      </c>
      <c r="D40" s="215">
        <f>E40*0.93</f>
        <v/>
      </c>
      <c r="E40" s="236" t="n">
        <v>191.94</v>
      </c>
      <c r="F40" s="218">
        <f>D40*1.3*1.105</f>
        <v/>
      </c>
      <c r="G40" s="219">
        <f>D40*1.3*1.105/0.9</f>
        <v/>
      </c>
      <c r="H40" s="220">
        <f>G40*1.21</f>
        <v/>
      </c>
      <c r="I40" s="215">
        <f>ROUND(H40/100,0)*100</f>
        <v/>
      </c>
      <c r="K40" s="236" t="n">
        <v>239.93</v>
      </c>
      <c r="L40" s="257" t="n">
        <v>215.94</v>
      </c>
      <c r="M40" s="257" t="n">
        <v>203.94</v>
      </c>
      <c r="N40" s="253" t="n">
        <v>191.94</v>
      </c>
      <c r="S40" s="223" t="n"/>
      <c r="T40" s="223" t="n"/>
      <c r="U40" s="223" t="n"/>
      <c r="V40" s="223" t="n"/>
      <c r="W40" s="223" t="n"/>
      <c r="X40" s="223" t="n"/>
    </row>
    <row r="41">
      <c r="A41" s="124" t="n">
        <v>517</v>
      </c>
      <c r="B41" s="223" t="inlineStr">
        <is>
          <t>Caja por 600 servilletas Celsoft 40x40 Tasca Nero</t>
        </is>
      </c>
      <c r="D41" s="215">
        <f>E41*0.93</f>
        <v/>
      </c>
      <c r="E41" s="236" t="n">
        <v>191.51</v>
      </c>
      <c r="F41" s="218">
        <f>D41*1.3*1.105</f>
        <v/>
      </c>
      <c r="G41" s="219">
        <f>D41*1.3*1.105/0.9</f>
        <v/>
      </c>
      <c r="H41" s="220">
        <f>G41*1.21</f>
        <v/>
      </c>
      <c r="I41" s="215">
        <f>ROUND(H41/100,0)*100</f>
        <v/>
      </c>
      <c r="K41" s="236" t="n">
        <v>239.39</v>
      </c>
      <c r="L41" s="257" t="n">
        <v>215.45</v>
      </c>
      <c r="M41" s="257" t="n">
        <v>203.48</v>
      </c>
      <c r="N41" s="253" t="n">
        <v>191.51</v>
      </c>
      <c r="S41" s="223" t="n"/>
      <c r="T41" s="223" t="n"/>
      <c r="U41" s="223" t="n"/>
      <c r="V41" s="223" t="n"/>
      <c r="W41" s="223" t="n"/>
      <c r="X41" s="223" t="n"/>
    </row>
    <row r="42">
      <c r="A42" s="124" t="n">
        <v>518</v>
      </c>
      <c r="B42" s="223" t="inlineStr">
        <is>
          <t>Caja por 600 servilletas Celsoft 40x40 Tasca Lino Avorio</t>
        </is>
      </c>
      <c r="D42" s="215">
        <f>E42*0.93</f>
        <v/>
      </c>
      <c r="E42" s="236" t="n">
        <v>162.78</v>
      </c>
      <c r="F42" s="218">
        <f>D42*1.3*1.105</f>
        <v/>
      </c>
      <c r="G42" s="219">
        <f>D42*1.3*1.105/0.9</f>
        <v/>
      </c>
      <c r="H42" s="220">
        <f>G42*1.21</f>
        <v/>
      </c>
      <c r="I42" s="215">
        <f>ROUND(H42/100,0)*100</f>
        <v/>
      </c>
      <c r="K42" s="236" t="n">
        <v>203.47</v>
      </c>
      <c r="L42" s="257" t="n">
        <v>183.12</v>
      </c>
      <c r="M42" s="257" t="n">
        <v>172.95</v>
      </c>
      <c r="N42" s="253" t="n">
        <v>162.78</v>
      </c>
      <c r="S42" s="223" t="n"/>
      <c r="T42" s="223" t="n"/>
      <c r="U42" s="223" t="n"/>
      <c r="V42" s="223" t="n"/>
      <c r="W42" s="223" t="n"/>
      <c r="X42" s="223" t="n"/>
    </row>
    <row r="43">
      <c r="A43" s="124" t="n">
        <v>519</v>
      </c>
      <c r="B43" s="223" t="inlineStr">
        <is>
          <t>Caja por 600 servilletas Celsoft 40x40 Taca Iuta Grigio</t>
        </is>
      </c>
      <c r="D43" s="215">
        <f>E43*0.93</f>
        <v/>
      </c>
      <c r="E43" s="236" t="n">
        <v>162.78</v>
      </c>
      <c r="F43" s="218">
        <f>D43*1.3*1.105</f>
        <v/>
      </c>
      <c r="G43" s="219">
        <f>D43*1.3*1.105/0.9</f>
        <v/>
      </c>
      <c r="H43" s="220">
        <f>G43*1.21</f>
        <v/>
      </c>
      <c r="I43" s="215">
        <f>ROUND(H43/100,0)*100</f>
        <v/>
      </c>
      <c r="K43" s="236" t="n">
        <v>203.47</v>
      </c>
      <c r="L43" s="257" t="n">
        <v>183.12</v>
      </c>
      <c r="M43" s="257" t="n">
        <v>172.95</v>
      </c>
      <c r="N43" s="253" t="n">
        <v>162.78</v>
      </c>
      <c r="S43" s="223" t="n"/>
      <c r="T43" s="223" t="n"/>
      <c r="U43" s="223" t="n"/>
      <c r="V43" s="223" t="n"/>
      <c r="W43" s="223" t="n"/>
      <c r="X43" s="223" t="n"/>
    </row>
    <row r="44">
      <c r="A44" s="124" t="n">
        <v>520</v>
      </c>
      <c r="B44" s="223" t="inlineStr">
        <is>
          <t>Caja de servilletas Celsoft 40 x 40 SAMPLER 300 Unid</t>
        </is>
      </c>
      <c r="D44" s="215">
        <f>E44*0.93</f>
        <v/>
      </c>
      <c r="E44" s="236" t="n">
        <v>86.16</v>
      </c>
      <c r="F44" s="218">
        <f>D44*1.3*1.105</f>
        <v/>
      </c>
      <c r="G44" s="219">
        <f>D44*1.3*1.105/0.9</f>
        <v/>
      </c>
      <c r="H44" s="220">
        <f>G44*1.21</f>
        <v/>
      </c>
      <c r="I44" s="215">
        <f>ROUND(H44/100,0)*100</f>
        <v/>
      </c>
      <c r="K44" s="236" t="n">
        <v>107.7</v>
      </c>
      <c r="L44" s="257" t="n">
        <v>96.93000000000001</v>
      </c>
      <c r="M44" s="257" t="n">
        <v>91.55</v>
      </c>
      <c r="N44" s="253" t="n">
        <v>86.16</v>
      </c>
      <c r="S44" s="223" t="n"/>
      <c r="T44" s="223" t="n"/>
      <c r="U44" s="223" t="n"/>
      <c r="V44" s="223" t="n"/>
      <c r="W44" s="223" t="n"/>
      <c r="X44" s="223" t="n"/>
    </row>
    <row r="45">
      <c r="A45" s="124" t="n"/>
      <c r="B45" s="223" t="n"/>
      <c r="C45" s="223" t="n"/>
      <c r="D45" s="215" t="n"/>
      <c r="E45" s="200" t="n"/>
      <c r="F45" s="222" t="n"/>
      <c r="G45" s="222" t="n"/>
      <c r="H45" s="222" t="n"/>
      <c r="I45" s="223" t="n"/>
      <c r="K45" s="200" t="n"/>
      <c r="L45" s="200" t="n"/>
      <c r="M45" s="200" t="n"/>
      <c r="N45" s="200" t="n"/>
      <c r="S45" s="223" t="n"/>
      <c r="T45" s="223" t="n"/>
      <c r="U45" s="223" t="n"/>
      <c r="V45" s="223" t="n"/>
      <c r="W45" s="223" t="n"/>
      <c r="X45" s="223" t="n"/>
    </row>
    <row r="46">
      <c r="A46" s="142" t="inlineStr">
        <is>
          <t>PAPEL HIGIENICO</t>
        </is>
      </c>
      <c r="B46" s="271" t="n"/>
      <c r="C46" s="223" t="n"/>
      <c r="D46" s="215" t="n"/>
      <c r="E46" s="200" t="n"/>
      <c r="F46" s="222" t="n"/>
      <c r="G46" s="222" t="n"/>
      <c r="H46" s="222" t="n"/>
      <c r="I46" s="223" t="n"/>
      <c r="K46" s="200" t="n"/>
      <c r="L46" s="200" t="n"/>
      <c r="M46" s="200" t="n"/>
      <c r="N46" s="200" t="n"/>
      <c r="S46" s="223" t="n"/>
      <c r="T46" s="223" t="n"/>
      <c r="U46" s="223" t="n"/>
      <c r="V46" s="223" t="n"/>
      <c r="W46" s="223" t="n"/>
      <c r="X46" s="223" t="n"/>
    </row>
    <row r="47">
      <c r="A47" s="111" t="n"/>
      <c r="B47" s="223" t="n"/>
      <c r="C47" s="223" t="n"/>
      <c r="D47" s="215" t="n"/>
      <c r="E47" s="200" t="n"/>
      <c r="F47" s="222" t="n"/>
      <c r="G47" s="222" t="n"/>
      <c r="H47" s="222" t="n"/>
      <c r="I47" s="223" t="n"/>
      <c r="K47" s="200" t="n"/>
      <c r="L47" s="200" t="n"/>
      <c r="M47" s="200" t="n"/>
      <c r="N47" s="200" t="n"/>
      <c r="S47" s="223" t="n"/>
      <c r="T47" s="223" t="n"/>
      <c r="U47" s="223" t="n"/>
      <c r="V47" s="223" t="n"/>
      <c r="W47" s="223" t="n"/>
      <c r="X47" s="223" t="n"/>
    </row>
    <row r="48">
      <c r="A48" s="124" t="n">
        <v>211</v>
      </c>
      <c r="B48" s="223" t="inlineStr">
        <is>
          <t>Pack x18 Rollos Higienico Racional D/H x 60 mts</t>
        </is>
      </c>
      <c r="D48" s="215">
        <f>E48*0.93</f>
        <v/>
      </c>
      <c r="E48" s="238" t="n">
        <v>2877.98</v>
      </c>
      <c r="F48" s="218">
        <f>D48*1.3*1.105</f>
        <v/>
      </c>
      <c r="G48" s="219">
        <f>D48*1.3*1.105/0.9</f>
        <v/>
      </c>
      <c r="H48" s="220">
        <f>G48*1.21</f>
        <v/>
      </c>
      <c r="I48" s="215">
        <f>ROUND(H48/100,0)*100</f>
        <v/>
      </c>
      <c r="K48" s="238" t="n">
        <v>3128.24</v>
      </c>
      <c r="L48" s="256" t="n">
        <v>2815.42</v>
      </c>
      <c r="M48" s="256" t="n">
        <v>2659</v>
      </c>
      <c r="N48" s="254" t="n">
        <v>2502.59</v>
      </c>
      <c r="S48" s="223" t="n"/>
      <c r="T48" s="223" t="n"/>
      <c r="U48" s="223" t="n"/>
      <c r="V48" s="223" t="n"/>
      <c r="W48" s="223" t="n"/>
      <c r="X48" s="223" t="n"/>
    </row>
    <row r="49">
      <c r="A49" s="124" t="n">
        <v>213</v>
      </c>
      <c r="B49" s="223" t="inlineStr">
        <is>
          <t>Pack x 4 Rollos Higienico Racional x 500 mts Buje 7,5</t>
        </is>
      </c>
      <c r="D49" s="215">
        <f>E49*0.93</f>
        <v/>
      </c>
      <c r="E49" s="236" t="n">
        <v>2230.46</v>
      </c>
      <c r="F49" s="218">
        <f>D49*1.3*1.105</f>
        <v/>
      </c>
      <c r="G49" s="219">
        <f>D49*1.3*1.105/0.9</f>
        <v/>
      </c>
      <c r="H49" s="220">
        <f>G49*1.21</f>
        <v/>
      </c>
      <c r="I49" s="215">
        <f>ROUND(H49/100,0)*100</f>
        <v/>
      </c>
      <c r="K49" s="236" t="n">
        <v>2424.42</v>
      </c>
      <c r="L49" s="257" t="n">
        <v>2181.98</v>
      </c>
      <c r="M49" s="257" t="n">
        <v>2060.76</v>
      </c>
      <c r="N49" s="253" t="n">
        <v>1939.54</v>
      </c>
      <c r="S49" s="223" t="n"/>
      <c r="T49" s="223" t="n"/>
      <c r="U49" s="223" t="n"/>
      <c r="V49" s="223" t="n"/>
      <c r="W49" s="223" t="n"/>
      <c r="X49" s="223" t="n"/>
    </row>
    <row r="50">
      <c r="A50" s="182" t="n">
        <v>214</v>
      </c>
      <c r="B50" s="224" t="inlineStr">
        <is>
          <t>Pack x 18 rollos Papel Higienico Racional x 122 mts</t>
        </is>
      </c>
      <c r="D50" s="227">
        <f>E50*0.93</f>
        <v/>
      </c>
      <c r="E50" s="236" t="n">
        <v>2740.3</v>
      </c>
      <c r="F50" s="228">
        <f>D50*1.3*1.105</f>
        <v/>
      </c>
      <c r="G50" s="226">
        <f>D50*1.3*1.105/0.9</f>
        <v/>
      </c>
      <c r="H50" s="227">
        <f>G50*1.21</f>
        <v/>
      </c>
      <c r="I50" s="227">
        <f>ROUND(H50/100,0)*100</f>
        <v/>
      </c>
      <c r="J50" s="193" t="n"/>
      <c r="K50" s="236" t="n">
        <v>2978.58</v>
      </c>
      <c r="L50" s="257" t="n">
        <v>2680.72</v>
      </c>
      <c r="M50" s="257" t="n">
        <v>2531.79</v>
      </c>
      <c r="N50" s="253" t="n">
        <v>2382.86</v>
      </c>
      <c r="O50" s="193" t="n"/>
      <c r="P50" s="193" t="n"/>
      <c r="Q50" s="193" t="n"/>
      <c r="R50" s="193" t="n"/>
      <c r="S50" s="224" t="n"/>
      <c r="T50" s="224" t="n"/>
      <c r="U50" s="224" t="n"/>
      <c r="V50" s="224" t="n"/>
      <c r="W50" s="224" t="n"/>
      <c r="X50" s="224" t="n"/>
      <c r="Y50" s="193" t="n"/>
    </row>
    <row r="51">
      <c r="A51" s="124" t="n">
        <v>218</v>
      </c>
      <c r="B51" s="223" t="inlineStr">
        <is>
          <t>Pack x 8 rollos Higienico Racional x 265 mts buje 7,5</t>
        </is>
      </c>
      <c r="D51" s="215">
        <f>E51*0.93</f>
        <v/>
      </c>
      <c r="E51" s="236" t="n">
        <v>2522.1</v>
      </c>
      <c r="F51" s="218">
        <f>D51*1.3*1.105</f>
        <v/>
      </c>
      <c r="G51" s="219">
        <f>D51*1.3*1.105/0.9</f>
        <v/>
      </c>
      <c r="H51" s="220">
        <f>G51*1.21</f>
        <v/>
      </c>
      <c r="I51" s="215">
        <f>ROUND(H51/100,0)*100</f>
        <v/>
      </c>
      <c r="K51" s="236" t="n">
        <v>2741.42</v>
      </c>
      <c r="L51" s="257" t="n">
        <v>2467.28</v>
      </c>
      <c r="M51" s="257" t="n">
        <v>2330.21</v>
      </c>
      <c r="N51" s="253" t="n">
        <v>2193.14</v>
      </c>
      <c r="S51" s="223" t="n"/>
      <c r="T51" s="223" t="n"/>
      <c r="U51" s="223" t="n"/>
      <c r="V51" s="223" t="n"/>
      <c r="W51" s="223" t="n"/>
      <c r="X51" s="223" t="n"/>
    </row>
    <row r="52">
      <c r="A52" s="182" t="n">
        <v>220</v>
      </c>
      <c r="B52" s="224" t="inlineStr">
        <is>
          <t>Pack x 8 Rollos Papel Higienico Racional x 300 mts</t>
        </is>
      </c>
      <c r="D52" s="227">
        <f>E52*0.93</f>
        <v/>
      </c>
      <c r="E52" s="236" t="n">
        <v>2874.01</v>
      </c>
      <c r="F52" s="228">
        <f>D52*1.3*1.105</f>
        <v/>
      </c>
      <c r="G52" s="226">
        <f>D52*1.3*1.105/0.9</f>
        <v/>
      </c>
      <c r="H52" s="227">
        <f>G52*1.21</f>
        <v/>
      </c>
      <c r="I52" s="227">
        <f>ROUND(H52/100,0)*100</f>
        <v/>
      </c>
      <c r="J52" s="193" t="n"/>
      <c r="K52" s="236" t="n">
        <v>3123.92</v>
      </c>
      <c r="L52" s="257" t="n">
        <v>2811.53</v>
      </c>
      <c r="M52" s="257" t="n">
        <v>2655.33</v>
      </c>
      <c r="N52" s="253" t="n">
        <v>2499.14</v>
      </c>
      <c r="O52" s="193" t="n"/>
      <c r="P52" s="193" t="n"/>
      <c r="Q52" s="193" t="n"/>
      <c r="R52" s="193" t="n"/>
      <c r="S52" s="224" t="n"/>
      <c r="T52" s="224" t="n"/>
      <c r="U52" s="224" t="n"/>
      <c r="V52" s="224" t="n"/>
      <c r="W52" s="224" t="n"/>
      <c r="X52" s="224" t="n"/>
      <c r="Y52" s="193" t="n"/>
    </row>
    <row r="53">
      <c r="A53" s="124" t="n">
        <v>222</v>
      </c>
      <c r="B53" s="223" t="inlineStr">
        <is>
          <t>Pack x 8 Rollos Papel Higienico x 260 mts Buje4,5</t>
        </is>
      </c>
      <c r="D53" s="215">
        <f>E53*0.93</f>
        <v/>
      </c>
      <c r="E53" s="236" t="n">
        <v>2441.93</v>
      </c>
      <c r="F53" s="218">
        <f>D53*1.3*1.105</f>
        <v/>
      </c>
      <c r="G53" s="219">
        <f>D53*1.3*1.105/0.9</f>
        <v/>
      </c>
      <c r="H53" s="220">
        <f>G53*1.21</f>
        <v/>
      </c>
      <c r="I53" s="215">
        <f>ROUND(H53/100,0)*100</f>
        <v/>
      </c>
      <c r="K53" s="236" t="n">
        <v>2654.27</v>
      </c>
      <c r="L53" s="257" t="n">
        <v>2388.84</v>
      </c>
      <c r="M53" s="257" t="n">
        <v>2256.13</v>
      </c>
      <c r="N53" s="253" t="n">
        <v>2123.42</v>
      </c>
      <c r="S53" s="223" t="n"/>
      <c r="T53" s="223" t="n"/>
      <c r="U53" s="223" t="n"/>
      <c r="V53" s="223" t="n"/>
      <c r="W53" s="223" t="n"/>
      <c r="X53" s="223" t="n"/>
    </row>
    <row r="54">
      <c r="A54" s="182" t="n">
        <v>909</v>
      </c>
      <c r="B54" s="224" t="inlineStr">
        <is>
          <t>Papel Higiénico 20 x 14,5 8000 h. 4000 usos</t>
        </is>
      </c>
      <c r="D54" s="227">
        <f>E54*0.93</f>
        <v/>
      </c>
      <c r="E54" s="236" t="n">
        <v>3768.58</v>
      </c>
      <c r="F54" s="228">
        <f>D54*1.3*1.105</f>
        <v/>
      </c>
      <c r="G54" s="226">
        <f>D54*1.3*1.105/0.9</f>
        <v/>
      </c>
      <c r="H54" s="227">
        <f>G54*1.21</f>
        <v/>
      </c>
      <c r="I54" s="227">
        <f>ROUND(H54/100,0)*100</f>
        <v/>
      </c>
      <c r="J54" s="193" t="n"/>
      <c r="K54" s="236" t="n">
        <v>4096.29</v>
      </c>
      <c r="L54" s="257" t="n">
        <v>3686.66</v>
      </c>
      <c r="M54" s="257" t="n">
        <v>3481.85</v>
      </c>
      <c r="N54" s="253" t="n">
        <v>3277.03</v>
      </c>
      <c r="O54" s="193" t="n"/>
      <c r="P54" s="193" t="n"/>
      <c r="Q54" s="193" t="n"/>
      <c r="R54" s="193" t="n"/>
      <c r="S54" s="224" t="n"/>
      <c r="T54" s="224" t="n"/>
      <c r="U54" s="224" t="n"/>
      <c r="V54" s="224" t="n"/>
      <c r="W54" s="224" t="n"/>
      <c r="X54" s="224" t="n"/>
      <c r="Y54" s="193" t="n"/>
    </row>
    <row r="55">
      <c r="A55" s="124" t="n">
        <v>912</v>
      </c>
      <c r="B55" s="223" t="inlineStr">
        <is>
          <t>Papel Higienico UNITAS(18x14,5cm) 8000 h/4000 usos</t>
        </is>
      </c>
      <c r="D55" s="215">
        <f>E55*0.93</f>
        <v/>
      </c>
      <c r="E55" s="236" t="n">
        <v>3027.77</v>
      </c>
      <c r="F55" s="218">
        <f>D55*1.3*1.105</f>
        <v/>
      </c>
      <c r="G55" s="219">
        <f>D55*1.3*1.105/0.9</f>
        <v/>
      </c>
      <c r="H55" s="220">
        <f>G55*1.21</f>
        <v/>
      </c>
      <c r="I55" s="215">
        <f>ROUND(H55/100,0)*100</f>
        <v/>
      </c>
      <c r="K55" s="236" t="n">
        <v>3291.05</v>
      </c>
      <c r="L55" s="257" t="n">
        <v>2961.95</v>
      </c>
      <c r="M55" s="257" t="n">
        <v>2797.39</v>
      </c>
      <c r="N55" s="253" t="n">
        <v>2632.84</v>
      </c>
      <c r="S55" s="223" t="n"/>
      <c r="T55" s="223" t="n"/>
      <c r="U55" s="223" t="n"/>
      <c r="V55" s="223" t="n"/>
      <c r="W55" s="223" t="n"/>
      <c r="X55" s="223" t="n"/>
    </row>
    <row r="56">
      <c r="A56" s="124" t="n"/>
      <c r="B56" s="223" t="n"/>
      <c r="C56" s="223" t="n"/>
      <c r="D56" s="215" t="n"/>
      <c r="E56" s="200" t="n"/>
      <c r="F56" s="222" t="n"/>
      <c r="G56" s="222" t="n"/>
      <c r="H56" s="222" t="n"/>
      <c r="I56" s="223" t="n"/>
      <c r="K56" s="200" t="n"/>
      <c r="L56" s="200" t="n"/>
      <c r="M56" s="200" t="n"/>
      <c r="N56" s="200" t="n"/>
      <c r="S56" s="223" t="n"/>
      <c r="T56" s="223" t="n"/>
      <c r="U56" s="223" t="n"/>
      <c r="V56" s="223" t="n"/>
      <c r="W56" s="223" t="n"/>
      <c r="X56" s="223" t="n"/>
    </row>
    <row r="57">
      <c r="A57" s="124" t="n"/>
      <c r="B57" s="210" t="n">
        <v>44748</v>
      </c>
      <c r="C57" s="223" t="n"/>
      <c r="D57" s="215" t="n"/>
      <c r="E57" s="200" t="n"/>
      <c r="F57" s="222" t="n"/>
      <c r="G57" s="222" t="n"/>
      <c r="H57" s="222" t="n"/>
      <c r="I57" s="223" t="n"/>
      <c r="K57" s="200" t="n"/>
      <c r="L57" s="200" t="n"/>
      <c r="M57" s="200" t="n"/>
      <c r="N57" s="200" t="n"/>
      <c r="S57" s="223" t="n"/>
      <c r="T57" s="223" t="n"/>
      <c r="U57" s="223" t="n"/>
      <c r="V57" s="223" t="n"/>
      <c r="W57" s="223" t="n"/>
      <c r="X57" s="223" t="n"/>
    </row>
    <row r="58">
      <c r="A58" s="124" t="n"/>
      <c r="B58" s="223" t="n"/>
      <c r="C58" s="223" t="n"/>
      <c r="D58" s="215" t="n"/>
      <c r="E58" s="200" t="n"/>
      <c r="F58" s="222" t="n"/>
      <c r="G58" s="222" t="n"/>
      <c r="H58" s="222" t="n"/>
      <c r="I58" s="223" t="n"/>
      <c r="K58" s="200" t="n"/>
      <c r="L58" s="200" t="n"/>
      <c r="M58" s="200" t="n"/>
      <c r="N58" s="200" t="n"/>
      <c r="S58" s="223" t="n"/>
      <c r="T58" s="223" t="n"/>
      <c r="U58" s="223" t="n"/>
      <c r="V58" s="223" t="n"/>
      <c r="W58" s="223" t="n"/>
      <c r="X58" s="223" t="n"/>
    </row>
    <row r="59">
      <c r="A59" s="117" t="inlineStr">
        <is>
          <t>CAMILLEROS</t>
        </is>
      </c>
      <c r="B59" s="223" t="n"/>
      <c r="C59" s="223" t="n"/>
      <c r="D59" s="215" t="n"/>
      <c r="E59" s="200" t="n"/>
      <c r="F59" s="222" t="n"/>
      <c r="G59" s="222" t="n"/>
      <c r="H59" s="222" t="n"/>
      <c r="I59" s="223" t="n"/>
      <c r="K59" s="200" t="n"/>
      <c r="L59" s="200" t="n"/>
      <c r="M59" s="200" t="n"/>
      <c r="N59" s="200" t="n"/>
      <c r="S59" s="223" t="n"/>
      <c r="T59" s="223" t="n"/>
      <c r="U59" s="223" t="n"/>
      <c r="V59" s="223" t="n"/>
      <c r="W59" s="223" t="n"/>
      <c r="X59" s="223" t="n"/>
    </row>
    <row r="60">
      <c r="A60" s="131" t="n"/>
      <c r="B60" s="223" t="n"/>
      <c r="C60" s="223" t="n"/>
      <c r="D60" s="215" t="n"/>
      <c r="E60" s="200" t="n"/>
      <c r="F60" s="222" t="n"/>
      <c r="G60" s="222" t="n"/>
      <c r="H60" s="222" t="n"/>
      <c r="I60" s="223" t="n"/>
      <c r="K60" s="200" t="n"/>
      <c r="L60" s="200" t="n"/>
      <c r="M60" s="200" t="n"/>
      <c r="N60" s="200" t="n"/>
      <c r="S60" s="223" t="n"/>
      <c r="T60" s="223" t="n"/>
      <c r="U60" s="223" t="n"/>
      <c r="V60" s="223" t="n"/>
      <c r="W60" s="223" t="n"/>
      <c r="X60" s="223" t="n"/>
    </row>
    <row r="61">
      <c r="A61" s="182" t="n">
        <v>301</v>
      </c>
      <c r="B61" s="224" t="inlineStr">
        <is>
          <t>Pack x 2 Rollos Camilleros bco s/h 54x100mts Prec</t>
        </is>
      </c>
      <c r="D61" s="227">
        <f>2120.25*1.15</f>
        <v/>
      </c>
      <c r="E61" s="238" t="n">
        <v>3035.5</v>
      </c>
      <c r="F61" s="228">
        <f>D61*1.3*1.105</f>
        <v/>
      </c>
      <c r="G61" s="226">
        <f>D61*1.3*1.105/0.9</f>
        <v/>
      </c>
      <c r="H61" s="227">
        <f>G61*1.21</f>
        <v/>
      </c>
      <c r="I61" s="227">
        <f>ROUND(H61/100,0)*100</f>
        <v/>
      </c>
      <c r="J61" s="193" t="n"/>
      <c r="K61" s="238" t="n">
        <v>3299.46</v>
      </c>
      <c r="L61" s="256" t="n">
        <v>2969.51</v>
      </c>
      <c r="M61" s="256" t="n">
        <v>2804.54</v>
      </c>
      <c r="N61" s="254" t="n">
        <v>2639.57</v>
      </c>
      <c r="O61" s="193" t="n"/>
      <c r="P61" s="193" t="n"/>
      <c r="Q61" s="193" t="n"/>
      <c r="R61" s="193" t="n"/>
      <c r="S61" s="227">
        <f>N61*0.93</f>
        <v/>
      </c>
      <c r="T61" s="224" t="n"/>
      <c r="U61" s="224" t="n"/>
      <c r="V61" s="224" t="n"/>
      <c r="W61" s="224" t="n"/>
      <c r="X61" s="224" t="n"/>
      <c r="Y61" s="193" t="n"/>
    </row>
    <row r="62">
      <c r="A62" s="124" t="n"/>
      <c r="B62" s="155" t="n"/>
      <c r="C62" s="223" t="n"/>
      <c r="D62" s="215" t="n"/>
      <c r="E62" s="200" t="n"/>
      <c r="F62" s="222" t="n"/>
      <c r="G62" s="222" t="n"/>
      <c r="H62" s="222" t="n"/>
      <c r="I62" s="223" t="n"/>
      <c r="K62" s="200" t="n"/>
      <c r="L62" s="200" t="n"/>
      <c r="M62" s="200" t="n"/>
      <c r="N62" s="200" t="n"/>
      <c r="S62" s="223" t="n"/>
      <c r="T62" s="223" t="n"/>
      <c r="U62" s="223" t="n"/>
      <c r="V62" s="223" t="n"/>
      <c r="W62" s="223" t="n"/>
      <c r="X62" s="223" t="n"/>
    </row>
    <row r="63">
      <c r="A63" s="142" t="inlineStr">
        <is>
          <t>DISPENSERS</t>
        </is>
      </c>
      <c r="B63" s="223" t="n"/>
      <c r="C63" s="223" t="n"/>
      <c r="D63" s="215" t="n"/>
      <c r="E63" s="200" t="n"/>
      <c r="F63" s="222" t="n"/>
      <c r="G63" s="222" t="n"/>
      <c r="H63" s="222" t="n"/>
      <c r="I63" s="223" t="n"/>
      <c r="K63" s="200" t="n"/>
      <c r="L63" s="200" t="n"/>
      <c r="M63" s="200" t="n"/>
      <c r="N63" s="200" t="n"/>
      <c r="S63" s="223" t="n"/>
      <c r="T63" s="223" t="n"/>
      <c r="U63" s="223" t="n"/>
      <c r="V63" s="223" t="n"/>
      <c r="W63" s="223" t="n"/>
      <c r="X63" s="223" t="n"/>
    </row>
    <row r="64">
      <c r="A64" s="111" t="n"/>
      <c r="B64" s="223" t="n"/>
      <c r="C64" s="223" t="n"/>
      <c r="D64" s="215" t="n"/>
      <c r="E64" s="200" t="n"/>
      <c r="F64" s="222" t="n"/>
      <c r="G64" s="222" t="n"/>
      <c r="H64" s="222" t="n"/>
      <c r="I64" s="223" t="n"/>
      <c r="K64" s="200" t="n"/>
      <c r="L64" s="200" t="n"/>
      <c r="M64" s="200" t="n"/>
      <c r="N64" s="200" t="n"/>
      <c r="S64" s="223" t="n"/>
      <c r="T64" s="223" t="n"/>
      <c r="U64" s="223" t="n"/>
      <c r="V64" s="223" t="n"/>
      <c r="W64" s="223" t="n"/>
      <c r="X64" s="223" t="n"/>
    </row>
    <row r="65">
      <c r="A65" s="124" t="n">
        <v>403</v>
      </c>
      <c r="B65" s="223" t="inlineStr">
        <is>
          <t>Portabobina de Pared</t>
        </is>
      </c>
      <c r="C65" s="223" t="n"/>
      <c r="D65" s="215">
        <f>E65*0.93</f>
        <v/>
      </c>
      <c r="E65" s="238" t="n">
        <v>4936.54</v>
      </c>
      <c r="F65" s="218">
        <f>D65*1.3*1.105</f>
        <v/>
      </c>
      <c r="G65" s="219">
        <f>D65*1.3*1.105/0.9</f>
        <v/>
      </c>
      <c r="H65" s="220">
        <f>G65*1.21</f>
        <v/>
      </c>
      <c r="I65" s="215">
        <f>ROUND(H65/100,0)*100</f>
        <v/>
      </c>
      <c r="K65" s="238" t="n">
        <v>5365.8</v>
      </c>
      <c r="L65" s="256" t="n">
        <v>4829.22</v>
      </c>
      <c r="M65" s="256" t="n">
        <v>4560.93</v>
      </c>
      <c r="N65" s="254" t="n">
        <v>4292.64</v>
      </c>
      <c r="S65" s="223" t="n"/>
      <c r="T65" s="223" t="n"/>
      <c r="U65" s="223" t="n"/>
      <c r="V65" s="223" t="n"/>
      <c r="W65" s="223" t="n"/>
      <c r="X65" s="223" t="n"/>
    </row>
    <row r="66">
      <c r="A66" s="124" t="n">
        <v>404</v>
      </c>
      <c r="B66" s="223" t="inlineStr">
        <is>
          <t>Portarollo para Camilla</t>
        </is>
      </c>
      <c r="C66" s="223" t="n"/>
      <c r="D66" s="215">
        <f>E66*0.93</f>
        <v/>
      </c>
      <c r="E66" s="236" t="n">
        <v>6812.18</v>
      </c>
      <c r="F66" s="218">
        <f>D66*1.3*1.105</f>
        <v/>
      </c>
      <c r="G66" s="219">
        <f>D66*1.3*1.105/0.9</f>
        <v/>
      </c>
      <c r="H66" s="220">
        <f>G66*1.21</f>
        <v/>
      </c>
      <c r="I66" s="215">
        <f>ROUND(H66/100,0)*100</f>
        <v/>
      </c>
      <c r="K66" s="236" t="n">
        <v>7404.54</v>
      </c>
      <c r="L66" s="257" t="n">
        <v>6664.09</v>
      </c>
      <c r="M66" s="257" t="n">
        <v>6293.86</v>
      </c>
      <c r="N66" s="253" t="n">
        <v>5923.63</v>
      </c>
      <c r="S66" s="223" t="n"/>
      <c r="T66" s="223" t="n"/>
      <c r="U66" s="223" t="n"/>
      <c r="V66" s="223" t="n"/>
      <c r="W66" s="223" t="n"/>
      <c r="X66" s="223" t="n"/>
    </row>
    <row r="67">
      <c r="A67" s="124" t="n">
        <v>418</v>
      </c>
      <c r="B67" s="223" t="inlineStr">
        <is>
          <t>Portabobina de Piso</t>
        </is>
      </c>
      <c r="C67" s="223" t="n"/>
      <c r="D67" s="215">
        <f>E67*0.93</f>
        <v/>
      </c>
      <c r="E67" s="236" t="n">
        <v>5430.04</v>
      </c>
      <c r="F67" s="218">
        <f>D67*1.3*1.105</f>
        <v/>
      </c>
      <c r="G67" s="219">
        <f>D67*1.3*1.105/0.9</f>
        <v/>
      </c>
      <c r="H67" s="220">
        <f>G67*1.21</f>
        <v/>
      </c>
      <c r="I67" s="215">
        <f>ROUND(H67/100,0)*100</f>
        <v/>
      </c>
      <c r="K67" s="236" t="n">
        <v>5902.22</v>
      </c>
      <c r="L67" s="257" t="n">
        <v>5312</v>
      </c>
      <c r="M67" s="257" t="n">
        <v>5016.89</v>
      </c>
      <c r="N67" s="253" t="n">
        <v>4721.78</v>
      </c>
      <c r="S67" s="223" t="n"/>
      <c r="T67" s="223" t="n"/>
      <c r="U67" s="223" t="n"/>
      <c r="V67" s="223" t="n"/>
      <c r="W67" s="223" t="n"/>
      <c r="X67" s="223" t="n"/>
    </row>
    <row r="68">
      <c r="A68" s="124" t="n">
        <v>422</v>
      </c>
      <c r="B68" s="223" t="inlineStr">
        <is>
          <t>Dispenser Celmatic Due</t>
        </is>
      </c>
      <c r="C68" s="223" t="n"/>
      <c r="D68" s="215">
        <f>E68*0.93</f>
        <v/>
      </c>
      <c r="E68" s="236" t="n">
        <v>6953.89</v>
      </c>
      <c r="F68" s="218">
        <f>D68*1.3*1.105</f>
        <v/>
      </c>
      <c r="G68" s="219">
        <f>D68*1.3*1.105/0.9</f>
        <v/>
      </c>
      <c r="H68" s="220">
        <f>G68*1.21</f>
        <v/>
      </c>
      <c r="I68" s="215">
        <f>ROUND(H68/100,0)*100</f>
        <v/>
      </c>
      <c r="K68" s="236" t="n">
        <v>7558.57</v>
      </c>
      <c r="L68" s="257" t="n">
        <v>6802.71</v>
      </c>
      <c r="M68" s="257" t="n">
        <v>6424.78</v>
      </c>
      <c r="N68" s="253" t="n">
        <v>6046.86</v>
      </c>
      <c r="S68" s="223" t="n"/>
      <c r="T68" s="223" t="n"/>
      <c r="U68" s="223" t="n"/>
      <c r="V68" s="223" t="n"/>
      <c r="W68" s="223" t="n"/>
      <c r="X68" s="223" t="n"/>
    </row>
    <row r="69">
      <c r="A69" s="124" t="n">
        <v>425</v>
      </c>
      <c r="B69" s="223" t="inlineStr">
        <is>
          <t>Dosificador para Jabón Líquido Recargable</t>
        </is>
      </c>
      <c r="D69" s="215">
        <f>E69*0.93</f>
        <v/>
      </c>
      <c r="E69" s="236" t="n">
        <v>2609.86</v>
      </c>
      <c r="F69" s="218">
        <f>D69*1.3*1.105</f>
        <v/>
      </c>
      <c r="G69" s="219">
        <f>D69*1.3*1.105/0.9</f>
        <v/>
      </c>
      <c r="H69" s="220">
        <f>G69*1.21</f>
        <v/>
      </c>
      <c r="I69" s="215">
        <f>ROUND(H69/100,0)*100</f>
        <v/>
      </c>
      <c r="K69" s="236" t="n">
        <v>2836.81</v>
      </c>
      <c r="L69" s="257" t="n">
        <v>2553.13</v>
      </c>
      <c r="M69" s="257" t="n">
        <v>2411.29</v>
      </c>
      <c r="N69" s="253" t="n">
        <v>2269.45</v>
      </c>
      <c r="S69" s="223" t="n"/>
      <c r="T69" s="223" t="n"/>
      <c r="U69" s="223" t="n"/>
      <c r="V69" s="223" t="n"/>
      <c r="W69" s="223" t="n"/>
      <c r="X69" s="223" t="n"/>
    </row>
    <row r="70">
      <c r="A70" s="124" t="n">
        <v>427</v>
      </c>
      <c r="B70" s="223" t="inlineStr">
        <is>
          <t>Dispenser Para Papel Higienico Racional 350</t>
        </is>
      </c>
      <c r="D70" s="215">
        <f>E70*0.93</f>
        <v/>
      </c>
      <c r="E70" s="236" t="n">
        <v>3187.88</v>
      </c>
      <c r="F70" s="218">
        <f>D70*1.3*1.105</f>
        <v/>
      </c>
      <c r="G70" s="219">
        <f>D70*1.3*1.105/0.9</f>
        <v/>
      </c>
      <c r="H70" s="220">
        <f>G70*1.21</f>
        <v/>
      </c>
      <c r="I70" s="215">
        <f>ROUND(H70/100,0)*100</f>
        <v/>
      </c>
      <c r="K70" s="236" t="n">
        <v>3465.09</v>
      </c>
      <c r="L70" s="257" t="n">
        <v>3118.58</v>
      </c>
      <c r="M70" s="257" t="n">
        <v>2945.33</v>
      </c>
      <c r="N70" s="253" t="n">
        <v>2772.07</v>
      </c>
      <c r="S70" s="223" t="n"/>
      <c r="T70" s="223" t="n"/>
      <c r="U70" s="223" t="n"/>
      <c r="V70" s="223" t="n"/>
      <c r="W70" s="223" t="n"/>
      <c r="X70" s="223" t="n"/>
    </row>
    <row r="71">
      <c r="A71" s="124" t="n">
        <v>428</v>
      </c>
      <c r="B71" s="223" t="inlineStr">
        <is>
          <t>Dispenser para Papel Higiénico</t>
        </is>
      </c>
      <c r="C71" s="223" t="n"/>
      <c r="D71" s="215">
        <f>E71*0.93</f>
        <v/>
      </c>
      <c r="E71" s="236" t="n">
        <v>3645.77</v>
      </c>
      <c r="F71" s="218">
        <f>D71*1.3*1.105</f>
        <v/>
      </c>
      <c r="G71" s="219">
        <f>D71*1.3*1.105/0.9</f>
        <v/>
      </c>
      <c r="H71" s="220">
        <f>G71*1.21</f>
        <v/>
      </c>
      <c r="I71" s="215">
        <f>ROUND(H71/100,0)*100</f>
        <v/>
      </c>
      <c r="K71" s="236" t="n">
        <v>3962.79</v>
      </c>
      <c r="L71" s="257" t="n">
        <v>3566.51</v>
      </c>
      <c r="M71" s="257" t="n">
        <v>3368.37</v>
      </c>
      <c r="N71" s="253" t="n">
        <v>3170.23</v>
      </c>
      <c r="S71" s="223" t="n"/>
      <c r="T71" s="223" t="n"/>
      <c r="U71" s="223" t="n"/>
      <c r="V71" s="223" t="n"/>
      <c r="W71" s="223" t="n"/>
      <c r="X71" s="223" t="n"/>
    </row>
    <row r="72">
      <c r="A72" s="124" t="n">
        <v>429</v>
      </c>
      <c r="B72" s="223" t="inlineStr">
        <is>
          <t>Dispenser para Toallas de Papel</t>
        </is>
      </c>
      <c r="C72" s="223" t="n"/>
      <c r="D72" s="215">
        <f>E72*0.93</f>
        <v/>
      </c>
      <c r="E72" s="236" t="n">
        <v>2615.58</v>
      </c>
      <c r="F72" s="218">
        <f>D72*1.3*1.105</f>
        <v/>
      </c>
      <c r="G72" s="219">
        <f>D72*1.3*1.105/0.9</f>
        <v/>
      </c>
      <c r="H72" s="220">
        <f>G72*1.21</f>
        <v/>
      </c>
      <c r="I72" s="215">
        <f>ROUND(H72/100,0)*100</f>
        <v/>
      </c>
      <c r="K72" s="236" t="n">
        <v>2843.03</v>
      </c>
      <c r="L72" s="257" t="n">
        <v>2558.73</v>
      </c>
      <c r="M72" s="257" t="n">
        <v>2416.58</v>
      </c>
      <c r="N72" s="253" t="n">
        <v>2274.42</v>
      </c>
      <c r="S72" s="223" t="n"/>
      <c r="T72" s="223" t="n"/>
      <c r="U72" s="223" t="n"/>
      <c r="V72" s="223" t="n"/>
      <c r="W72" s="223" t="n"/>
      <c r="X72" s="223" t="n"/>
    </row>
    <row r="73">
      <c r="A73" s="124" t="n">
        <v>430</v>
      </c>
      <c r="B73" s="223" t="inlineStr">
        <is>
          <t>Dispenser Para Papel Higienico Racional 600</t>
        </is>
      </c>
      <c r="D73" s="215">
        <f>E73*0.93</f>
        <v/>
      </c>
      <c r="E73" s="236" t="n">
        <v>5132.01</v>
      </c>
      <c r="F73" s="218">
        <f>D73*1.3*1.105</f>
        <v/>
      </c>
      <c r="G73" s="219">
        <f>D73*1.3*1.105/0.9</f>
        <v/>
      </c>
      <c r="H73" s="220">
        <f>G73*1.21</f>
        <v/>
      </c>
      <c r="I73" s="215">
        <f>ROUND(H73/100,0)*100</f>
        <v/>
      </c>
      <c r="K73" s="236" t="n">
        <v>5578.27</v>
      </c>
      <c r="L73" s="257" t="n">
        <v>5020.44</v>
      </c>
      <c r="M73" s="257" t="n">
        <v>4741.53</v>
      </c>
      <c r="N73" s="253" t="n">
        <v>4462.62</v>
      </c>
      <c r="S73" s="223" t="n"/>
      <c r="T73" s="223" t="n"/>
      <c r="U73" s="223" t="n"/>
      <c r="V73" s="223" t="n"/>
      <c r="W73" s="223" t="n"/>
      <c r="X73" s="223" t="n"/>
    </row>
    <row r="74">
      <c r="A74" s="124" t="n"/>
      <c r="B74" s="223" t="n"/>
      <c r="C74" s="223" t="n"/>
      <c r="D74" s="215" t="n"/>
      <c r="E74" s="200" t="n"/>
      <c r="F74" s="222" t="n"/>
      <c r="G74" s="222" t="n"/>
      <c r="H74" s="222" t="n"/>
      <c r="I74" s="223" t="n"/>
      <c r="K74" s="200" t="n"/>
      <c r="L74" s="200" t="n"/>
      <c r="M74" s="200" t="n"/>
      <c r="N74" s="200" t="n"/>
      <c r="S74" s="223" t="n"/>
      <c r="T74" s="223" t="n"/>
      <c r="U74" s="223" t="n"/>
      <c r="V74" s="223" t="n"/>
      <c r="W74" s="223" t="n"/>
      <c r="X74" s="223" t="n"/>
    </row>
    <row r="75">
      <c r="A75" s="124" t="n"/>
      <c r="B75" s="223" t="n"/>
      <c r="C75" s="223" t="n"/>
      <c r="D75" s="215" t="n"/>
      <c r="E75" s="200" t="n"/>
      <c r="F75" s="222" t="n"/>
      <c r="G75" s="222" t="n"/>
      <c r="H75" s="222" t="n"/>
      <c r="I75" s="223" t="n"/>
      <c r="K75" s="200" t="n"/>
      <c r="L75" s="200" t="n"/>
      <c r="M75" s="200" t="n"/>
      <c r="N75" s="200" t="n"/>
      <c r="S75" s="223" t="n"/>
      <c r="T75" s="223" t="n"/>
      <c r="U75" s="223" t="n"/>
      <c r="V75" s="223" t="n"/>
      <c r="W75" s="223" t="n"/>
      <c r="X75" s="223" t="n"/>
    </row>
    <row r="76">
      <c r="A76" s="124" t="n"/>
      <c r="B76" s="223" t="n"/>
      <c r="C76" s="223" t="n"/>
      <c r="D76" s="215" t="n"/>
      <c r="E76" s="200" t="n"/>
      <c r="F76" s="222" t="n"/>
      <c r="G76" s="222" t="n"/>
      <c r="H76" s="222" t="n"/>
      <c r="I76" s="223" t="n"/>
      <c r="K76" s="200" t="n"/>
      <c r="L76" s="200" t="n"/>
      <c r="M76" s="200" t="n"/>
      <c r="N76" s="200" t="n"/>
      <c r="S76" s="223" t="n"/>
      <c r="T76" s="223" t="n"/>
      <c r="U76" s="223" t="n"/>
      <c r="V76" s="223" t="n"/>
      <c r="W76" s="223" t="n"/>
      <c r="X76" s="223" t="n"/>
    </row>
    <row r="77">
      <c r="A77" s="117" t="inlineStr">
        <is>
          <t>LIMPIEZA INDUSTRIAL</t>
        </is>
      </c>
      <c r="B77" s="271" t="n"/>
      <c r="C77" s="223" t="n"/>
      <c r="D77" s="215" t="n"/>
      <c r="E77" s="200" t="n"/>
      <c r="F77" s="222" t="n"/>
      <c r="G77" s="222" t="n"/>
      <c r="H77" s="222" t="n"/>
      <c r="I77" s="223" t="n"/>
      <c r="K77" s="200" t="n"/>
      <c r="L77" s="200" t="n"/>
      <c r="M77" s="200" t="n"/>
      <c r="N77" s="200" t="n"/>
      <c r="S77" s="223" t="n"/>
      <c r="T77" s="223" t="n"/>
      <c r="U77" s="223" t="n"/>
      <c r="V77" s="223" t="n"/>
      <c r="W77" s="223" t="n"/>
      <c r="X77" s="223" t="n"/>
    </row>
    <row r="78">
      <c r="A78" s="131" t="n"/>
      <c r="B78" s="223" t="n"/>
      <c r="C78" s="223" t="n"/>
      <c r="D78" s="215" t="n"/>
      <c r="E78" s="200" t="n"/>
      <c r="F78" s="222" t="n"/>
      <c r="G78" s="222" t="n"/>
      <c r="H78" s="222" t="n"/>
      <c r="I78" s="223" t="n"/>
      <c r="K78" s="200" t="n"/>
      <c r="L78" s="200" t="n"/>
      <c r="M78" s="200" t="n"/>
      <c r="N78" s="200" t="n"/>
      <c r="S78" s="223" t="n"/>
      <c r="T78" s="223" t="n"/>
      <c r="U78" s="223" t="n"/>
      <c r="V78" s="223" t="n"/>
      <c r="W78" s="223" t="n"/>
      <c r="X78" s="223" t="n"/>
    </row>
    <row r="79">
      <c r="A79" s="182" t="n">
        <v>101</v>
      </c>
      <c r="B79" s="224" t="inlineStr">
        <is>
          <t>Pack x 6 bobinas 22,5 cm x 300 porciones</t>
        </is>
      </c>
      <c r="D79" s="227">
        <f>E79*0.93</f>
        <v/>
      </c>
      <c r="E79" s="238" t="n">
        <v>3923.33</v>
      </c>
      <c r="F79" s="228">
        <f>D79*1.3*1.105</f>
        <v/>
      </c>
      <c r="G79" s="226">
        <f>D79*1.3*1.105/0.9</f>
        <v/>
      </c>
      <c r="H79" s="227">
        <f>G79*1.21</f>
        <v/>
      </c>
      <c r="I79" s="227">
        <f>ROUND(H79/100,0)*100</f>
        <v/>
      </c>
      <c r="J79" s="193" t="n"/>
      <c r="K79" s="238" t="n">
        <v>4264.49</v>
      </c>
      <c r="L79" s="256" t="n">
        <v>3838.04</v>
      </c>
      <c r="M79" s="256" t="n">
        <v>3624.82</v>
      </c>
      <c r="N79" s="254" t="n">
        <v>3411.59</v>
      </c>
      <c r="O79" s="193" t="n"/>
      <c r="P79" s="193" t="n"/>
      <c r="Q79" s="193" t="n"/>
      <c r="R79" s="193" t="n"/>
      <c r="S79" s="224" t="n"/>
      <c r="T79" s="224" t="n"/>
      <c r="U79" s="224" t="n"/>
      <c r="V79" s="224" t="n"/>
      <c r="W79" s="224" t="n"/>
      <c r="X79" s="224" t="n"/>
      <c r="Y79" s="193" t="n"/>
    </row>
    <row r="80">
      <c r="A80" s="124" t="n">
        <v>109</v>
      </c>
      <c r="B80" s="223" t="inlineStr">
        <is>
          <t>Pack x 2 bobinas papel original 22,5 cm x 270 mts</t>
        </is>
      </c>
      <c r="D80" s="215">
        <f>E80*0.93</f>
        <v/>
      </c>
      <c r="E80" s="236" t="n">
        <v>3062.27</v>
      </c>
      <c r="F80" s="218">
        <f>D80*1.3*1.105</f>
        <v/>
      </c>
      <c r="G80" s="219">
        <f>D80*1.3*1.105/0.9</f>
        <v/>
      </c>
      <c r="H80" s="220">
        <f>G80*1.21</f>
        <v/>
      </c>
      <c r="I80" s="215">
        <f>ROUND(H80/100,0)*100</f>
        <v/>
      </c>
      <c r="K80" s="236" t="n">
        <v>3328.56</v>
      </c>
      <c r="L80" s="257" t="n">
        <v>2995.7</v>
      </c>
      <c r="M80" s="257" t="n">
        <v>2829.28</v>
      </c>
      <c r="N80" s="253" t="n">
        <v>2662.85</v>
      </c>
      <c r="S80" s="223" t="n"/>
      <c r="T80" s="223" t="n"/>
      <c r="U80" s="223" t="n"/>
      <c r="V80" s="223" t="n"/>
      <c r="W80" s="223" t="n"/>
      <c r="X80" s="223" t="n"/>
    </row>
    <row r="81">
      <c r="A81" s="182" t="n">
        <v>123</v>
      </c>
      <c r="B81" s="224" t="inlineStr">
        <is>
          <t>Pack x 2 bobinas Papel Original 900 hjs/360 mts.</t>
        </is>
      </c>
      <c r="D81" s="227">
        <f>E81*0.93</f>
        <v/>
      </c>
      <c r="E81" s="236" t="n">
        <v>4498.25</v>
      </c>
      <c r="F81" s="228">
        <f>D81*1.3*1.105</f>
        <v/>
      </c>
      <c r="G81" s="226">
        <f>D81*1.3*1.105/0.9</f>
        <v/>
      </c>
      <c r="H81" s="227">
        <f>G81*1.21</f>
        <v/>
      </c>
      <c r="I81" s="227">
        <f>ROUND(H81/100,0)*100</f>
        <v/>
      </c>
      <c r="J81" s="193" t="n"/>
      <c r="K81" s="236" t="n">
        <v>4889.4</v>
      </c>
      <c r="L81" s="257" t="n">
        <v>4400.46</v>
      </c>
      <c r="M81" s="257" t="n">
        <v>4155.99</v>
      </c>
      <c r="N81" s="253" t="n">
        <v>3911.52</v>
      </c>
      <c r="O81" s="193" t="n"/>
      <c r="P81" s="193" t="n"/>
      <c r="Q81" s="193" t="n"/>
      <c r="R81" s="193" t="n"/>
      <c r="S81" s="224" t="n"/>
      <c r="T81" s="224" t="n"/>
      <c r="U81" s="224" t="n"/>
      <c r="V81" s="224" t="n"/>
      <c r="W81" s="224" t="n"/>
      <c r="X81" s="224" t="n"/>
      <c r="Y81" s="193" t="n"/>
    </row>
    <row r="82">
      <c r="A82" s="124" t="n">
        <v>809</v>
      </c>
      <c r="B82" s="223" t="inlineStr">
        <is>
          <t>Pack x 4 Rollos 600 porc 25x25 Rep Tambo</t>
        </is>
      </c>
      <c r="D82" s="215">
        <f>E82*0.93</f>
        <v/>
      </c>
      <c r="E82" s="236" t="n">
        <v>4672.86</v>
      </c>
      <c r="F82" s="218">
        <f>D82*1.3*1.105</f>
        <v/>
      </c>
      <c r="G82" s="219">
        <f>D82*1.3*1.105/0.9</f>
        <v/>
      </c>
      <c r="H82" s="220">
        <f>G82*1.21</f>
        <v/>
      </c>
      <c r="I82" s="215">
        <f>ROUND(H82/100,0)*100</f>
        <v/>
      </c>
      <c r="K82" s="236" t="n">
        <v>5079.2</v>
      </c>
      <c r="L82" s="257" t="n">
        <v>4571.28</v>
      </c>
      <c r="M82" s="257" t="n">
        <v>4317.32</v>
      </c>
      <c r="N82" s="253" t="n">
        <v>4063.36</v>
      </c>
      <c r="S82" s="223" t="n"/>
      <c r="T82" s="223" t="n"/>
      <c r="U82" s="223" t="n"/>
      <c r="V82" s="223" t="n"/>
      <c r="W82" s="223" t="n"/>
      <c r="X82" s="223" t="n"/>
    </row>
    <row r="83">
      <c r="A83" s="124" t="n"/>
      <c r="B83" s="223" t="n"/>
      <c r="C83" s="223" t="n"/>
      <c r="D83" s="215" t="n"/>
      <c r="E83" s="200" t="n"/>
      <c r="F83" s="222" t="n"/>
      <c r="G83" s="222" t="n"/>
      <c r="H83" s="222" t="n"/>
      <c r="I83" s="223" t="n"/>
      <c r="K83" s="200" t="n"/>
      <c r="L83" s="200" t="n"/>
      <c r="M83" s="200" t="n"/>
      <c r="N83" s="200" t="n"/>
      <c r="S83" s="223" t="n"/>
      <c r="T83" s="223" t="n"/>
      <c r="U83" s="223" t="n"/>
      <c r="V83" s="223" t="n"/>
      <c r="W83" s="223" t="n"/>
      <c r="X83" s="223" t="n"/>
    </row>
    <row r="84">
      <c r="A84" s="124" t="n"/>
      <c r="B84" s="223" t="n"/>
      <c r="C84" s="223" t="n"/>
      <c r="D84" s="215" t="n"/>
      <c r="E84" s="200" t="n"/>
      <c r="F84" s="222" t="n"/>
      <c r="G84" s="222" t="n"/>
      <c r="H84" s="222" t="n"/>
      <c r="I84" s="223" t="n"/>
      <c r="K84" s="200" t="n"/>
      <c r="L84" s="200" t="n"/>
      <c r="M84" s="200" t="n"/>
      <c r="N84" s="200" t="n"/>
      <c r="S84" s="223" t="n"/>
      <c r="T84" s="223" t="n"/>
      <c r="U84" s="223" t="n"/>
      <c r="V84" s="223" t="n"/>
      <c r="W84" s="223" t="n"/>
      <c r="X84" s="223" t="n"/>
    </row>
    <row r="85">
      <c r="A85" s="117" t="inlineStr">
        <is>
          <t>PAÑOS DE LIMPIEZA DE ALTA PERFORMANCE</t>
        </is>
      </c>
      <c r="B85" s="223" t="n"/>
      <c r="C85" s="223" t="n"/>
      <c r="D85" s="215" t="n"/>
      <c r="E85" s="200" t="n"/>
      <c r="F85" s="222" t="n"/>
      <c r="G85" s="222" t="n"/>
      <c r="H85" s="222" t="n"/>
      <c r="I85" s="223" t="n"/>
      <c r="K85" s="200" t="n"/>
      <c r="L85" s="200" t="n"/>
      <c r="M85" s="200" t="n"/>
      <c r="N85" s="200" t="n"/>
      <c r="S85" s="223" t="n"/>
      <c r="T85" s="223" t="n"/>
      <c r="U85" s="223" t="n"/>
      <c r="V85" s="223" t="n"/>
      <c r="W85" s="223" t="n"/>
      <c r="X85" s="223" t="n"/>
    </row>
    <row r="86">
      <c r="A86" s="131" t="n"/>
      <c r="B86" s="223" t="n"/>
      <c r="C86" s="223" t="n"/>
      <c r="D86" s="215" t="n"/>
      <c r="E86" s="200" t="n"/>
      <c r="F86" s="222" t="n"/>
      <c r="G86" s="222" t="n"/>
      <c r="H86" s="222" t="n"/>
      <c r="I86" s="223" t="n"/>
      <c r="K86" s="200" t="n"/>
      <c r="L86" s="200" t="n"/>
      <c r="M86" s="200" t="n"/>
      <c r="N86" s="200" t="n"/>
      <c r="S86" s="223" t="n"/>
      <c r="T86" s="223" t="n"/>
      <c r="U86" s="223" t="n"/>
      <c r="V86" s="223" t="n"/>
      <c r="W86" s="223" t="n"/>
      <c r="X86" s="223" t="n"/>
    </row>
    <row r="87">
      <c r="A87" s="157" t="inlineStr">
        <is>
          <t>Linea Softclean</t>
        </is>
      </c>
      <c r="C87" s="158" t="n"/>
      <c r="D87" s="215" t="n"/>
      <c r="E87" s="234" t="n"/>
      <c r="F87" s="222" t="n"/>
      <c r="G87" s="222" t="n"/>
      <c r="H87" s="222" t="n"/>
      <c r="I87" s="223" t="n"/>
      <c r="K87" s="197" t="inlineStr">
        <is>
          <t>U$S</t>
        </is>
      </c>
      <c r="L87" s="190" t="n"/>
      <c r="M87" s="190" t="n"/>
      <c r="N87" s="234" t="n"/>
      <c r="S87" s="223" t="n"/>
      <c r="T87" s="223" t="n"/>
      <c r="U87" s="223" t="n"/>
      <c r="V87" s="223" t="n"/>
      <c r="W87" s="223" t="n"/>
      <c r="X87" s="223" t="n"/>
    </row>
    <row r="88">
      <c r="A88" s="186" t="n">
        <v>601</v>
      </c>
      <c r="B88" s="223" t="inlineStr">
        <is>
          <t>Rollo precortado Maxi blanco 30 x 38 x 500 softclean</t>
        </is>
      </c>
      <c r="D88" s="215">
        <f>E88*0.93</f>
        <v/>
      </c>
      <c r="E88" s="239" t="n">
        <v>54.43</v>
      </c>
      <c r="F88" s="218">
        <f>D88*1.3*1.105</f>
        <v/>
      </c>
      <c r="G88" s="219">
        <f>D88*1.3*1.105/0.9</f>
        <v/>
      </c>
      <c r="H88" s="220">
        <f>G88*1.21</f>
        <v/>
      </c>
      <c r="I88" s="215">
        <f>ROUND(H88/100,0)*100</f>
        <v/>
      </c>
      <c r="K88" s="239" t="n">
        <v>68.04000000000001</v>
      </c>
      <c r="L88" s="268" t="n">
        <v>61.24</v>
      </c>
      <c r="M88" s="268" t="n">
        <v>57.83</v>
      </c>
      <c r="N88" s="255" t="n">
        <v>54.43</v>
      </c>
      <c r="S88" s="223" t="n"/>
      <c r="T88" s="223" t="n"/>
      <c r="U88" s="223" t="n"/>
      <c r="V88" s="223" t="n"/>
      <c r="W88" s="223" t="n"/>
      <c r="X88" s="223" t="n"/>
    </row>
    <row r="89">
      <c r="A89" s="242" t="n">
        <v>605</v>
      </c>
      <c r="B89" s="224" t="inlineStr">
        <is>
          <t>Caja x 250 Paños Ultratex de 34cm x 60cm</t>
        </is>
      </c>
      <c r="D89" s="227">
        <f>E89*0.93</f>
        <v/>
      </c>
      <c r="E89" s="239" t="n">
        <v>211.48</v>
      </c>
      <c r="F89" s="228">
        <f>D89*1.3*1.105</f>
        <v/>
      </c>
      <c r="G89" s="226">
        <f>D89*1.3*1.105/0.9</f>
        <v/>
      </c>
      <c r="H89" s="227">
        <f>G89*1.21</f>
        <v/>
      </c>
      <c r="I89" s="227">
        <f>ROUND(H89/100,0)*100</f>
        <v/>
      </c>
      <c r="J89" s="193" t="n"/>
      <c r="K89" s="239" t="n">
        <v>264.35</v>
      </c>
      <c r="L89" s="268" t="n">
        <v>237.92</v>
      </c>
      <c r="M89" s="268" t="n">
        <v>224.7</v>
      </c>
      <c r="N89" s="255" t="n">
        <v>211.48</v>
      </c>
      <c r="O89" s="193" t="n"/>
      <c r="P89" s="193" t="n"/>
      <c r="Q89" s="193" t="n"/>
      <c r="R89" s="193" t="n"/>
      <c r="S89" s="224" t="n"/>
      <c r="T89" s="224" t="n"/>
      <c r="U89" s="224" t="n"/>
      <c r="V89" s="224" t="n"/>
      <c r="W89" s="224" t="n"/>
      <c r="X89" s="224" t="n"/>
      <c r="Y89" s="193" t="n"/>
    </row>
    <row r="90">
      <c r="A90" s="186" t="n">
        <v>606</v>
      </c>
      <c r="B90" s="223" t="inlineStr">
        <is>
          <t>Caja x 300 Paños Ultratex de 45,7cm x 53,3cm</t>
        </is>
      </c>
      <c r="D90" s="215">
        <f>E90*0.93</f>
        <v/>
      </c>
      <c r="E90" s="239" t="n">
        <v>299.2</v>
      </c>
      <c r="F90" s="218">
        <f>D90*1.3*1.105</f>
        <v/>
      </c>
      <c r="G90" s="219">
        <f>D90*1.3*1.105/0.9</f>
        <v/>
      </c>
      <c r="H90" s="220">
        <f>G90*1.21</f>
        <v/>
      </c>
      <c r="I90" s="215">
        <f>ROUND(H90/100,0)*100</f>
        <v/>
      </c>
      <c r="K90" s="239" t="n">
        <v>374</v>
      </c>
      <c r="L90" s="268" t="n">
        <v>336.6</v>
      </c>
      <c r="M90" s="268" t="n">
        <v>317.9</v>
      </c>
      <c r="N90" s="255" t="n">
        <v>299.2</v>
      </c>
      <c r="S90" s="223" t="n"/>
      <c r="T90" s="223" t="n"/>
      <c r="U90" s="223" t="n"/>
      <c r="V90" s="223" t="n"/>
      <c r="W90" s="223" t="n"/>
      <c r="X90" s="223" t="n"/>
    </row>
    <row r="91">
      <c r="A91" s="186" t="n">
        <v>608</v>
      </c>
      <c r="B91" s="223" t="inlineStr">
        <is>
          <t>Repuesto x 2 rollos Softclean x 350 mts</t>
        </is>
      </c>
      <c r="D91" s="215">
        <f>E91*0.93</f>
        <v/>
      </c>
      <c r="E91" s="239" t="n">
        <v>49.43</v>
      </c>
      <c r="F91" s="218">
        <f>D91*1.3*1.105</f>
        <v/>
      </c>
      <c r="G91" s="219">
        <f>D91*1.3*1.105/0.9</f>
        <v/>
      </c>
      <c r="H91" s="220">
        <f>G91*1.21</f>
        <v/>
      </c>
      <c r="I91" s="215">
        <f>ROUND(H91/100,0)*100</f>
        <v/>
      </c>
      <c r="K91" s="239" t="n">
        <v>61.79</v>
      </c>
      <c r="L91" s="268" t="n">
        <v>55.61</v>
      </c>
      <c r="M91" s="268" t="n">
        <v>52.52</v>
      </c>
      <c r="N91" s="255" t="n">
        <v>49.43</v>
      </c>
      <c r="S91" s="223" t="n"/>
      <c r="T91" s="223" t="n"/>
      <c r="U91" s="223" t="n"/>
      <c r="V91" s="223" t="n"/>
      <c r="W91" s="223" t="n"/>
      <c r="X91" s="223" t="n"/>
    </row>
    <row r="92">
      <c r="A92" s="186" t="n">
        <v>612</v>
      </c>
      <c r="B92" s="223" t="inlineStr">
        <is>
          <t>Contenedor Mini Softclean x 150 porc. 13 x 26.5cm</t>
        </is>
      </c>
      <c r="D92" s="215">
        <f>E92*0.93</f>
        <v/>
      </c>
      <c r="E92" s="239" t="n">
        <v>7.53</v>
      </c>
      <c r="F92" s="218">
        <f>D92*1.3*1.105</f>
        <v/>
      </c>
      <c r="G92" s="219">
        <f>D92*1.3*1.105/0.9</f>
        <v/>
      </c>
      <c r="H92" s="220">
        <f>G92*1.21</f>
        <v/>
      </c>
      <c r="I92" s="215">
        <f>ROUND(H92/100,0)*100</f>
        <v/>
      </c>
      <c r="K92" s="239" t="n">
        <v>9.41</v>
      </c>
      <c r="L92" s="268" t="n">
        <v>8.470000000000001</v>
      </c>
      <c r="M92" s="268" t="n">
        <v>8</v>
      </c>
      <c r="N92" s="255" t="n">
        <v>7.53</v>
      </c>
      <c r="S92" s="223" t="n"/>
      <c r="T92" s="223" t="n"/>
      <c r="U92" s="223" t="n"/>
      <c r="V92" s="223" t="n"/>
      <c r="W92" s="223" t="n"/>
      <c r="X92" s="223" t="n"/>
    </row>
    <row r="93">
      <c r="A93" s="186" t="n">
        <v>614</v>
      </c>
      <c r="B93" s="223" t="inlineStr">
        <is>
          <t>Rollo SoftClean S 70x 875 Porciones de 30x 25</t>
        </is>
      </c>
      <c r="D93" s="215">
        <f>E93*0.93</f>
        <v/>
      </c>
      <c r="E93" s="239" t="n">
        <v>59.55</v>
      </c>
      <c r="F93" s="218">
        <f>D93*1.3*1.105</f>
        <v/>
      </c>
      <c r="G93" s="219">
        <f>D93*1.3*1.105/0.9</f>
        <v/>
      </c>
      <c r="H93" s="220">
        <f>G93*1.21</f>
        <v/>
      </c>
      <c r="I93" s="215">
        <f>ROUND(H93/100,0)*100</f>
        <v/>
      </c>
      <c r="K93" s="239" t="n">
        <v>74.44</v>
      </c>
      <c r="L93" s="268" t="n">
        <v>67</v>
      </c>
      <c r="M93" s="268" t="n">
        <v>63.27</v>
      </c>
      <c r="N93" s="255" t="n">
        <v>59.55</v>
      </c>
      <c r="S93" s="223" t="n"/>
      <c r="T93" s="223" t="n"/>
      <c r="U93" s="223" t="n"/>
      <c r="V93" s="223" t="n"/>
      <c r="W93" s="223" t="n"/>
      <c r="X93" s="223" t="n"/>
    </row>
    <row r="94">
      <c r="A94" s="186" t="n">
        <v>615</v>
      </c>
      <c r="B94" s="223" t="inlineStr">
        <is>
          <t>Contenedor Center Softclean x 350 22,5 x26,5</t>
        </is>
      </c>
      <c r="D94" s="215">
        <f>E94*0.93</f>
        <v/>
      </c>
      <c r="E94" s="239" t="n">
        <v>25.9</v>
      </c>
      <c r="F94" s="218">
        <f>D94*1.3*1.105</f>
        <v/>
      </c>
      <c r="G94" s="219">
        <f>D94*1.3*1.105/0.9</f>
        <v/>
      </c>
      <c r="H94" s="220">
        <f>G94*1.21</f>
        <v/>
      </c>
      <c r="I94" s="215">
        <f>ROUND(H94/100,0)*100</f>
        <v/>
      </c>
      <c r="K94" s="239" t="n">
        <v>32.37</v>
      </c>
      <c r="L94" s="268" t="n">
        <v>29.13</v>
      </c>
      <c r="M94" s="268" t="n">
        <v>27.51</v>
      </c>
      <c r="N94" s="255" t="n">
        <v>25.9</v>
      </c>
      <c r="S94" s="223" t="n"/>
      <c r="T94" s="223" t="n"/>
      <c r="U94" s="223" t="n"/>
      <c r="V94" s="223" t="n"/>
      <c r="W94" s="223" t="n"/>
      <c r="X94" s="223" t="n"/>
    </row>
    <row r="95">
      <c r="A95" s="186" t="n">
        <v>616</v>
      </c>
      <c r="B95" s="223" t="inlineStr">
        <is>
          <t>Rollo Mini Sofclean x 190 porciones de 22,5 x 26,5</t>
        </is>
      </c>
      <c r="D95" s="215">
        <f>E95*0.93</f>
        <v/>
      </c>
      <c r="E95" s="239" t="n">
        <v>12.94</v>
      </c>
      <c r="F95" s="218">
        <f>D95*1.3*1.105</f>
        <v/>
      </c>
      <c r="G95" s="219">
        <f>D95*1.3*1.105/0.9</f>
        <v/>
      </c>
      <c r="H95" s="220">
        <f>G95*1.21</f>
        <v/>
      </c>
      <c r="I95" s="215">
        <f>ROUND(H95/100,0)*100</f>
        <v/>
      </c>
      <c r="K95" s="239" t="n">
        <v>16.18</v>
      </c>
      <c r="L95" s="268" t="n">
        <v>14.56</v>
      </c>
      <c r="M95" s="268" t="n">
        <v>13.75</v>
      </c>
      <c r="N95" s="255" t="n">
        <v>12.94</v>
      </c>
      <c r="S95" s="223" t="n"/>
      <c r="T95" s="223" t="n"/>
      <c r="U95" s="223" t="n"/>
      <c r="V95" s="223" t="n"/>
      <c r="W95" s="223" t="n"/>
      <c r="X95" s="223" t="n"/>
    </row>
    <row r="96">
      <c r="A96" s="242" t="n">
        <v>617</v>
      </c>
      <c r="B96" s="224" t="inlineStr">
        <is>
          <t>Caja 1/4 Folded Softclean 500 30 x 30 cm Celeste</t>
        </is>
      </c>
      <c r="D96" s="227">
        <f>E96*0.93</f>
        <v/>
      </c>
      <c r="E96" s="239" t="n">
        <v>42.96</v>
      </c>
      <c r="F96" s="228">
        <f>D96*1.3*1.105</f>
        <v/>
      </c>
      <c r="G96" s="226">
        <f>D96*1.3*1.105/0.9</f>
        <v/>
      </c>
      <c r="H96" s="227">
        <f>G96*1.21</f>
        <v/>
      </c>
      <c r="I96" s="227">
        <f>ROUND(H96/100,0)*100</f>
        <v/>
      </c>
      <c r="J96" s="193" t="n"/>
      <c r="K96" s="239" t="n">
        <v>53.7</v>
      </c>
      <c r="L96" s="268" t="n">
        <v>48.33</v>
      </c>
      <c r="M96" s="268" t="n">
        <v>45.65</v>
      </c>
      <c r="N96" s="255" t="n">
        <v>42.96</v>
      </c>
      <c r="O96" s="193" t="n"/>
      <c r="P96" s="193" t="n"/>
      <c r="Q96" s="193" t="n"/>
      <c r="R96" s="193" t="n"/>
      <c r="S96" s="224" t="n"/>
      <c r="T96" s="224" t="n"/>
      <c r="U96" s="224" t="n"/>
      <c r="V96" s="224" t="n"/>
      <c r="W96" s="224" t="n"/>
      <c r="X96" s="224" t="n"/>
      <c r="Y96" s="193" t="n"/>
    </row>
    <row r="97">
      <c r="A97" s="186" t="n">
        <v>618</v>
      </c>
      <c r="B97" s="223" t="inlineStr">
        <is>
          <t>Rollo Precortado Softclean 600 porciones de 30x 26,5</t>
        </is>
      </c>
      <c r="D97" s="215">
        <f>E97*0.93</f>
        <v/>
      </c>
      <c r="E97" s="239" t="n">
        <v>42.96</v>
      </c>
      <c r="F97" s="218">
        <f>D97*1.3*1.105</f>
        <v/>
      </c>
      <c r="G97" s="219">
        <f>D97*1.3*1.105/0.9</f>
        <v/>
      </c>
      <c r="H97" s="220">
        <f>G97*1.21</f>
        <v/>
      </c>
      <c r="I97" s="215">
        <f>ROUND(H97/100,0)*100</f>
        <v/>
      </c>
      <c r="K97" s="239" t="n">
        <v>53.7</v>
      </c>
      <c r="L97" s="268" t="n">
        <v>48.33</v>
      </c>
      <c r="M97" s="268" t="n">
        <v>45.65</v>
      </c>
      <c r="N97" s="255" t="n">
        <v>42.96</v>
      </c>
      <c r="S97" s="223" t="n"/>
      <c r="T97" s="223" t="n"/>
      <c r="U97" s="223" t="n"/>
      <c r="V97" s="223" t="n"/>
      <c r="W97" s="223" t="n"/>
      <c r="X97" s="223" t="n"/>
    </row>
    <row r="98">
      <c r="A98" s="186" t="n"/>
      <c r="B98" s="223" t="n"/>
      <c r="C98" s="223" t="n"/>
      <c r="D98" s="215" t="n"/>
      <c r="E98" s="255" t="n"/>
      <c r="F98" s="222" t="n"/>
      <c r="G98" s="222" t="n"/>
      <c r="H98" s="222" t="n"/>
      <c r="I98" s="223" t="n"/>
      <c r="K98" s="195" t="n"/>
      <c r="L98" s="195" t="n"/>
      <c r="M98" s="195" t="n"/>
      <c r="N98" s="255" t="n"/>
      <c r="S98" s="223" t="n"/>
      <c r="T98" s="223" t="n"/>
      <c r="U98" s="223" t="n"/>
      <c r="V98" s="223" t="n"/>
      <c r="W98" s="223" t="n"/>
      <c r="X98" s="223" t="n"/>
    </row>
    <row r="99">
      <c r="A99" s="168" t="inlineStr">
        <is>
          <t>Linea Sontara</t>
        </is>
      </c>
      <c r="C99" s="158" t="n"/>
      <c r="D99" s="215" t="n"/>
      <c r="E99" s="245" t="n"/>
      <c r="F99" s="222" t="n"/>
      <c r="G99" s="222" t="n"/>
      <c r="H99" s="222" t="n"/>
      <c r="I99" s="223" t="n"/>
      <c r="K99" s="197" t="n"/>
      <c r="L99" s="197" t="n"/>
      <c r="M99" s="197" t="n"/>
      <c r="N99" s="245" t="n"/>
      <c r="S99" s="223" t="n"/>
      <c r="T99" s="223" t="n"/>
      <c r="U99" s="223" t="n"/>
      <c r="V99" s="223" t="n"/>
      <c r="W99" s="223" t="n"/>
      <c r="X99" s="223" t="n"/>
    </row>
    <row r="100">
      <c r="A100" s="186" t="n">
        <v>604</v>
      </c>
      <c r="B100" s="223" t="inlineStr">
        <is>
          <t>Rollo precortado Maxi de 30 x38 blanco</t>
        </is>
      </c>
      <c r="D100" s="215">
        <f>E100*0.93</f>
        <v/>
      </c>
      <c r="E100" s="239" t="n">
        <v>105.02</v>
      </c>
      <c r="F100" s="218">
        <f>D100*1.3*1.105</f>
        <v/>
      </c>
      <c r="G100" s="219">
        <f>D100*1.3*1.105/0.9</f>
        <v/>
      </c>
      <c r="H100" s="220">
        <f>G100*1.21</f>
        <v/>
      </c>
      <c r="I100" s="215">
        <f>ROUND(H100/100,0)*100</f>
        <v/>
      </c>
      <c r="K100" s="250" t="n">
        <v>131.28</v>
      </c>
      <c r="L100" s="247" t="n">
        <v>118.15</v>
      </c>
      <c r="M100" s="247" t="n">
        <v>111.59</v>
      </c>
      <c r="N100" s="255" t="n">
        <v>105.02</v>
      </c>
      <c r="S100" s="223" t="n"/>
      <c r="T100" s="223" t="n"/>
      <c r="U100" s="223" t="n"/>
      <c r="V100" s="223" t="n"/>
      <c r="W100" s="223" t="n"/>
      <c r="X100" s="223" t="n"/>
    </row>
    <row r="101">
      <c r="A101" s="186" t="n">
        <v>619</v>
      </c>
      <c r="B101" s="223" t="inlineStr">
        <is>
          <t>Centerfeed Sontara Celeste 350 porc22,5 x 26,5</t>
        </is>
      </c>
      <c r="D101" s="215">
        <f>E101*0.93</f>
        <v/>
      </c>
      <c r="E101" s="239" t="n">
        <v>53.27</v>
      </c>
      <c r="F101" s="218">
        <f>D101*1.3*1.105</f>
        <v/>
      </c>
      <c r="G101" s="219">
        <f>D101*1.3*1.105/0.9</f>
        <v/>
      </c>
      <c r="H101" s="220">
        <f>G101*1.21</f>
        <v/>
      </c>
      <c r="I101" s="215">
        <f>ROUND(H101/100,0)*100</f>
        <v/>
      </c>
      <c r="K101" s="239" t="n">
        <v>66.59</v>
      </c>
      <c r="L101" s="268" t="n">
        <v>59.93</v>
      </c>
      <c r="M101" s="268" t="n">
        <v>56.6</v>
      </c>
      <c r="N101" s="255" t="n">
        <v>53.27</v>
      </c>
      <c r="S101" s="223" t="n"/>
      <c r="T101" s="223" t="n"/>
      <c r="U101" s="223" t="n"/>
      <c r="V101" s="223" t="n"/>
      <c r="W101" s="223" t="n"/>
      <c r="X101" s="223" t="n"/>
    </row>
    <row r="102">
      <c r="A102" s="186" t="n">
        <v>620</v>
      </c>
      <c r="B102" s="223" t="inlineStr">
        <is>
          <t>Rollo prec Sontara por 600 porc 30 x26,5 celeste</t>
        </is>
      </c>
      <c r="D102" s="215">
        <f>E102*0.93</f>
        <v/>
      </c>
      <c r="E102" s="239" t="n">
        <v>98.90000000000001</v>
      </c>
      <c r="F102" s="218">
        <f>D102*1.3*1.105</f>
        <v/>
      </c>
      <c r="G102" s="219">
        <f>D102*1.3*1.105/0.9</f>
        <v/>
      </c>
      <c r="H102" s="220">
        <f>G102*1.21</f>
        <v/>
      </c>
      <c r="I102" s="215">
        <f>ROUND(H102/100,0)*100</f>
        <v/>
      </c>
      <c r="K102" s="239" t="n">
        <v>123.62</v>
      </c>
      <c r="L102" s="268" t="n">
        <v>111.26</v>
      </c>
      <c r="M102" s="268" t="n">
        <v>105.08</v>
      </c>
      <c r="N102" s="255" t="n">
        <v>98.90000000000001</v>
      </c>
      <c r="S102" s="223" t="n"/>
      <c r="T102" s="223" t="n"/>
      <c r="U102" s="223" t="n"/>
      <c r="V102" s="223" t="n"/>
      <c r="W102" s="223" t="n"/>
      <c r="X102" s="223" t="n"/>
    </row>
    <row r="103">
      <c r="A103" s="186" t="n">
        <v>621</v>
      </c>
      <c r="B103" s="223" t="inlineStr">
        <is>
          <t>Rollo Sontara Mini x 190 porc 22,5 x26,5 celeste</t>
        </is>
      </c>
      <c r="D103" s="215">
        <f>E103*0.93</f>
        <v/>
      </c>
      <c r="E103" s="239" t="n">
        <v>24.21</v>
      </c>
      <c r="F103" s="218">
        <f>D103*1.3*1.105</f>
        <v/>
      </c>
      <c r="G103" s="219">
        <f>D103*1.3*1.105/0.9</f>
        <v/>
      </c>
      <c r="H103" s="220">
        <f>G103*1.21</f>
        <v/>
      </c>
      <c r="I103" s="215">
        <f>ROUND(H103/100,0)*100</f>
        <v/>
      </c>
      <c r="K103" s="239" t="n">
        <v>30.26</v>
      </c>
      <c r="L103" s="268" t="n">
        <v>27.23</v>
      </c>
      <c r="M103" s="268" t="n">
        <v>25.72</v>
      </c>
      <c r="N103" s="255" t="n">
        <v>24.21</v>
      </c>
      <c r="S103" s="223" t="n"/>
      <c r="T103" s="223" t="n"/>
      <c r="U103" s="223" t="n"/>
      <c r="V103" s="223" t="n"/>
      <c r="W103" s="223" t="n"/>
      <c r="X103" s="223" t="n"/>
    </row>
    <row r="104">
      <c r="A104" s="186" t="n">
        <v>627</v>
      </c>
      <c r="B104" s="223" t="inlineStr">
        <is>
          <t>SMP 300 Paños de 22,5 cm x 22,5 cm</t>
        </is>
      </c>
      <c r="D104" s="215">
        <f>E104*0.93</f>
        <v/>
      </c>
      <c r="E104" s="239" t="n">
        <v>63.92</v>
      </c>
      <c r="F104" s="218">
        <f>D104*1.3*1.105</f>
        <v/>
      </c>
      <c r="G104" s="219">
        <f>D104*1.3*1.105/0.9</f>
        <v/>
      </c>
      <c r="H104" s="220">
        <f>G104*1.21</f>
        <v/>
      </c>
      <c r="I104" s="215">
        <f>ROUND(H104/100,0)*100</f>
        <v/>
      </c>
      <c r="K104" s="239" t="n">
        <v>79.90000000000001</v>
      </c>
      <c r="L104" s="268" t="n">
        <v>71.91</v>
      </c>
      <c r="M104" s="268" t="n">
        <v>67.92</v>
      </c>
      <c r="N104" s="255" t="n">
        <v>63.92</v>
      </c>
      <c r="S104" s="223" t="n"/>
      <c r="T104" s="223" t="n"/>
      <c r="U104" s="223" t="n"/>
      <c r="V104" s="223" t="n"/>
      <c r="W104" s="223" t="n"/>
      <c r="X104" s="103" t="n"/>
    </row>
    <row r="105">
      <c r="A105" s="171" t="n">
        <v>645</v>
      </c>
      <c r="B105" s="175" t="inlineStr">
        <is>
          <t>Caja por 500Paños Sontara de 30 x 30 cm celeste</t>
        </is>
      </c>
      <c r="D105" s="215">
        <f>E105*0.93</f>
        <v/>
      </c>
      <c r="E105" s="239" t="n">
        <v>70.31</v>
      </c>
      <c r="F105" s="218">
        <f>D105*1.3*1.105</f>
        <v/>
      </c>
      <c r="G105" s="219">
        <f>D105*1.3*1.105/0.9</f>
        <v/>
      </c>
      <c r="H105" s="220">
        <f>G105*1.21</f>
        <v/>
      </c>
      <c r="I105" s="215">
        <f>ROUND(H105/100,0)*100</f>
        <v/>
      </c>
      <c r="K105" s="239" t="n">
        <v>87.89</v>
      </c>
      <c r="L105" s="268" t="n">
        <v>79.09999999999999</v>
      </c>
      <c r="M105" s="268" t="n">
        <v>74.70999999999999</v>
      </c>
      <c r="N105" s="255" t="n">
        <v>70.31</v>
      </c>
      <c r="S105" s="223" t="n"/>
      <c r="T105" s="223" t="n"/>
      <c r="U105" s="223" t="n"/>
      <c r="V105" s="223" t="n"/>
      <c r="W105" s="223" t="n"/>
      <c r="X105" s="223" t="n"/>
    </row>
    <row r="106">
      <c r="A106" s="186" t="n">
        <v>656</v>
      </c>
      <c r="B106" s="175" t="inlineStr">
        <is>
          <t>Caja por 400 Paños Sontara de 30 x 30 cm Blancos</t>
        </is>
      </c>
      <c r="D106" s="215">
        <f>E106*0.93</f>
        <v/>
      </c>
      <c r="E106" s="239" t="n">
        <v>68.05</v>
      </c>
      <c r="F106" s="218">
        <f>D106*1.3*1.105</f>
        <v/>
      </c>
      <c r="G106" s="219">
        <f>D106*1.3*1.105/0.9</f>
        <v/>
      </c>
      <c r="H106" s="220">
        <f>G106*1.21</f>
        <v/>
      </c>
      <c r="I106" s="215">
        <f>ROUND(H106/100,0)*100</f>
        <v/>
      </c>
      <c r="K106" s="239" t="n">
        <v>85.06</v>
      </c>
      <c r="L106" s="268" t="n">
        <v>76.55</v>
      </c>
      <c r="M106" s="268" t="n">
        <v>72.3</v>
      </c>
      <c r="N106" s="255" t="n">
        <v>68.05</v>
      </c>
      <c r="S106" s="223" t="n"/>
      <c r="T106" s="223" t="n"/>
      <c r="U106" s="223" t="n"/>
      <c r="V106" s="223" t="n"/>
      <c r="W106" s="223" t="n"/>
      <c r="X106" s="223" t="n"/>
    </row>
    <row r="107">
      <c r="A107" s="223" t="n"/>
      <c r="B107" s="175" t="n"/>
      <c r="C107" s="175" t="n"/>
      <c r="D107" s="215" t="n"/>
      <c r="E107" s="223" t="n"/>
      <c r="F107" s="223" t="n"/>
      <c r="G107" s="223" t="n"/>
      <c r="H107" s="223" t="n"/>
      <c r="I107" s="223" t="n"/>
      <c r="K107" s="223" t="n"/>
      <c r="L107" s="223" t="n"/>
      <c r="M107" s="223" t="n"/>
      <c r="N107" s="223" t="n"/>
      <c r="S107" s="223" t="n"/>
      <c r="T107" s="223" t="n"/>
      <c r="U107" s="223" t="n"/>
      <c r="V107" s="223" t="n"/>
      <c r="W107" s="223" t="n"/>
      <c r="X107" s="223" t="n"/>
    </row>
    <row r="108">
      <c r="A108" s="223" t="n"/>
      <c r="B108" s="175" t="n"/>
      <c r="C108" s="223" t="n"/>
      <c r="D108" s="215" t="n"/>
      <c r="E108" s="223" t="n"/>
      <c r="F108" s="223" t="n"/>
      <c r="G108" s="223" t="n"/>
      <c r="H108" s="223" t="n"/>
      <c r="I108" s="223" t="n"/>
      <c r="K108" s="223" t="n"/>
      <c r="L108" s="223" t="n"/>
      <c r="M108" s="223" t="n"/>
      <c r="N108" s="223" t="n"/>
      <c r="S108" s="223" t="n"/>
      <c r="T108" s="223" t="n"/>
      <c r="U108" s="223" t="n"/>
      <c r="V108" s="223" t="n"/>
      <c r="W108" s="223" t="n"/>
      <c r="X108" s="223" t="n"/>
    </row>
    <row r="109">
      <c r="A109" s="223" t="n"/>
      <c r="B109" s="175" t="n"/>
      <c r="C109" s="223" t="n"/>
      <c r="D109" s="215" t="n"/>
      <c r="E109" s="223" t="n"/>
      <c r="F109" s="223" t="n"/>
      <c r="G109" s="223" t="n"/>
      <c r="H109" s="223" t="n"/>
      <c r="I109" s="223" t="n"/>
      <c r="K109" s="223" t="n"/>
      <c r="L109" s="223" t="n"/>
      <c r="M109" s="223" t="n"/>
      <c r="N109" s="223" t="n"/>
      <c r="S109" s="223" t="n"/>
      <c r="T109" s="223" t="n"/>
      <c r="U109" s="223" t="n"/>
      <c r="V109" s="223" t="n"/>
      <c r="W109" s="223" t="n"/>
      <c r="X109" s="223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E110" s="223" t="n"/>
      <c r="F110" s="223" t="n"/>
      <c r="G110" s="223" t="n"/>
      <c r="H110" s="223" t="n"/>
      <c r="I110" s="223" t="n"/>
      <c r="K110" s="223" t="n"/>
      <c r="L110" s="223" t="n"/>
      <c r="M110" s="223" t="n"/>
      <c r="N110" s="223" t="n"/>
      <c r="S110" s="223" t="n"/>
      <c r="T110" s="223" t="n"/>
      <c r="U110" s="223" t="n"/>
      <c r="V110" s="223" t="n"/>
      <c r="W110" s="223" t="n"/>
      <c r="X110" s="223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E111" s="223" t="n"/>
      <c r="F111" s="223" t="n"/>
      <c r="G111" s="223" t="n"/>
      <c r="H111" s="223" t="n"/>
      <c r="I111" s="223" t="n"/>
      <c r="K111" s="223" t="n"/>
      <c r="L111" s="195" t="n"/>
      <c r="M111" s="223" t="n"/>
      <c r="N111" s="223" t="n"/>
      <c r="S111" s="223" t="n"/>
      <c r="T111" s="223" t="n"/>
      <c r="U111" s="223" t="n"/>
      <c r="V111" s="223" t="n"/>
      <c r="W111" s="223" t="n"/>
      <c r="X111" s="223" t="n"/>
    </row>
    <row r="112">
      <c r="A112" s="248" t="n"/>
      <c r="B112" s="179" t="n"/>
      <c r="C112" s="179" t="n"/>
      <c r="D112" s="215" t="n"/>
      <c r="E112" s="223" t="n"/>
      <c r="F112" s="223" t="n"/>
      <c r="G112" s="223" t="n"/>
      <c r="H112" s="223" t="n"/>
      <c r="I112" s="223" t="n"/>
      <c r="K112" s="223" t="n"/>
      <c r="L112" s="223" t="n"/>
      <c r="M112" s="223" t="n"/>
      <c r="N112" s="223" t="n"/>
      <c r="S112" s="223" t="n"/>
      <c r="T112" s="223" t="n"/>
      <c r="U112" s="223" t="n"/>
      <c r="V112" s="223" t="n"/>
      <c r="W112" s="223" t="n"/>
      <c r="X112" s="223" t="n"/>
    </row>
    <row r="113">
      <c r="A113" s="223" t="n"/>
      <c r="B113" s="223" t="n"/>
      <c r="C113" s="223" t="n"/>
      <c r="D113" s="215" t="n"/>
      <c r="E113" s="223" t="n"/>
      <c r="F113" s="223" t="n"/>
      <c r="G113" s="223" t="n"/>
      <c r="H113" s="223" t="n"/>
      <c r="I113" s="223" t="n"/>
      <c r="K113" s="223" t="n"/>
      <c r="L113" s="223" t="n"/>
      <c r="M113" s="223" t="n"/>
      <c r="N113" s="223" t="n"/>
      <c r="S113" s="223" t="n"/>
      <c r="T113" s="223" t="n"/>
      <c r="U113" s="223" t="n"/>
      <c r="V113" s="223" t="n"/>
      <c r="W113" s="223" t="n"/>
      <c r="X113" s="223" t="n"/>
    </row>
    <row r="114">
      <c r="A114" s="223" t="n"/>
      <c r="B114" s="223" t="n"/>
      <c r="C114" s="223" t="n"/>
      <c r="D114" s="215" t="n"/>
      <c r="E114" s="223" t="n"/>
      <c r="F114" s="223" t="n"/>
      <c r="G114" s="223" t="n"/>
      <c r="H114" s="223" t="n"/>
      <c r="I114" s="223" t="n"/>
      <c r="K114" s="223" t="n"/>
      <c r="L114" s="223" t="n"/>
      <c r="M114" s="223" t="n"/>
      <c r="N114" s="223" t="n"/>
      <c r="S114" s="223" t="n"/>
      <c r="T114" s="223" t="n"/>
      <c r="U114" s="223" t="n"/>
      <c r="V114" s="223" t="n"/>
      <c r="W114" s="223" t="n"/>
      <c r="X114" s="223" t="n"/>
    </row>
    <row r="115">
      <c r="D115" s="87" t="n"/>
    </row>
    <row r="116">
      <c r="D116" s="87" t="n"/>
    </row>
    <row r="117">
      <c r="D117" s="87" t="n"/>
    </row>
    <row r="118">
      <c r="D118" s="87" t="n"/>
    </row>
    <row r="119">
      <c r="D119" s="87" t="n"/>
    </row>
    <row r="120">
      <c r="D120" s="87" t="n"/>
    </row>
    <row r="121">
      <c r="D121" s="87" t="n"/>
    </row>
    <row r="122">
      <c r="D122" s="87" t="n"/>
    </row>
    <row r="123">
      <c r="D123" s="87" t="n"/>
    </row>
    <row r="124">
      <c r="D124" s="87" t="n"/>
    </row>
    <row r="125">
      <c r="D125" s="87" t="n"/>
    </row>
    <row r="126">
      <c r="D126" s="87" t="n"/>
    </row>
    <row r="127">
      <c r="D127" s="87" t="n"/>
    </row>
    <row r="128">
      <c r="D128" s="87" t="n"/>
    </row>
    <row r="129">
      <c r="D129" s="87" t="n"/>
    </row>
    <row r="130">
      <c r="D130" s="87" t="n"/>
    </row>
    <row r="131">
      <c r="D131" s="87" t="n"/>
    </row>
    <row r="132">
      <c r="D132" s="87" t="n"/>
    </row>
    <row r="133">
      <c r="D133" s="87" t="n"/>
    </row>
    <row r="134">
      <c r="D134" s="87" t="n"/>
    </row>
    <row r="135">
      <c r="D135" s="87" t="n"/>
    </row>
    <row r="136">
      <c r="D136" s="87" t="n"/>
    </row>
    <row r="137">
      <c r="D137" s="87" t="n"/>
    </row>
    <row r="138">
      <c r="D138" s="87" t="n"/>
    </row>
    <row r="139">
      <c r="D139" s="87" t="n"/>
    </row>
    <row r="140">
      <c r="D140" s="87" t="n"/>
    </row>
    <row r="141">
      <c r="D141" s="87" t="n"/>
    </row>
    <row r="142">
      <c r="D142" s="87" t="n"/>
    </row>
    <row r="143">
      <c r="D143" s="87" t="n"/>
    </row>
    <row r="144">
      <c r="D144" s="87" t="n"/>
    </row>
    <row r="145">
      <c r="D145" s="87" t="n"/>
    </row>
    <row r="146">
      <c r="D146" s="87" t="n"/>
    </row>
    <row r="147">
      <c r="D147" s="87" t="n"/>
    </row>
    <row r="148">
      <c r="D148" s="87" t="n"/>
    </row>
    <row r="149">
      <c r="D149" s="87" t="n"/>
    </row>
    <row r="150">
      <c r="D150" s="87" t="n"/>
    </row>
    <row r="151">
      <c r="D151" s="87" t="n"/>
    </row>
    <row r="152">
      <c r="D152" s="87" t="n"/>
    </row>
    <row r="153">
      <c r="D153" s="87" t="n"/>
    </row>
    <row r="154">
      <c r="D154" s="87" t="n"/>
    </row>
    <row r="155">
      <c r="D155" s="87" t="n"/>
    </row>
    <row r="156">
      <c r="D156" s="87" t="n"/>
    </row>
    <row r="157">
      <c r="D157" s="87" t="n"/>
    </row>
    <row r="158">
      <c r="D158" s="87" t="n"/>
    </row>
    <row r="159">
      <c r="D159" s="87" t="n"/>
    </row>
    <row r="160">
      <c r="D160" s="87" t="n"/>
    </row>
    <row r="161">
      <c r="D161" s="87" t="n"/>
    </row>
    <row r="162">
      <c r="D162" s="87" t="n"/>
    </row>
    <row r="163">
      <c r="D163" s="87" t="n"/>
    </row>
    <row r="164">
      <c r="D164" s="87" t="n"/>
    </row>
    <row r="165">
      <c r="D165" s="87" t="n"/>
    </row>
    <row r="166">
      <c r="D166" s="87" t="n"/>
    </row>
    <row r="167">
      <c r="D167" s="87" t="n"/>
    </row>
    <row r="168">
      <c r="D168" s="87" t="n"/>
    </row>
    <row r="169">
      <c r="D169" s="87" t="n"/>
    </row>
    <row r="170">
      <c r="D170" s="87" t="n"/>
    </row>
    <row r="171">
      <c r="D171" s="87" t="n"/>
    </row>
    <row r="172">
      <c r="D172" s="87" t="n"/>
    </row>
    <row r="173">
      <c r="D173" s="87" t="n"/>
    </row>
    <row r="174">
      <c r="D174" s="87" t="n"/>
    </row>
    <row r="175">
      <c r="D175" s="87" t="n"/>
    </row>
    <row r="176">
      <c r="D176" s="87" t="n"/>
    </row>
    <row r="177">
      <c r="D177" s="87" t="n"/>
    </row>
    <row r="178">
      <c r="D178" s="87" t="n"/>
    </row>
    <row r="179">
      <c r="D179" s="87" t="n"/>
    </row>
    <row r="180">
      <c r="D180" s="87" t="n"/>
    </row>
    <row r="181">
      <c r="D181" s="87" t="n"/>
    </row>
    <row r="182">
      <c r="D182" s="87" t="n"/>
    </row>
    <row r="183">
      <c r="D183" s="87" t="n"/>
    </row>
    <row r="184">
      <c r="D184" s="87" t="n"/>
    </row>
    <row r="185">
      <c r="D185" s="87" t="n"/>
    </row>
    <row r="186">
      <c r="D186" s="87" t="n"/>
    </row>
    <row r="187">
      <c r="D187" s="87" t="n"/>
    </row>
    <row r="188">
      <c r="D188" s="87" t="n"/>
    </row>
    <row r="189">
      <c r="D189" s="87" t="n"/>
    </row>
    <row r="190">
      <c r="D190" s="87" t="n"/>
    </row>
    <row r="191">
      <c r="D191" s="87" t="n"/>
    </row>
    <row r="192">
      <c r="D192" s="87" t="n"/>
    </row>
    <row r="193">
      <c r="D193" s="87" t="n"/>
    </row>
    <row r="194">
      <c r="D194" s="87" t="n"/>
    </row>
    <row r="195">
      <c r="D195" s="87" t="n"/>
    </row>
    <row r="196">
      <c r="D196" s="87" t="n"/>
    </row>
    <row r="197">
      <c r="D197" s="87" t="n"/>
    </row>
    <row r="198">
      <c r="D198" s="87" t="n"/>
    </row>
    <row r="199">
      <c r="D199" s="87" t="n"/>
    </row>
    <row r="200">
      <c r="D200" s="87" t="n"/>
    </row>
    <row r="201">
      <c r="D201" s="87" t="n"/>
    </row>
    <row r="202">
      <c r="D202" s="87" t="n"/>
    </row>
    <row r="203">
      <c r="D203" s="87" t="n"/>
    </row>
    <row r="204">
      <c r="D204" s="87" t="n"/>
    </row>
    <row r="205">
      <c r="D205" s="87" t="n"/>
    </row>
    <row r="206">
      <c r="D206" s="87" t="n"/>
    </row>
    <row r="207">
      <c r="D207" s="87" t="n"/>
    </row>
    <row r="208">
      <c r="D208" s="87" t="n"/>
    </row>
    <row r="209">
      <c r="D209" s="87" t="n"/>
    </row>
    <row r="210">
      <c r="D210" s="87" t="n"/>
    </row>
    <row r="211">
      <c r="D211" s="87" t="n"/>
    </row>
    <row r="212">
      <c r="D212" s="87" t="n"/>
    </row>
    <row r="213">
      <c r="D213" s="87" t="n"/>
    </row>
    <row r="214">
      <c r="D214" s="87" t="n"/>
    </row>
    <row r="215">
      <c r="D215" s="87" t="n"/>
    </row>
    <row r="216">
      <c r="D216" s="87" t="n"/>
    </row>
    <row r="217">
      <c r="D217" s="87" t="n"/>
    </row>
    <row r="218">
      <c r="D218" s="87" t="n"/>
    </row>
    <row r="219">
      <c r="D219" s="87" t="n"/>
    </row>
    <row r="220">
      <c r="D220" s="87" t="n"/>
    </row>
    <row r="221">
      <c r="D221" s="87" t="n"/>
    </row>
    <row r="222">
      <c r="D222" s="87" t="n"/>
    </row>
    <row r="223">
      <c r="D223" s="87" t="n"/>
    </row>
    <row r="224">
      <c r="D224" s="87" t="n"/>
    </row>
    <row r="225">
      <c r="D225" s="87" t="n"/>
    </row>
    <row r="226">
      <c r="D226" s="87" t="n"/>
    </row>
    <row r="227">
      <c r="D227" s="87" t="n"/>
    </row>
    <row r="228">
      <c r="D228" s="87" t="n"/>
    </row>
    <row r="229">
      <c r="D229" s="87" t="n"/>
    </row>
    <row r="230">
      <c r="D230" s="87" t="n"/>
    </row>
    <row r="231">
      <c r="D231" s="87" t="n"/>
    </row>
    <row r="232">
      <c r="D232" s="87" t="n"/>
    </row>
    <row r="233">
      <c r="D233" s="87" t="n"/>
    </row>
    <row r="234">
      <c r="D234" s="87" t="n"/>
    </row>
    <row r="235">
      <c r="D235" s="87" t="n"/>
    </row>
    <row r="236">
      <c r="D236" s="87" t="n"/>
    </row>
    <row r="237">
      <c r="D237" s="87" t="n"/>
    </row>
    <row r="238">
      <c r="D238" s="87" t="n"/>
    </row>
    <row r="239">
      <c r="D239" s="87" t="n"/>
    </row>
    <row r="240">
      <c r="D240" s="87" t="n"/>
    </row>
    <row r="241">
      <c r="D241" s="87" t="n"/>
    </row>
    <row r="242">
      <c r="D242" s="87" t="n"/>
    </row>
    <row r="243">
      <c r="D243" s="87" t="n"/>
    </row>
    <row r="244">
      <c r="D244" s="87" t="n"/>
    </row>
    <row r="245">
      <c r="D245" s="87" t="n"/>
    </row>
    <row r="246">
      <c r="D246" s="87" t="n"/>
    </row>
    <row r="247">
      <c r="D247" s="87" t="n"/>
    </row>
    <row r="248">
      <c r="D248" s="87" t="n"/>
    </row>
    <row r="249">
      <c r="D249" s="87" t="n"/>
    </row>
    <row r="250">
      <c r="D250" s="87" t="n"/>
    </row>
    <row r="251">
      <c r="D251" s="87" t="n"/>
    </row>
    <row r="252">
      <c r="D252" s="87" t="n"/>
    </row>
    <row r="253">
      <c r="D253" s="87" t="n"/>
    </row>
    <row r="254">
      <c r="D254" s="87" t="n"/>
    </row>
    <row r="255">
      <c r="D255" s="87" t="n"/>
    </row>
    <row r="256">
      <c r="D256" s="87" t="n"/>
    </row>
    <row r="257">
      <c r="D257" s="87" t="n"/>
    </row>
    <row r="258">
      <c r="D258" s="87" t="n"/>
    </row>
    <row r="259">
      <c r="D259" s="87" t="n"/>
    </row>
    <row r="260">
      <c r="D260" s="87" t="n"/>
    </row>
    <row r="261">
      <c r="D261" s="87" t="n"/>
    </row>
    <row r="262">
      <c r="D262" s="87" t="n"/>
    </row>
    <row r="263">
      <c r="D263" s="87" t="n"/>
    </row>
    <row r="264">
      <c r="D264" s="87" t="n"/>
    </row>
    <row r="265">
      <c r="D265" s="87" t="n"/>
    </row>
    <row r="266">
      <c r="D266" s="87" t="n"/>
    </row>
    <row r="267">
      <c r="D267" s="87" t="n"/>
    </row>
    <row r="268">
      <c r="D268" s="87" t="n"/>
    </row>
    <row r="269">
      <c r="D269" s="87" t="n"/>
    </row>
    <row r="270">
      <c r="D270" s="87" t="n"/>
    </row>
    <row r="271">
      <c r="D271" s="87" t="n"/>
    </row>
    <row r="272">
      <c r="D272" s="87" t="n"/>
    </row>
    <row r="273">
      <c r="D273" s="87" t="n"/>
    </row>
    <row r="274">
      <c r="D274" s="87" t="n"/>
    </row>
    <row r="275">
      <c r="D275" s="87" t="n"/>
    </row>
    <row r="276">
      <c r="D276" s="87" t="n"/>
    </row>
    <row r="277">
      <c r="D277" s="87" t="n"/>
    </row>
    <row r="278">
      <c r="D278" s="87" t="n"/>
    </row>
    <row r="279">
      <c r="D279" s="87" t="n"/>
    </row>
    <row r="280">
      <c r="D280" s="87" t="n"/>
    </row>
    <row r="281">
      <c r="D281" s="87" t="n"/>
    </row>
    <row r="282">
      <c r="D282" s="87" t="n"/>
    </row>
    <row r="283">
      <c r="D283" s="87" t="n"/>
    </row>
    <row r="284">
      <c r="D284" s="87" t="n"/>
    </row>
    <row r="285">
      <c r="D285" s="87" t="n"/>
    </row>
    <row r="286">
      <c r="D286" s="87" t="n"/>
    </row>
    <row r="287">
      <c r="D287" s="87" t="n"/>
    </row>
    <row r="288">
      <c r="D288" s="87" t="n"/>
    </row>
    <row r="289">
      <c r="D289" s="87" t="n"/>
    </row>
    <row r="290">
      <c r="D290" s="87" t="n"/>
    </row>
    <row r="291">
      <c r="D291" s="87" t="n"/>
    </row>
    <row r="292">
      <c r="D292" s="87" t="n"/>
    </row>
    <row r="293">
      <c r="D293" s="87" t="n"/>
    </row>
    <row r="294">
      <c r="D294" s="87" t="n"/>
    </row>
    <row r="295">
      <c r="D295" s="87" t="n"/>
    </row>
    <row r="296">
      <c r="D296" s="87" t="n"/>
    </row>
    <row r="297">
      <c r="D297" s="87" t="n"/>
    </row>
    <row r="298">
      <c r="D298" s="87" t="n"/>
    </row>
    <row r="299">
      <c r="D299" s="87" t="n"/>
    </row>
    <row r="300">
      <c r="D300" s="87" t="n"/>
    </row>
    <row r="301">
      <c r="D301" s="87" t="n"/>
    </row>
    <row r="302">
      <c r="D302" s="87" t="n"/>
    </row>
    <row r="303">
      <c r="D303" s="87" t="n"/>
    </row>
    <row r="304">
      <c r="D304" s="87" t="n"/>
    </row>
    <row r="305">
      <c r="D305" s="87" t="n"/>
    </row>
    <row r="306">
      <c r="D306" s="87" t="n"/>
    </row>
    <row r="307">
      <c r="D307" s="87" t="n"/>
    </row>
    <row r="308">
      <c r="D308" s="87" t="n"/>
    </row>
    <row r="309">
      <c r="D309" s="87" t="n"/>
    </row>
    <row r="310">
      <c r="D310" s="87" t="n"/>
    </row>
    <row r="311">
      <c r="D311" s="87" t="n"/>
    </row>
    <row r="312">
      <c r="D312" s="87" t="n"/>
    </row>
    <row r="313">
      <c r="D313" s="87" t="n"/>
    </row>
    <row r="314">
      <c r="D314" s="87" t="n"/>
    </row>
    <row r="315">
      <c r="D315" s="87" t="n"/>
    </row>
    <row r="316">
      <c r="D316" s="87" t="n"/>
    </row>
    <row r="317">
      <c r="D317" s="87" t="n"/>
    </row>
    <row r="318">
      <c r="D318" s="87" t="n"/>
    </row>
    <row r="319">
      <c r="D319" s="87" t="n"/>
    </row>
    <row r="320">
      <c r="D320" s="87" t="n"/>
    </row>
    <row r="321">
      <c r="D321" s="87" t="n"/>
    </row>
    <row r="322">
      <c r="D322" s="87" t="n"/>
    </row>
    <row r="323">
      <c r="D323" s="87" t="n"/>
    </row>
    <row r="324">
      <c r="D324" s="87" t="n"/>
    </row>
    <row r="325">
      <c r="D325" s="87" t="n"/>
    </row>
    <row r="326">
      <c r="D326" s="87" t="n"/>
    </row>
    <row r="327">
      <c r="D327" s="87" t="n"/>
    </row>
    <row r="328">
      <c r="D328" s="87" t="n"/>
    </row>
    <row r="329">
      <c r="D329" s="87" t="n"/>
    </row>
    <row r="330">
      <c r="D330" s="87" t="n"/>
    </row>
    <row r="331">
      <c r="D331" s="87" t="n"/>
    </row>
    <row r="332">
      <c r="D332" s="87" t="n"/>
    </row>
    <row r="333">
      <c r="D333" s="87" t="n"/>
    </row>
    <row r="334">
      <c r="D334" s="87" t="n"/>
    </row>
    <row r="335">
      <c r="D335" s="87" t="n"/>
    </row>
    <row r="336">
      <c r="D336" s="87" t="n"/>
    </row>
    <row r="337">
      <c r="D337" s="87" t="n"/>
    </row>
    <row r="338">
      <c r="D338" s="87" t="n"/>
    </row>
    <row r="339">
      <c r="D339" s="87" t="n"/>
    </row>
    <row r="340">
      <c r="D340" s="87" t="n"/>
    </row>
    <row r="341">
      <c r="D341" s="87" t="n"/>
    </row>
    <row r="342">
      <c r="D342" s="87" t="n"/>
    </row>
    <row r="343">
      <c r="D343" s="87" t="n"/>
    </row>
    <row r="344">
      <c r="D344" s="87" t="n"/>
    </row>
    <row r="345">
      <c r="D345" s="87" t="n"/>
    </row>
    <row r="346">
      <c r="D346" s="87" t="n"/>
    </row>
    <row r="347">
      <c r="D347" s="87" t="n"/>
    </row>
    <row r="348">
      <c r="D348" s="87" t="n"/>
    </row>
    <row r="349">
      <c r="D349" s="87" t="n"/>
    </row>
    <row r="350">
      <c r="D350" s="87" t="n"/>
    </row>
    <row r="351">
      <c r="D351" s="87" t="n"/>
    </row>
    <row r="352">
      <c r="D352" s="87" t="n"/>
    </row>
    <row r="353">
      <c r="D353" s="87" t="n"/>
    </row>
    <row r="354">
      <c r="D354" s="87" t="n"/>
    </row>
    <row r="355">
      <c r="D355" s="87" t="n"/>
    </row>
    <row r="356">
      <c r="D356" s="87" t="n"/>
    </row>
    <row r="357">
      <c r="D357" s="87" t="n"/>
    </row>
    <row r="358">
      <c r="D358" s="87" t="n"/>
    </row>
    <row r="359">
      <c r="D359" s="87" t="n"/>
    </row>
    <row r="360">
      <c r="D360" s="87" t="n"/>
    </row>
    <row r="361">
      <c r="D361" s="87" t="n"/>
    </row>
    <row r="362">
      <c r="D362" s="87" t="n"/>
    </row>
    <row r="363">
      <c r="D363" s="87" t="n"/>
    </row>
    <row r="364">
      <c r="D364" s="87" t="n"/>
    </row>
    <row r="365">
      <c r="D365" s="87" t="n"/>
    </row>
    <row r="366">
      <c r="D366" s="87" t="n"/>
    </row>
    <row r="367">
      <c r="D367" s="87" t="n"/>
    </row>
    <row r="368">
      <c r="D368" s="87" t="n"/>
    </row>
    <row r="369">
      <c r="D369" s="87" t="n"/>
    </row>
    <row r="370">
      <c r="D370" s="87" t="n"/>
    </row>
    <row r="371">
      <c r="D371" s="87" t="n"/>
    </row>
    <row r="372">
      <c r="D372" s="87" t="n"/>
    </row>
    <row r="373">
      <c r="D373" s="87" t="n"/>
    </row>
    <row r="374">
      <c r="D374" s="87" t="n"/>
    </row>
    <row r="375">
      <c r="D375" s="87" t="n"/>
    </row>
    <row r="376">
      <c r="D376" s="87" t="n"/>
    </row>
    <row r="377">
      <c r="D377" s="87" t="n"/>
    </row>
    <row r="378">
      <c r="D378" s="87" t="n"/>
    </row>
    <row r="379">
      <c r="D379" s="87" t="n"/>
    </row>
    <row r="380">
      <c r="D380" s="87" t="n"/>
    </row>
    <row r="381">
      <c r="D381" s="87" t="n"/>
    </row>
    <row r="382">
      <c r="D382" s="87" t="n"/>
    </row>
    <row r="383">
      <c r="D383" s="87" t="n"/>
    </row>
    <row r="384">
      <c r="D384" s="87" t="n"/>
    </row>
    <row r="385">
      <c r="D385" s="87" t="n"/>
    </row>
    <row r="386">
      <c r="D386" s="87" t="n"/>
    </row>
    <row r="387">
      <c r="D387" s="87" t="n"/>
    </row>
    <row r="388">
      <c r="D388" s="87" t="n"/>
    </row>
    <row r="389">
      <c r="D389" s="87" t="n"/>
    </row>
    <row r="390">
      <c r="D390" s="87" t="n"/>
    </row>
    <row r="391">
      <c r="D391" s="87" t="n"/>
    </row>
    <row r="392">
      <c r="D392" s="87" t="n"/>
    </row>
    <row r="393">
      <c r="D393" s="87" t="n"/>
    </row>
    <row r="394">
      <c r="D394" s="87" t="n"/>
    </row>
    <row r="395">
      <c r="D395" s="87" t="n"/>
    </row>
    <row r="396">
      <c r="D396" s="87" t="n"/>
    </row>
    <row r="397">
      <c r="D397" s="87" t="n"/>
    </row>
    <row r="398">
      <c r="D398" s="87" t="n"/>
    </row>
    <row r="399">
      <c r="D399" s="87" t="n"/>
    </row>
    <row r="400">
      <c r="D400" s="87" t="n"/>
    </row>
    <row r="401">
      <c r="D401" s="87" t="n"/>
    </row>
    <row r="402">
      <c r="D402" s="87" t="n"/>
    </row>
    <row r="403">
      <c r="D403" s="87" t="n"/>
    </row>
    <row r="404">
      <c r="D404" s="87" t="n"/>
    </row>
    <row r="405">
      <c r="D405" s="87" t="n"/>
    </row>
    <row r="406">
      <c r="D406" s="87" t="n"/>
    </row>
    <row r="407">
      <c r="D407" s="87" t="n"/>
    </row>
    <row r="408">
      <c r="D408" s="87" t="n"/>
    </row>
    <row r="409">
      <c r="D409" s="87" t="n"/>
    </row>
    <row r="410">
      <c r="D410" s="87" t="n"/>
    </row>
    <row r="411">
      <c r="D411" s="87" t="n"/>
    </row>
    <row r="412">
      <c r="D412" s="87" t="n"/>
    </row>
    <row r="413">
      <c r="D413" s="87" t="n"/>
    </row>
    <row r="414">
      <c r="D414" s="87" t="n"/>
    </row>
    <row r="415">
      <c r="D415" s="87" t="n"/>
    </row>
    <row r="416">
      <c r="D416" s="87" t="n"/>
    </row>
    <row r="417">
      <c r="D417" s="87" t="n"/>
    </row>
    <row r="418">
      <c r="D418" s="87" t="n"/>
    </row>
    <row r="419">
      <c r="D419" s="87" t="n"/>
    </row>
    <row r="420">
      <c r="D420" s="87" t="n"/>
    </row>
    <row r="421">
      <c r="D421" s="87" t="n"/>
    </row>
    <row r="422">
      <c r="D422" s="87" t="n"/>
    </row>
    <row r="423">
      <c r="D423" s="87" t="n"/>
    </row>
    <row r="424">
      <c r="D424" s="87" t="n"/>
    </row>
    <row r="425">
      <c r="D425" s="87" t="n"/>
    </row>
    <row r="426">
      <c r="D426" s="87" t="n"/>
    </row>
    <row r="427">
      <c r="D427" s="87" t="n"/>
    </row>
    <row r="428">
      <c r="D428" s="87" t="n"/>
    </row>
    <row r="429">
      <c r="D429" s="87" t="n"/>
    </row>
    <row r="430">
      <c r="D430" s="87" t="n"/>
    </row>
    <row r="431">
      <c r="D431" s="87" t="n"/>
    </row>
    <row r="432">
      <c r="D432" s="87" t="n"/>
    </row>
    <row r="433">
      <c r="D433" s="87" t="n"/>
    </row>
    <row r="434">
      <c r="D434" s="87" t="n"/>
    </row>
    <row r="435">
      <c r="D435" s="87" t="n"/>
    </row>
    <row r="436">
      <c r="D436" s="87" t="n"/>
    </row>
    <row r="437">
      <c r="D437" s="87" t="n"/>
    </row>
    <row r="438">
      <c r="D438" s="87" t="n"/>
    </row>
    <row r="439">
      <c r="D439" s="87" t="n"/>
    </row>
    <row r="440">
      <c r="D440" s="87" t="n"/>
    </row>
    <row r="441">
      <c r="D441" s="87" t="n"/>
    </row>
    <row r="442">
      <c r="D442" s="87" t="n"/>
    </row>
    <row r="443">
      <c r="D443" s="87" t="n"/>
    </row>
    <row r="444">
      <c r="D444" s="87" t="n"/>
    </row>
    <row r="445">
      <c r="D445" s="87" t="n"/>
    </row>
    <row r="446">
      <c r="D446" s="87" t="n"/>
    </row>
    <row r="447">
      <c r="D447" s="87" t="n"/>
    </row>
    <row r="448">
      <c r="D448" s="87" t="n"/>
    </row>
    <row r="449">
      <c r="D449" s="87" t="n"/>
    </row>
    <row r="450">
      <c r="D450" s="87" t="n"/>
    </row>
    <row r="451">
      <c r="D451" s="87" t="n"/>
    </row>
    <row r="452">
      <c r="D452" s="87" t="n"/>
    </row>
    <row r="453">
      <c r="D453" s="87" t="n"/>
    </row>
    <row r="454">
      <c r="D454" s="87" t="n"/>
    </row>
    <row r="455">
      <c r="D455" s="87" t="n"/>
    </row>
    <row r="456">
      <c r="D456" s="87" t="n"/>
    </row>
    <row r="457">
      <c r="D457" s="87" t="n"/>
    </row>
    <row r="458">
      <c r="D458" s="87" t="n"/>
    </row>
    <row r="459">
      <c r="D459" s="87" t="n"/>
    </row>
    <row r="460">
      <c r="D460" s="87" t="n"/>
    </row>
    <row r="461">
      <c r="D461" s="87" t="n"/>
    </row>
    <row r="462">
      <c r="D462" s="87" t="n"/>
    </row>
    <row r="463">
      <c r="D463" s="87" t="n"/>
    </row>
    <row r="464">
      <c r="D464" s="87" t="n"/>
    </row>
    <row r="465">
      <c r="D465" s="87" t="n"/>
    </row>
    <row r="466">
      <c r="D466" s="87" t="n"/>
    </row>
    <row r="467">
      <c r="D467" s="87" t="n"/>
    </row>
    <row r="468">
      <c r="D468" s="87" t="n"/>
    </row>
    <row r="469">
      <c r="D469" s="87" t="n"/>
    </row>
    <row r="470">
      <c r="D470" s="87" t="n"/>
    </row>
    <row r="471">
      <c r="D471" s="87" t="n"/>
    </row>
    <row r="472">
      <c r="D472" s="87" t="n"/>
    </row>
    <row r="473">
      <c r="D473" s="87" t="n"/>
    </row>
    <row r="474">
      <c r="D474" s="87" t="n"/>
    </row>
    <row r="475">
      <c r="D475" s="87" t="n"/>
    </row>
    <row r="476">
      <c r="D476" s="87" t="n"/>
    </row>
    <row r="477">
      <c r="D477" s="87" t="n"/>
    </row>
    <row r="478">
      <c r="D478" s="87" t="n"/>
    </row>
    <row r="479">
      <c r="D479" s="87" t="n"/>
    </row>
    <row r="480">
      <c r="D480" s="87" t="n"/>
    </row>
    <row r="481">
      <c r="D481" s="87" t="n"/>
    </row>
    <row r="482">
      <c r="D482" s="87" t="n"/>
    </row>
    <row r="483">
      <c r="D483" s="87" t="n"/>
    </row>
    <row r="484">
      <c r="D484" s="87" t="n"/>
    </row>
    <row r="485">
      <c r="D485" s="87" t="n"/>
    </row>
    <row r="486">
      <c r="D486" s="87" t="n"/>
    </row>
    <row r="487">
      <c r="D487" s="87" t="n"/>
    </row>
    <row r="488">
      <c r="D488" s="87" t="n"/>
    </row>
    <row r="489">
      <c r="D489" s="87" t="n"/>
    </row>
    <row r="490">
      <c r="D490" s="87" t="n"/>
    </row>
    <row r="491">
      <c r="D491" s="87" t="n"/>
    </row>
    <row r="492">
      <c r="D492" s="87" t="n"/>
    </row>
    <row r="493">
      <c r="D493" s="87" t="n"/>
    </row>
    <row r="494">
      <c r="D494" s="87" t="n"/>
    </row>
    <row r="495">
      <c r="D495" s="87" t="n"/>
    </row>
    <row r="496">
      <c r="D496" s="87" t="n"/>
    </row>
    <row r="497">
      <c r="D497" s="87" t="n"/>
    </row>
    <row r="498">
      <c r="D498" s="87" t="n"/>
    </row>
    <row r="499">
      <c r="D499" s="87" t="n"/>
    </row>
    <row r="500">
      <c r="D500" s="87" t="n"/>
    </row>
    <row r="501">
      <c r="D501" s="87" t="n"/>
    </row>
    <row r="502">
      <c r="D502" s="87" t="n"/>
    </row>
    <row r="503">
      <c r="D503" s="87" t="n"/>
    </row>
    <row r="504">
      <c r="D504" s="87" t="n"/>
    </row>
    <row r="505">
      <c r="D505" s="87" t="n"/>
    </row>
    <row r="506">
      <c r="D506" s="87" t="n"/>
    </row>
    <row r="507">
      <c r="D507" s="87" t="n"/>
    </row>
    <row r="508">
      <c r="D508" s="87" t="n"/>
    </row>
    <row r="509">
      <c r="D509" s="87" t="n"/>
    </row>
    <row r="510">
      <c r="D510" s="87" t="n"/>
    </row>
    <row r="511">
      <c r="D511" s="87" t="n"/>
    </row>
    <row r="512">
      <c r="D512" s="87" t="n"/>
    </row>
    <row r="513">
      <c r="D513" s="87" t="n"/>
    </row>
    <row r="514">
      <c r="D514" s="87" t="n"/>
    </row>
    <row r="515">
      <c r="D515" s="87" t="n"/>
    </row>
    <row r="516">
      <c r="D516" s="87" t="n"/>
    </row>
    <row r="517">
      <c r="D517" s="87" t="n"/>
    </row>
    <row r="518">
      <c r="D518" s="87" t="n"/>
    </row>
    <row r="519">
      <c r="D519" s="87" t="n"/>
    </row>
    <row r="520">
      <c r="D520" s="87" t="n"/>
    </row>
    <row r="521">
      <c r="D521" s="87" t="n"/>
    </row>
    <row r="522">
      <c r="D522" s="87" t="n"/>
    </row>
    <row r="523">
      <c r="D523" s="87" t="n"/>
    </row>
    <row r="524">
      <c r="D524" s="87" t="n"/>
    </row>
    <row r="525">
      <c r="D525" s="87" t="n"/>
    </row>
    <row r="526">
      <c r="D526" s="87" t="n"/>
    </row>
    <row r="527">
      <c r="D527" s="87" t="n"/>
    </row>
    <row r="528">
      <c r="D528" s="87" t="n"/>
    </row>
    <row r="529">
      <c r="D529" s="87" t="n"/>
    </row>
    <row r="530">
      <c r="D530" s="87" t="n"/>
    </row>
    <row r="531">
      <c r="D531" s="87" t="n"/>
    </row>
    <row r="532">
      <c r="D532" s="87" t="n"/>
    </row>
    <row r="533">
      <c r="D533" s="87" t="n"/>
    </row>
    <row r="534">
      <c r="D534" s="87" t="n"/>
    </row>
    <row r="535">
      <c r="D535" s="87" t="n"/>
    </row>
    <row r="536">
      <c r="D536" s="87" t="n"/>
    </row>
    <row r="537">
      <c r="D537" s="87" t="n"/>
    </row>
    <row r="538">
      <c r="D538" s="87" t="n"/>
    </row>
    <row r="539">
      <c r="D539" s="87" t="n"/>
    </row>
    <row r="540">
      <c r="D540" s="87" t="n"/>
    </row>
    <row r="541">
      <c r="D541" s="87" t="n"/>
    </row>
    <row r="542">
      <c r="D542" s="87" t="n"/>
    </row>
    <row r="543">
      <c r="D543" s="87" t="n"/>
    </row>
    <row r="544">
      <c r="D544" s="87" t="n"/>
    </row>
    <row r="545">
      <c r="D545" s="87" t="n"/>
    </row>
    <row r="546">
      <c r="D546" s="87" t="n"/>
    </row>
    <row r="547">
      <c r="D547" s="87" t="n"/>
    </row>
    <row r="548">
      <c r="D548" s="87" t="n"/>
    </row>
    <row r="549">
      <c r="D549" s="87" t="n"/>
    </row>
    <row r="550">
      <c r="D550" s="87" t="n"/>
    </row>
    <row r="551">
      <c r="D551" s="87" t="n"/>
    </row>
    <row r="552">
      <c r="D552" s="87" t="n"/>
    </row>
    <row r="553">
      <c r="D553" s="87" t="n"/>
    </row>
    <row r="554">
      <c r="D554" s="87" t="n"/>
    </row>
    <row r="555">
      <c r="D555" s="87" t="n"/>
    </row>
    <row r="556">
      <c r="D556" s="87" t="n"/>
    </row>
    <row r="557">
      <c r="D557" s="87" t="n"/>
    </row>
    <row r="558">
      <c r="D558" s="87" t="n"/>
    </row>
    <row r="559">
      <c r="D559" s="87" t="n"/>
    </row>
    <row r="560">
      <c r="D560" s="87" t="n"/>
    </row>
    <row r="561">
      <c r="D561" s="87" t="n"/>
    </row>
    <row r="562">
      <c r="D562" s="87" t="n"/>
    </row>
    <row r="563">
      <c r="D563" s="87" t="n"/>
    </row>
    <row r="564">
      <c r="D564" s="87" t="n"/>
    </row>
    <row r="565">
      <c r="D565" s="87" t="n"/>
    </row>
    <row r="566">
      <c r="D566" s="87" t="n"/>
    </row>
    <row r="567">
      <c r="D567" s="87" t="n"/>
    </row>
    <row r="568">
      <c r="D568" s="87" t="n"/>
    </row>
    <row r="569">
      <c r="D569" s="87" t="n"/>
    </row>
    <row r="570">
      <c r="D570" s="87" t="n"/>
    </row>
    <row r="571">
      <c r="D571" s="87" t="n"/>
    </row>
    <row r="572">
      <c r="D572" s="87" t="n"/>
    </row>
    <row r="573">
      <c r="D573" s="87" t="n"/>
    </row>
    <row r="574">
      <c r="D574" s="87" t="n"/>
    </row>
    <row r="575">
      <c r="D575" s="87" t="n"/>
    </row>
    <row r="576">
      <c r="D576" s="87" t="n"/>
    </row>
    <row r="577">
      <c r="D577" s="87" t="n"/>
    </row>
    <row r="578">
      <c r="D578" s="87" t="n"/>
    </row>
    <row r="579">
      <c r="D579" s="87" t="n"/>
    </row>
    <row r="580">
      <c r="D580" s="87" t="n"/>
    </row>
    <row r="581">
      <c r="D581" s="87" t="n"/>
    </row>
    <row r="582">
      <c r="D582" s="87" t="n"/>
    </row>
    <row r="583">
      <c r="D583" s="87" t="n"/>
    </row>
    <row r="584">
      <c r="D584" s="87" t="n"/>
    </row>
    <row r="585">
      <c r="D585" s="87" t="n"/>
    </row>
    <row r="586">
      <c r="D586" s="87" t="n"/>
    </row>
    <row r="587">
      <c r="D587" s="87" t="n"/>
    </row>
    <row r="588">
      <c r="D588" s="87" t="n"/>
    </row>
    <row r="589">
      <c r="D589" s="87" t="n"/>
    </row>
    <row r="590">
      <c r="D590" s="87" t="n"/>
    </row>
    <row r="591">
      <c r="D591" s="87" t="n"/>
    </row>
    <row r="592">
      <c r="D592" s="87" t="n"/>
    </row>
    <row r="593">
      <c r="D593" s="87" t="n"/>
    </row>
    <row r="594">
      <c r="D594" s="87" t="n"/>
    </row>
    <row r="595">
      <c r="D595" s="87" t="n"/>
    </row>
    <row r="596">
      <c r="D596" s="87" t="n"/>
    </row>
    <row r="597">
      <c r="D597" s="87" t="n"/>
    </row>
    <row r="598">
      <c r="D598" s="87" t="n"/>
    </row>
    <row r="599">
      <c r="D599" s="87" t="n"/>
    </row>
    <row r="600">
      <c r="D600" s="87" t="n"/>
    </row>
    <row r="601">
      <c r="D601" s="87" t="n"/>
    </row>
    <row r="602">
      <c r="D602" s="87" t="n"/>
    </row>
    <row r="603">
      <c r="D603" s="87" t="n"/>
    </row>
    <row r="604">
      <c r="D604" s="87" t="n"/>
    </row>
    <row r="605">
      <c r="D605" s="87" t="n"/>
    </row>
    <row r="606">
      <c r="D606" s="87" t="n"/>
    </row>
    <row r="607">
      <c r="D607" s="87" t="n"/>
    </row>
    <row r="608">
      <c r="D608" s="87" t="n"/>
    </row>
    <row r="609">
      <c r="D609" s="87" t="n"/>
    </row>
    <row r="610">
      <c r="D610" s="87" t="n"/>
    </row>
    <row r="611">
      <c r="D611" s="87" t="n"/>
    </row>
    <row r="612">
      <c r="D612" s="87" t="n"/>
    </row>
    <row r="613">
      <c r="D613" s="87" t="n"/>
    </row>
    <row r="614">
      <c r="D614" s="87" t="n"/>
    </row>
    <row r="615">
      <c r="D615" s="87" t="n"/>
    </row>
    <row r="616">
      <c r="D616" s="87" t="n"/>
    </row>
    <row r="617">
      <c r="D617" s="87" t="n"/>
    </row>
    <row r="618">
      <c r="D618" s="87" t="n"/>
    </row>
    <row r="619">
      <c r="D619" s="87" t="n"/>
    </row>
    <row r="620">
      <c r="D620" s="87" t="n"/>
    </row>
    <row r="621">
      <c r="D621" s="87" t="n"/>
    </row>
    <row r="622">
      <c r="D622" s="87" t="n"/>
    </row>
    <row r="623">
      <c r="D623" s="87" t="n"/>
    </row>
    <row r="624">
      <c r="D624" s="87" t="n"/>
    </row>
    <row r="625">
      <c r="D625" s="87" t="n"/>
    </row>
    <row r="626">
      <c r="D626" s="87" t="n"/>
    </row>
    <row r="627">
      <c r="D627" s="87" t="n"/>
    </row>
    <row r="628">
      <c r="D628" s="87" t="n"/>
    </row>
    <row r="629">
      <c r="D629" s="87" t="n"/>
    </row>
    <row r="630">
      <c r="D630" s="87" t="n"/>
    </row>
    <row r="631">
      <c r="D631" s="87" t="n"/>
    </row>
    <row r="632">
      <c r="D632" s="87" t="n"/>
    </row>
    <row r="633">
      <c r="D633" s="87" t="n"/>
    </row>
    <row r="634">
      <c r="D634" s="87" t="n"/>
    </row>
    <row r="635">
      <c r="D635" s="87" t="n"/>
    </row>
    <row r="636">
      <c r="D636" s="87" t="n"/>
    </row>
    <row r="637">
      <c r="D637" s="87" t="n"/>
    </row>
    <row r="638">
      <c r="D638" s="87" t="n"/>
    </row>
    <row r="639">
      <c r="D639" s="87" t="n"/>
    </row>
    <row r="640">
      <c r="D640" s="87" t="n"/>
    </row>
    <row r="641">
      <c r="D641" s="87" t="n"/>
    </row>
    <row r="642">
      <c r="D642" s="87" t="n"/>
    </row>
    <row r="643">
      <c r="D643" s="87" t="n"/>
    </row>
    <row r="644">
      <c r="D644" s="87" t="n"/>
    </row>
    <row r="645">
      <c r="D645" s="87" t="n"/>
    </row>
    <row r="646">
      <c r="D646" s="87" t="n"/>
    </row>
    <row r="647">
      <c r="D647" s="87" t="n"/>
    </row>
    <row r="648">
      <c r="D648" s="87" t="n"/>
    </row>
    <row r="649">
      <c r="D649" s="87" t="n"/>
    </row>
    <row r="650">
      <c r="D650" s="87" t="n"/>
    </row>
    <row r="651">
      <c r="D651" s="87" t="n"/>
    </row>
    <row r="652">
      <c r="D652" s="87" t="n"/>
    </row>
    <row r="653">
      <c r="D653" s="87" t="n"/>
    </row>
    <row r="654">
      <c r="D654" s="87" t="n"/>
    </row>
    <row r="655">
      <c r="D655" s="87" t="n"/>
    </row>
    <row r="656">
      <c r="D656" s="87" t="n"/>
    </row>
    <row r="657">
      <c r="D657" s="87" t="n"/>
    </row>
    <row r="658">
      <c r="D658" s="87" t="n"/>
    </row>
    <row r="659">
      <c r="D659" s="87" t="n"/>
    </row>
    <row r="660">
      <c r="D660" s="87" t="n"/>
    </row>
    <row r="661">
      <c r="D661" s="87" t="n"/>
    </row>
    <row r="662">
      <c r="D662" s="87" t="n"/>
    </row>
    <row r="663">
      <c r="D663" s="87" t="n"/>
    </row>
    <row r="664">
      <c r="D664" s="87" t="n"/>
    </row>
    <row r="665">
      <c r="D665" s="87" t="n"/>
    </row>
    <row r="666">
      <c r="D666" s="87" t="n"/>
    </row>
    <row r="667">
      <c r="D667" s="87" t="n"/>
    </row>
    <row r="668">
      <c r="D668" s="87" t="n"/>
    </row>
    <row r="669">
      <c r="D669" s="87" t="n"/>
    </row>
    <row r="670">
      <c r="D670" s="87" t="n"/>
    </row>
    <row r="671">
      <c r="D671" s="87" t="n"/>
    </row>
    <row r="672">
      <c r="D672" s="87" t="n"/>
    </row>
    <row r="673">
      <c r="D673" s="87" t="n"/>
    </row>
    <row r="674">
      <c r="D674" s="87" t="n"/>
    </row>
    <row r="675">
      <c r="D675" s="87" t="n"/>
    </row>
    <row r="676">
      <c r="D676" s="87" t="n"/>
    </row>
    <row r="677">
      <c r="D677" s="87" t="n"/>
    </row>
    <row r="678">
      <c r="D678" s="87" t="n"/>
    </row>
    <row r="679">
      <c r="D679" s="87" t="n"/>
    </row>
    <row r="680">
      <c r="D680" s="87" t="n"/>
    </row>
    <row r="681">
      <c r="D681" s="87" t="n"/>
    </row>
    <row r="682">
      <c r="D682" s="87" t="n"/>
    </row>
    <row r="683">
      <c r="D683" s="87" t="n"/>
    </row>
    <row r="684">
      <c r="D684" s="87" t="n"/>
    </row>
    <row r="685">
      <c r="D685" s="87" t="n"/>
    </row>
    <row r="686">
      <c r="D686" s="87" t="n"/>
    </row>
    <row r="687">
      <c r="D687" s="87" t="n"/>
    </row>
    <row r="688">
      <c r="D688" s="87" t="n"/>
    </row>
    <row r="689">
      <c r="D689" s="87" t="n"/>
    </row>
    <row r="690">
      <c r="D690" s="87" t="n"/>
    </row>
    <row r="691">
      <c r="D691" s="87" t="n"/>
    </row>
    <row r="692">
      <c r="D692" s="87" t="n"/>
    </row>
    <row r="693">
      <c r="D693" s="87" t="n"/>
    </row>
    <row r="694">
      <c r="D694" s="87" t="n"/>
    </row>
    <row r="695">
      <c r="D695" s="87" t="n"/>
    </row>
    <row r="696">
      <c r="D696" s="87" t="n"/>
    </row>
    <row r="697">
      <c r="D697" s="87" t="n"/>
    </row>
    <row r="698">
      <c r="D698" s="87" t="n"/>
    </row>
    <row r="699">
      <c r="D699" s="87" t="n"/>
    </row>
    <row r="700">
      <c r="D700" s="87" t="n"/>
    </row>
    <row r="701">
      <c r="D701" s="87" t="n"/>
    </row>
    <row r="702">
      <c r="D702" s="87" t="n"/>
    </row>
    <row r="703">
      <c r="D703" s="87" t="n"/>
    </row>
    <row r="704">
      <c r="D704" s="87" t="n"/>
    </row>
    <row r="705">
      <c r="D705" s="87" t="n"/>
    </row>
    <row r="706">
      <c r="D706" s="87" t="n"/>
    </row>
    <row r="707">
      <c r="D707" s="87" t="n"/>
    </row>
    <row r="708">
      <c r="D708" s="87" t="n"/>
    </row>
    <row r="709">
      <c r="D709" s="87" t="n"/>
    </row>
    <row r="710">
      <c r="D710" s="87" t="n"/>
    </row>
    <row r="711">
      <c r="D711" s="87" t="n"/>
    </row>
    <row r="712">
      <c r="D712" s="87" t="n"/>
    </row>
    <row r="713">
      <c r="D713" s="87" t="n"/>
    </row>
    <row r="714">
      <c r="D714" s="87" t="n"/>
    </row>
    <row r="715">
      <c r="D715" s="87" t="n"/>
    </row>
    <row r="716">
      <c r="D716" s="87" t="n"/>
    </row>
    <row r="717">
      <c r="D717" s="87" t="n"/>
    </row>
    <row r="718">
      <c r="D718" s="87" t="n"/>
    </row>
    <row r="719">
      <c r="D719" s="87" t="n"/>
    </row>
    <row r="720">
      <c r="D720" s="87" t="n"/>
    </row>
    <row r="721">
      <c r="D721" s="87" t="n"/>
    </row>
    <row r="722">
      <c r="D722" s="87" t="n"/>
    </row>
    <row r="723">
      <c r="D723" s="87" t="n"/>
    </row>
    <row r="724">
      <c r="D724" s="87" t="n"/>
    </row>
    <row r="725">
      <c r="D725" s="87" t="n"/>
    </row>
    <row r="726">
      <c r="D726" s="87" t="n"/>
    </row>
    <row r="727">
      <c r="D727" s="87" t="n"/>
    </row>
    <row r="728">
      <c r="D728" s="87" t="n"/>
    </row>
    <row r="729">
      <c r="D729" s="87" t="n"/>
    </row>
    <row r="730">
      <c r="D730" s="87" t="n"/>
    </row>
    <row r="731">
      <c r="D731" s="87" t="n"/>
    </row>
    <row r="732">
      <c r="D732" s="87" t="n"/>
    </row>
    <row r="733">
      <c r="D733" s="87" t="n"/>
    </row>
    <row r="734">
      <c r="D734" s="87" t="n"/>
    </row>
    <row r="735">
      <c r="D735" s="87" t="n"/>
    </row>
    <row r="736">
      <c r="D736" s="87" t="n"/>
    </row>
    <row r="737">
      <c r="D737" s="87" t="n"/>
    </row>
    <row r="738">
      <c r="D738" s="87" t="n"/>
    </row>
    <row r="739">
      <c r="D739" s="87" t="n"/>
    </row>
    <row r="740">
      <c r="D740" s="87" t="n"/>
    </row>
    <row r="741">
      <c r="D741" s="87" t="n"/>
    </row>
    <row r="742">
      <c r="D742" s="87" t="n"/>
    </row>
    <row r="743">
      <c r="D743" s="87" t="n"/>
    </row>
    <row r="744">
      <c r="D744" s="87" t="n"/>
    </row>
    <row r="745">
      <c r="D745" s="87" t="n"/>
    </row>
    <row r="746">
      <c r="D746" s="87" t="n"/>
    </row>
    <row r="747">
      <c r="D747" s="87" t="n"/>
    </row>
    <row r="748">
      <c r="D748" s="87" t="n"/>
    </row>
    <row r="749">
      <c r="D749" s="87" t="n"/>
    </row>
    <row r="750">
      <c r="D750" s="87" t="n"/>
    </row>
    <row r="751">
      <c r="D751" s="87" t="n"/>
    </row>
    <row r="752">
      <c r="D752" s="87" t="n"/>
    </row>
    <row r="753">
      <c r="D753" s="87" t="n"/>
    </row>
    <row r="754">
      <c r="D754" s="87" t="n"/>
    </row>
    <row r="755">
      <c r="D755" s="87" t="n"/>
    </row>
    <row r="756">
      <c r="D756" s="87" t="n"/>
    </row>
    <row r="757">
      <c r="D757" s="87" t="n"/>
    </row>
    <row r="758">
      <c r="D758" s="87" t="n"/>
    </row>
    <row r="759">
      <c r="D759" s="87" t="n"/>
    </row>
    <row r="760">
      <c r="D760" s="87" t="n"/>
    </row>
    <row r="761">
      <c r="D761" s="87" t="n"/>
    </row>
    <row r="762">
      <c r="D762" s="87" t="n"/>
    </row>
    <row r="763">
      <c r="D763" s="87" t="n"/>
    </row>
    <row r="764">
      <c r="D764" s="87" t="n"/>
    </row>
    <row r="765">
      <c r="D765" s="87" t="n"/>
    </row>
    <row r="766">
      <c r="D766" s="87" t="n"/>
    </row>
    <row r="767">
      <c r="D767" s="87" t="n"/>
    </row>
    <row r="768">
      <c r="D768" s="87" t="n"/>
    </row>
    <row r="769">
      <c r="D769" s="87" t="n"/>
    </row>
    <row r="770">
      <c r="D770" s="87" t="n"/>
    </row>
    <row r="771">
      <c r="D771" s="87" t="n"/>
    </row>
    <row r="772">
      <c r="D772" s="87" t="n"/>
    </row>
    <row r="773">
      <c r="D773" s="87" t="n"/>
    </row>
    <row r="774">
      <c r="D774" s="87" t="n"/>
    </row>
    <row r="775">
      <c r="D775" s="87" t="n"/>
    </row>
    <row r="776">
      <c r="D776" s="87" t="n"/>
    </row>
    <row r="777">
      <c r="D777" s="87" t="n"/>
    </row>
    <row r="778">
      <c r="D778" s="87" t="n"/>
    </row>
    <row r="779">
      <c r="D779" s="87" t="n"/>
    </row>
    <row r="780">
      <c r="D780" s="87" t="n"/>
    </row>
    <row r="781">
      <c r="D781" s="87" t="n"/>
    </row>
    <row r="782">
      <c r="D782" s="87" t="n"/>
    </row>
    <row r="783">
      <c r="D783" s="87" t="n"/>
    </row>
    <row r="784">
      <c r="D784" s="87" t="n"/>
    </row>
    <row r="785">
      <c r="D785" s="87" t="n"/>
    </row>
    <row r="786">
      <c r="D786" s="87" t="n"/>
    </row>
    <row r="787">
      <c r="D787" s="87" t="n"/>
    </row>
    <row r="788">
      <c r="D788" s="87" t="n"/>
    </row>
    <row r="789">
      <c r="D789" s="87" t="n"/>
    </row>
    <row r="790">
      <c r="D790" s="87" t="n"/>
    </row>
    <row r="791">
      <c r="D791" s="87" t="n"/>
    </row>
    <row r="792">
      <c r="D792" s="87" t="n"/>
    </row>
    <row r="793">
      <c r="D793" s="87" t="n"/>
    </row>
    <row r="794">
      <c r="D794" s="87" t="n"/>
    </row>
    <row r="795">
      <c r="D795" s="87" t="n"/>
    </row>
    <row r="796">
      <c r="D796" s="87" t="n"/>
    </row>
    <row r="797">
      <c r="D797" s="87" t="n"/>
    </row>
    <row r="798">
      <c r="D798" s="87" t="n"/>
    </row>
    <row r="799">
      <c r="D799" s="87" t="n"/>
    </row>
    <row r="800">
      <c r="D800" s="87" t="n"/>
    </row>
    <row r="801">
      <c r="D801" s="87" t="n"/>
    </row>
    <row r="802">
      <c r="D802" s="87" t="n"/>
    </row>
    <row r="803">
      <c r="D803" s="87" t="n"/>
    </row>
    <row r="804">
      <c r="D804" s="87" t="n"/>
    </row>
    <row r="805">
      <c r="D805" s="87" t="n"/>
    </row>
    <row r="806">
      <c r="D806" s="87" t="n"/>
    </row>
    <row r="807">
      <c r="D807" s="87" t="n"/>
    </row>
    <row r="808">
      <c r="D808" s="87" t="n"/>
    </row>
    <row r="809">
      <c r="D809" s="87" t="n"/>
    </row>
    <row r="810">
      <c r="D810" s="87" t="n"/>
    </row>
    <row r="811">
      <c r="D811" s="87" t="n"/>
    </row>
    <row r="812">
      <c r="D812" s="87" t="n"/>
    </row>
    <row r="813">
      <c r="D813" s="87" t="n"/>
    </row>
    <row r="814">
      <c r="D814" s="87" t="n"/>
    </row>
    <row r="815">
      <c r="D815" s="87" t="n"/>
    </row>
    <row r="816">
      <c r="D816" s="87" t="n"/>
    </row>
    <row r="817">
      <c r="D817" s="87" t="n"/>
    </row>
    <row r="818">
      <c r="D818" s="87" t="n"/>
    </row>
    <row r="819">
      <c r="D819" s="87" t="n"/>
    </row>
    <row r="820">
      <c r="D820" s="87" t="n"/>
    </row>
    <row r="821">
      <c r="D821" s="87" t="n"/>
    </row>
    <row r="822">
      <c r="D822" s="87" t="n"/>
    </row>
    <row r="823">
      <c r="D823" s="87" t="n"/>
    </row>
    <row r="824">
      <c r="D824" s="87" t="n"/>
    </row>
    <row r="825">
      <c r="D825" s="87" t="n"/>
    </row>
    <row r="826">
      <c r="D826" s="87" t="n"/>
    </row>
    <row r="827">
      <c r="D827" s="87" t="n"/>
    </row>
    <row r="828">
      <c r="D828" s="87" t="n"/>
    </row>
    <row r="829">
      <c r="D829" s="87" t="n"/>
    </row>
    <row r="830">
      <c r="D830" s="87" t="n"/>
    </row>
    <row r="831">
      <c r="D831" s="87" t="n"/>
    </row>
    <row r="832">
      <c r="D832" s="87" t="n"/>
    </row>
    <row r="833">
      <c r="D833" s="87" t="n"/>
    </row>
    <row r="834">
      <c r="D834" s="87" t="n"/>
    </row>
    <row r="835">
      <c r="D835" s="87" t="n"/>
    </row>
    <row r="836">
      <c r="D836" s="87" t="n"/>
    </row>
    <row r="837">
      <c r="D837" s="87" t="n"/>
    </row>
    <row r="838">
      <c r="D838" s="87" t="n"/>
    </row>
    <row r="839">
      <c r="D839" s="87" t="n"/>
    </row>
    <row r="840">
      <c r="D840" s="87" t="n"/>
    </row>
    <row r="841">
      <c r="D841" s="87" t="n"/>
    </row>
    <row r="842">
      <c r="D842" s="87" t="n"/>
    </row>
    <row r="843">
      <c r="D843" s="87" t="n"/>
    </row>
    <row r="844">
      <c r="D844" s="87" t="n"/>
    </row>
    <row r="845">
      <c r="D845" s="87" t="n"/>
    </row>
    <row r="846">
      <c r="D846" s="87" t="n"/>
    </row>
    <row r="847">
      <c r="D847" s="87" t="n"/>
    </row>
    <row r="848">
      <c r="D848" s="87" t="n"/>
    </row>
    <row r="849">
      <c r="D849" s="87" t="n"/>
    </row>
    <row r="850">
      <c r="D850" s="87" t="n"/>
    </row>
    <row r="851">
      <c r="D851" s="87" t="n"/>
    </row>
    <row r="852">
      <c r="D852" s="87" t="n"/>
    </row>
    <row r="853">
      <c r="D853" s="87" t="n"/>
    </row>
    <row r="854">
      <c r="D854" s="87" t="n"/>
    </row>
    <row r="855">
      <c r="D855" s="87" t="n"/>
    </row>
    <row r="856">
      <c r="D856" s="87" t="n"/>
    </row>
    <row r="857">
      <c r="D857" s="87" t="n"/>
    </row>
    <row r="858">
      <c r="D858" s="87" t="n"/>
    </row>
    <row r="859">
      <c r="D859" s="87" t="n"/>
    </row>
    <row r="860">
      <c r="D860" s="87" t="n"/>
    </row>
    <row r="861">
      <c r="D861" s="87" t="n"/>
    </row>
    <row r="862">
      <c r="D862" s="87" t="n"/>
    </row>
    <row r="863">
      <c r="D863" s="87" t="n"/>
    </row>
    <row r="864">
      <c r="D864" s="87" t="n"/>
    </row>
    <row r="865">
      <c r="D865" s="87" t="n"/>
    </row>
    <row r="866">
      <c r="D866" s="87" t="n"/>
    </row>
    <row r="867">
      <c r="D867" s="87" t="n"/>
    </row>
    <row r="868">
      <c r="D868" s="87" t="n"/>
    </row>
    <row r="869">
      <c r="D869" s="87" t="n"/>
    </row>
    <row r="870">
      <c r="D870" s="87" t="n"/>
    </row>
    <row r="871">
      <c r="D871" s="87" t="n"/>
    </row>
    <row r="872">
      <c r="D872" s="87" t="n"/>
    </row>
    <row r="873">
      <c r="D873" s="87" t="n"/>
    </row>
    <row r="874">
      <c r="D874" s="87" t="n"/>
    </row>
    <row r="875">
      <c r="D875" s="87" t="n"/>
    </row>
    <row r="876">
      <c r="D876" s="87" t="n"/>
    </row>
    <row r="877">
      <c r="D877" s="87" t="n"/>
    </row>
    <row r="878">
      <c r="D878" s="87" t="n"/>
    </row>
    <row r="879">
      <c r="D879" s="87" t="n"/>
    </row>
    <row r="880">
      <c r="D880" s="87" t="n"/>
    </row>
    <row r="881">
      <c r="D881" s="87" t="n"/>
    </row>
    <row r="882">
      <c r="D882" s="87" t="n"/>
    </row>
    <row r="883">
      <c r="D883" s="87" t="n"/>
    </row>
    <row r="884">
      <c r="D884" s="87" t="n"/>
    </row>
    <row r="885">
      <c r="D885" s="87" t="n"/>
    </row>
    <row r="886">
      <c r="D886" s="87" t="n"/>
    </row>
    <row r="887">
      <c r="D887" s="87" t="n"/>
    </row>
    <row r="888">
      <c r="D888" s="87" t="n"/>
    </row>
    <row r="889">
      <c r="D889" s="87" t="n"/>
    </row>
    <row r="890">
      <c r="D890" s="87" t="n"/>
    </row>
    <row r="891">
      <c r="D891" s="87" t="n"/>
    </row>
    <row r="892">
      <c r="D892" s="87" t="n"/>
    </row>
    <row r="893">
      <c r="D893" s="87" t="n"/>
    </row>
    <row r="894">
      <c r="D894" s="87" t="n"/>
    </row>
    <row r="895">
      <c r="D895" s="87" t="n"/>
    </row>
    <row r="896">
      <c r="D896" s="87" t="n"/>
    </row>
    <row r="897">
      <c r="D897" s="87" t="n"/>
    </row>
    <row r="898">
      <c r="D898" s="87" t="n"/>
    </row>
    <row r="899">
      <c r="D899" s="87" t="n"/>
    </row>
    <row r="900">
      <c r="D900" s="87" t="n"/>
    </row>
    <row r="901">
      <c r="D901" s="87" t="n"/>
    </row>
    <row r="902">
      <c r="D902" s="87" t="n"/>
    </row>
    <row r="903">
      <c r="D903" s="87" t="n"/>
    </row>
    <row r="904">
      <c r="D904" s="87" t="n"/>
    </row>
    <row r="905">
      <c r="D905" s="87" t="n"/>
    </row>
    <row r="906">
      <c r="D906" s="87" t="n"/>
    </row>
    <row r="907">
      <c r="D907" s="87" t="n"/>
    </row>
    <row r="908">
      <c r="D908" s="87" t="n"/>
    </row>
    <row r="909">
      <c r="D909" s="87" t="n"/>
    </row>
    <row r="910">
      <c r="D910" s="87" t="n"/>
    </row>
    <row r="911">
      <c r="D911" s="87" t="n"/>
    </row>
    <row r="912">
      <c r="D912" s="87" t="n"/>
    </row>
    <row r="913">
      <c r="D913" s="87" t="n"/>
    </row>
    <row r="914">
      <c r="D914" s="87" t="n"/>
    </row>
    <row r="915">
      <c r="D915" s="87" t="n"/>
    </row>
    <row r="916">
      <c r="D916" s="87" t="n"/>
    </row>
    <row r="917">
      <c r="D917" s="87" t="n"/>
    </row>
    <row r="918">
      <c r="D918" s="87" t="n"/>
    </row>
    <row r="919">
      <c r="D919" s="87" t="n"/>
    </row>
    <row r="920">
      <c r="D920" s="87" t="n"/>
    </row>
    <row r="921">
      <c r="D921" s="87" t="n"/>
    </row>
    <row r="922">
      <c r="D922" s="87" t="n"/>
    </row>
    <row r="923">
      <c r="D923" s="87" t="n"/>
    </row>
    <row r="924">
      <c r="D924" s="87" t="n"/>
    </row>
    <row r="925">
      <c r="D925" s="87" t="n"/>
    </row>
    <row r="926">
      <c r="D926" s="87" t="n"/>
    </row>
    <row r="927">
      <c r="D927" s="87" t="n"/>
    </row>
    <row r="928">
      <c r="D928" s="87" t="n"/>
    </row>
    <row r="929">
      <c r="D929" s="87" t="n"/>
    </row>
    <row r="930">
      <c r="D930" s="87" t="n"/>
    </row>
    <row r="931">
      <c r="D931" s="87" t="n"/>
    </row>
    <row r="932">
      <c r="D932" s="87" t="n"/>
    </row>
    <row r="933">
      <c r="D933" s="87" t="n"/>
    </row>
    <row r="934">
      <c r="D934" s="87" t="n"/>
    </row>
    <row r="935">
      <c r="D935" s="87" t="n"/>
    </row>
    <row r="936">
      <c r="D936" s="87" t="n"/>
    </row>
    <row r="937">
      <c r="D937" s="87" t="n"/>
    </row>
    <row r="938">
      <c r="D938" s="87" t="n"/>
    </row>
    <row r="939">
      <c r="D939" s="87" t="n"/>
    </row>
    <row r="940">
      <c r="D940" s="87" t="n"/>
    </row>
    <row r="941">
      <c r="D941" s="87" t="n"/>
    </row>
    <row r="942">
      <c r="D942" s="87" t="n"/>
    </row>
    <row r="943">
      <c r="D943" s="87" t="n"/>
    </row>
    <row r="944">
      <c r="D944" s="87" t="n"/>
    </row>
    <row r="945">
      <c r="D945" s="87" t="n"/>
    </row>
    <row r="946">
      <c r="D946" s="87" t="n"/>
    </row>
    <row r="947">
      <c r="D947" s="87" t="n"/>
    </row>
    <row r="948">
      <c r="D948" s="87" t="n"/>
    </row>
    <row r="949">
      <c r="D949" s="87" t="n"/>
    </row>
    <row r="950">
      <c r="D950" s="87" t="n"/>
    </row>
    <row r="951">
      <c r="D951" s="87" t="n"/>
    </row>
    <row r="952">
      <c r="D952" s="87" t="n"/>
    </row>
    <row r="953">
      <c r="D953" s="87" t="n"/>
    </row>
    <row r="954">
      <c r="D954" s="87" t="n"/>
    </row>
    <row r="955">
      <c r="D955" s="87" t="n"/>
    </row>
    <row r="956">
      <c r="D956" s="87" t="n"/>
    </row>
    <row r="957">
      <c r="D957" s="87" t="n"/>
    </row>
    <row r="958">
      <c r="D958" s="87" t="n"/>
    </row>
    <row r="959">
      <c r="D959" s="87" t="n"/>
    </row>
    <row r="960">
      <c r="D960" s="87" t="n"/>
    </row>
    <row r="961">
      <c r="D961" s="87" t="n"/>
    </row>
    <row r="962">
      <c r="D962" s="87" t="n"/>
    </row>
    <row r="963">
      <c r="D963" s="87" t="n"/>
    </row>
    <row r="964">
      <c r="D964" s="87" t="n"/>
    </row>
    <row r="965">
      <c r="D965" s="87" t="n"/>
    </row>
    <row r="966">
      <c r="D966" s="87" t="n"/>
    </row>
    <row r="967">
      <c r="D967" s="87" t="n"/>
    </row>
    <row r="968">
      <c r="D968" s="87" t="n"/>
    </row>
    <row r="969">
      <c r="D969" s="87" t="n"/>
    </row>
    <row r="970">
      <c r="D970" s="87" t="n"/>
    </row>
    <row r="971">
      <c r="D971" s="87" t="n"/>
    </row>
    <row r="972">
      <c r="D972" s="87" t="n"/>
    </row>
    <row r="973">
      <c r="D973" s="87" t="n"/>
    </row>
    <row r="974">
      <c r="D974" s="87" t="n"/>
    </row>
    <row r="975">
      <c r="D975" s="87" t="n"/>
    </row>
    <row r="976">
      <c r="D976" s="87" t="n"/>
    </row>
    <row r="977">
      <c r="D977" s="87" t="n"/>
    </row>
    <row r="978">
      <c r="D978" s="87" t="n"/>
    </row>
    <row r="979">
      <c r="D979" s="87" t="n"/>
    </row>
    <row r="980">
      <c r="D980" s="87" t="n"/>
    </row>
    <row r="981">
      <c r="D981" s="87" t="n"/>
    </row>
    <row r="982">
      <c r="D982" s="87" t="n"/>
    </row>
    <row r="983">
      <c r="D983" s="87" t="n"/>
    </row>
    <row r="984">
      <c r="D984" s="87" t="n"/>
    </row>
    <row r="985">
      <c r="D985" s="87" t="n"/>
    </row>
    <row r="986">
      <c r="D986" s="87" t="n"/>
    </row>
    <row r="987">
      <c r="D987" s="87" t="n"/>
    </row>
    <row r="988">
      <c r="D988" s="87" t="n"/>
    </row>
    <row r="989">
      <c r="D989" s="87" t="n"/>
    </row>
    <row r="990">
      <c r="D990" s="87" t="n"/>
    </row>
    <row r="991">
      <c r="D991" s="87" t="n"/>
    </row>
    <row r="992">
      <c r="D992" s="87" t="n"/>
    </row>
    <row r="993">
      <c r="D993" s="87" t="n"/>
    </row>
    <row r="994">
      <c r="D994" s="87" t="n"/>
    </row>
    <row r="995">
      <c r="D995" s="87" t="n"/>
    </row>
    <row r="996">
      <c r="D996" s="87" t="n"/>
    </row>
    <row r="997">
      <c r="D997" s="87" t="n"/>
    </row>
    <row r="998">
      <c r="D998" s="87" t="n"/>
    </row>
    <row r="999">
      <c r="D999" s="87" t="n"/>
    </row>
  </sheetData>
  <mergeCells count="66">
    <mergeCell ref="B91:C91"/>
    <mergeCell ref="B97:C97"/>
    <mergeCell ref="A24:B24"/>
    <mergeCell ref="B16:C16"/>
    <mergeCell ref="B54:C54"/>
    <mergeCell ref="B100:C100"/>
    <mergeCell ref="B7:C7"/>
    <mergeCell ref="B90:C90"/>
    <mergeCell ref="B81:C8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B52:C52"/>
    <mergeCell ref="B21:C21"/>
    <mergeCell ref="B48:C48"/>
    <mergeCell ref="B70:C70"/>
    <mergeCell ref="A99:B99"/>
    <mergeCell ref="B42:C42"/>
    <mergeCell ref="A46:B46"/>
    <mergeCell ref="B61:C61"/>
    <mergeCell ref="B101:C101"/>
    <mergeCell ref="B17:C17"/>
    <mergeCell ref="B88:C88"/>
    <mergeCell ref="B8:C8"/>
    <mergeCell ref="B82:C82"/>
    <mergeCell ref="B53:C53"/>
    <mergeCell ref="B73:C73"/>
    <mergeCell ref="B69:C69"/>
    <mergeCell ref="B38:C38"/>
    <mergeCell ref="B44:C44"/>
    <mergeCell ref="B29:C29"/>
    <mergeCell ref="A77:B77"/>
    <mergeCell ref="B19:C19"/>
    <mergeCell ref="B34:C34"/>
    <mergeCell ref="B37:C37"/>
    <mergeCell ref="A111:C111"/>
    <mergeCell ref="B28:C28"/>
    <mergeCell ref="B103:C103"/>
    <mergeCell ref="B41:C41"/>
    <mergeCell ref="B40:C40"/>
    <mergeCell ref="B49:C49"/>
    <mergeCell ref="B92:C92"/>
    <mergeCell ref="B55:C55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79:C79"/>
    <mergeCell ref="B35:C35"/>
    <mergeCell ref="B106:C10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Right="0"/>
    <pageSetUpPr/>
  </sheetPr>
  <dimension ref="A1:N11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 outlineLevelRow="1"/>
  <cols>
    <col width="17.63" customWidth="1" style="270" min="2" max="2"/>
  </cols>
  <sheetData>
    <row r="1" outlineLevel="1" s="270">
      <c r="A1" s="186" t="inlineStr">
        <is>
          <t>VIGENCIA:</t>
        </is>
      </c>
      <c r="B1" s="210" t="n">
        <v>44748</v>
      </c>
      <c r="C1" s="223" t="n"/>
      <c r="D1" s="215" t="n"/>
      <c r="E1" s="223" t="n"/>
      <c r="F1" s="223" t="n"/>
      <c r="G1" s="223" t="n"/>
      <c r="H1" s="223" t="n"/>
      <c r="I1" s="223" t="n"/>
      <c r="K1" s="111" t="n"/>
      <c r="L1" s="103" t="n"/>
      <c r="M1" s="223" t="n"/>
      <c r="N1" s="223" t="n"/>
    </row>
    <row r="2" outlineLevel="1" s="270">
      <c r="A2" s="223" t="n"/>
      <c r="B2" s="223" t="n"/>
      <c r="C2" s="223" t="n"/>
      <c r="D2" s="215" t="n"/>
      <c r="E2" s="223" t="n"/>
      <c r="F2" s="223" t="n"/>
      <c r="G2" s="223" t="n"/>
      <c r="H2" s="223" t="n"/>
      <c r="I2" s="223" t="n"/>
      <c r="K2" s="223" t="n"/>
      <c r="L2" s="223" t="n"/>
      <c r="M2" s="223" t="n"/>
      <c r="N2" s="223" t="n"/>
    </row>
    <row r="3" outlineLevel="1" s="270">
      <c r="A3" s="117" t="inlineStr">
        <is>
          <t>JABONES</t>
        </is>
      </c>
      <c r="B3" s="223" t="n"/>
      <c r="C3" s="223" t="n"/>
      <c r="D3" s="213" t="inlineStr">
        <is>
          <t>Costo</t>
        </is>
      </c>
      <c r="E3" s="223" t="n"/>
      <c r="F3" s="186" t="inlineStr">
        <is>
          <t xml:space="preserve">Mayorista </t>
        </is>
      </c>
      <c r="G3" s="186" t="inlineStr">
        <is>
          <t xml:space="preserve">Minorista </t>
        </is>
      </c>
      <c r="H3" s="111" t="inlineStr">
        <is>
          <t>Minorista con IVA</t>
        </is>
      </c>
      <c r="I3" s="111" t="inlineStr">
        <is>
          <t>Redondeado</t>
        </is>
      </c>
      <c r="K3" s="188" t="inlineStr">
        <is>
          <t>Lista</t>
        </is>
      </c>
      <c r="L3" s="201" t="n">
        <v>0.1</v>
      </c>
      <c r="M3" s="201" t="n">
        <v>0.15</v>
      </c>
      <c r="N3" s="201" t="n">
        <v>0.2</v>
      </c>
    </row>
    <row r="4">
      <c r="A4" s="131" t="n"/>
      <c r="B4" s="223" t="n"/>
      <c r="C4" s="223" t="n"/>
      <c r="D4" s="215" t="n"/>
      <c r="E4" s="223" t="n"/>
      <c r="F4" s="223" t="n"/>
      <c r="G4" s="223" t="n"/>
      <c r="H4" s="223" t="n"/>
      <c r="I4" s="223" t="n"/>
      <c r="K4" s="188" t="n"/>
      <c r="L4" s="188" t="n"/>
      <c r="M4" s="188" t="n"/>
      <c r="N4" s="188" t="n"/>
    </row>
    <row r="5">
      <c r="A5" s="124" t="n"/>
      <c r="B5" s="223" t="n"/>
      <c r="C5" s="223" t="n"/>
      <c r="D5" s="215" t="n"/>
      <c r="E5" s="223" t="n"/>
      <c r="F5" s="223" t="n"/>
      <c r="G5" s="223" t="n"/>
      <c r="H5" s="223" t="n"/>
      <c r="I5" s="223" t="n"/>
      <c r="K5" s="200" t="n"/>
      <c r="L5" s="200" t="n"/>
      <c r="M5" s="200" t="n"/>
      <c r="N5" s="200" t="n"/>
    </row>
    <row r="6">
      <c r="A6" s="124" t="n">
        <v>701</v>
      </c>
      <c r="B6" s="223" t="inlineStr">
        <is>
          <t>Botella 1 lt. Servicio Dilución DMQ</t>
        </is>
      </c>
      <c r="D6" s="215">
        <f>N6*0.93</f>
        <v/>
      </c>
      <c r="E6" s="223" t="n"/>
      <c r="F6" s="215">
        <f>D6*1.3*1.105</f>
        <v/>
      </c>
      <c r="G6" s="215">
        <f>D6*1.3*1.105/0.9</f>
        <v/>
      </c>
      <c r="H6" s="215">
        <f>G6*1.21</f>
        <v/>
      </c>
      <c r="I6" s="215">
        <f>ROUND(H6/100,0)*100</f>
        <v/>
      </c>
      <c r="K6" s="238" t="n">
        <v>706.9299999999999</v>
      </c>
      <c r="L6" s="256" t="n">
        <v>636.24</v>
      </c>
      <c r="M6" s="256" t="n">
        <v>600.89</v>
      </c>
      <c r="N6" s="256" t="n">
        <v>565.54</v>
      </c>
    </row>
    <row r="7">
      <c r="A7" s="124" t="n">
        <v>720</v>
      </c>
      <c r="B7" s="223" t="inlineStr">
        <is>
          <t>Bidon x 5 lts. Jabón Líquido Tocador</t>
        </is>
      </c>
      <c r="D7" s="215">
        <f>N7*0.93</f>
        <v/>
      </c>
      <c r="E7" s="223" t="n"/>
      <c r="F7" s="218">
        <f>D7*1.3*1.105</f>
        <v/>
      </c>
      <c r="G7" s="219">
        <f>D7*1.3*1.105/0.9</f>
        <v/>
      </c>
      <c r="H7" s="220">
        <f>G7*1.21</f>
        <v/>
      </c>
      <c r="I7" s="215">
        <f>ROUND(H7/100,0)*100</f>
        <v/>
      </c>
      <c r="K7" s="236" t="n">
        <v>2217.2</v>
      </c>
      <c r="L7" s="257" t="n">
        <v>1995.48</v>
      </c>
      <c r="M7" s="257" t="n">
        <v>1884.62</v>
      </c>
      <c r="N7" s="257" t="n">
        <v>1773.76</v>
      </c>
    </row>
    <row r="8">
      <c r="A8" s="124" t="n"/>
      <c r="B8" s="223" t="n"/>
      <c r="C8" s="223" t="n"/>
      <c r="D8" s="215" t="n"/>
      <c r="E8" s="223" t="n"/>
      <c r="F8" s="222" t="n"/>
      <c r="G8" s="222" t="n"/>
      <c r="H8" s="222" t="n"/>
      <c r="I8" s="223" t="n"/>
      <c r="K8" s="200" t="n"/>
      <c r="L8" s="200" t="n"/>
      <c r="M8" s="200" t="n"/>
      <c r="N8" s="223" t="n"/>
    </row>
    <row r="9">
      <c r="A9" s="117" t="inlineStr">
        <is>
          <t>TOALLAS</t>
        </is>
      </c>
      <c r="B9" s="223" t="n"/>
      <c r="C9" s="223" t="n"/>
      <c r="D9" s="215" t="n"/>
      <c r="E9" s="223" t="n"/>
      <c r="F9" s="222" t="n"/>
      <c r="G9" s="222" t="n"/>
      <c r="H9" s="222" t="n"/>
      <c r="I9" s="223" t="n"/>
      <c r="K9" s="200" t="n"/>
      <c r="L9" s="200" t="n"/>
      <c r="M9" s="200" t="n"/>
      <c r="N9" s="223" t="n"/>
    </row>
    <row r="10">
      <c r="A10" s="131" t="n"/>
      <c r="B10" s="223" t="n"/>
      <c r="C10" s="223" t="n"/>
      <c r="D10" s="215" t="n"/>
      <c r="E10" s="223" t="n"/>
      <c r="F10" s="222" t="n"/>
      <c r="G10" s="222" t="n"/>
      <c r="H10" s="222" t="n"/>
      <c r="I10" s="223" t="n"/>
      <c r="K10" s="200" t="n"/>
      <c r="L10" s="200" t="n"/>
      <c r="M10" s="200" t="n"/>
      <c r="N10" s="223" t="n"/>
    </row>
    <row r="11">
      <c r="A11" s="182" t="n">
        <v>901</v>
      </c>
      <c r="B11" s="224" t="inlineStr">
        <is>
          <t>Toallas Blancas Super 21x25</t>
        </is>
      </c>
      <c r="C11" s="224" t="n"/>
      <c r="D11" s="227">
        <f>N11*0.93</f>
        <v/>
      </c>
      <c r="E11" s="224" t="n"/>
      <c r="F11" s="227">
        <f>D11*1.3*1.105</f>
        <v/>
      </c>
      <c r="G11" s="226">
        <f>D11*1.3*1.105/0.9</f>
        <v/>
      </c>
      <c r="H11" s="227">
        <f>G11*1.21</f>
        <v/>
      </c>
      <c r="I11" s="227">
        <f>ROUND(H11/100,0)*100</f>
        <v/>
      </c>
      <c r="J11" s="193" t="n"/>
      <c r="K11" s="258" t="n">
        <v>2631</v>
      </c>
      <c r="L11" s="260" t="n">
        <v>2367.9</v>
      </c>
      <c r="M11" s="260" t="n">
        <v>2236.35</v>
      </c>
      <c r="N11" s="260" t="n">
        <v>2104.8</v>
      </c>
    </row>
    <row r="12">
      <c r="A12" s="124" t="n">
        <v>902</v>
      </c>
      <c r="B12" s="223" t="inlineStr">
        <is>
          <t>Toallas Blancas Pura Simple</t>
        </is>
      </c>
      <c r="C12" s="223" t="n"/>
      <c r="D12" s="215">
        <f>N12*0.93</f>
        <v/>
      </c>
      <c r="E12" s="223" t="n"/>
      <c r="F12" s="220">
        <f>D12*1.3*1.105</f>
        <v/>
      </c>
      <c r="G12" s="219">
        <f>D12*1.3*1.105/0.9</f>
        <v/>
      </c>
      <c r="H12" s="220">
        <f>G12*1.21</f>
        <v/>
      </c>
      <c r="I12" s="215">
        <f>ROUND(H12/100,0)*100</f>
        <v/>
      </c>
      <c r="K12" s="236" t="n">
        <v>2917.53</v>
      </c>
      <c r="L12" s="257" t="n">
        <v>2625.78</v>
      </c>
      <c r="M12" s="257" t="n">
        <v>2479.9</v>
      </c>
      <c r="N12" s="257" t="n">
        <v>2334.02</v>
      </c>
    </row>
    <row r="13">
      <c r="A13" s="124" t="n">
        <v>903</v>
      </c>
      <c r="B13" s="223" t="inlineStr">
        <is>
          <t>Toallas Blancas Pura Doble</t>
        </is>
      </c>
      <c r="C13" s="223" t="n"/>
      <c r="D13" s="215">
        <f>N13*0.93</f>
        <v/>
      </c>
      <c r="E13" s="223" t="n"/>
      <c r="F13" s="220">
        <f>D13*1.3*1.105</f>
        <v/>
      </c>
      <c r="G13" s="219">
        <f>D13*1.3*1.105/0.9</f>
        <v/>
      </c>
      <c r="H13" s="220">
        <f>G13*1.21</f>
        <v/>
      </c>
      <c r="I13" s="215">
        <f>ROUND(H13/100,0)*100</f>
        <v/>
      </c>
      <c r="K13" s="236" t="n">
        <v>3635.54</v>
      </c>
      <c r="L13" s="257" t="n">
        <v>3271.99</v>
      </c>
      <c r="M13" s="257" t="n">
        <v>3090.21</v>
      </c>
      <c r="N13" s="257" t="n">
        <v>2908.43</v>
      </c>
    </row>
    <row r="14">
      <c r="A14" s="124" t="n">
        <v>914</v>
      </c>
      <c r="B14" s="223" t="inlineStr">
        <is>
          <t>Toalla Blanca Unitas (17,5x25 cm)</t>
        </is>
      </c>
      <c r="D14" s="215">
        <f>N14*0.93</f>
        <v/>
      </c>
      <c r="E14" s="223" t="n"/>
      <c r="F14" s="220">
        <f>D14*1.3*1.105</f>
        <v/>
      </c>
      <c r="G14" s="219">
        <f>D14*1.3*1.105/0.9</f>
        <v/>
      </c>
      <c r="H14" s="220">
        <f>G14*1.21</f>
        <v/>
      </c>
      <c r="I14" s="215">
        <f>ROUND(H14/100,0)*100</f>
        <v/>
      </c>
      <c r="K14" s="236" t="n">
        <v>2004.76</v>
      </c>
      <c r="L14" s="257" t="n">
        <v>1804.28</v>
      </c>
      <c r="M14" s="257" t="n">
        <v>1704.05</v>
      </c>
      <c r="N14" s="257" t="n">
        <v>1603.81</v>
      </c>
    </row>
    <row r="15">
      <c r="A15" s="124" t="n">
        <v>916</v>
      </c>
      <c r="B15" s="223" t="inlineStr">
        <is>
          <t>Toalla Blanca Especial 21 x 25 ( tiza )</t>
        </is>
      </c>
      <c r="D15" s="215">
        <f>N15*0.93</f>
        <v/>
      </c>
      <c r="E15" s="223" t="n"/>
      <c r="F15" s="220">
        <f>D15*1.3*1.105</f>
        <v/>
      </c>
      <c r="G15" s="219">
        <f>D15*1.3*1.105/0.9</f>
        <v/>
      </c>
      <c r="H15" s="220">
        <f>G15*1.21</f>
        <v/>
      </c>
      <c r="I15" s="215">
        <f>ROUND(H15/100,0)*100</f>
        <v/>
      </c>
      <c r="K15" s="236" t="n">
        <v>2453.69</v>
      </c>
      <c r="L15" s="257" t="n">
        <v>2208.32</v>
      </c>
      <c r="M15" s="257" t="n">
        <v>2085.64</v>
      </c>
      <c r="N15" s="257" t="n">
        <v>1962.95</v>
      </c>
    </row>
    <row r="16">
      <c r="A16" s="124" t="n">
        <v>920</v>
      </c>
      <c r="B16" s="223" t="inlineStr">
        <is>
          <t>Toalla Blanca Especial 21 x 37 ( tiza )</t>
        </is>
      </c>
      <c r="D16" s="215">
        <f>N16*0.93</f>
        <v/>
      </c>
      <c r="E16" s="223" t="n"/>
      <c r="F16" s="220">
        <f>D16*1.3*1.105</f>
        <v/>
      </c>
      <c r="G16" s="219">
        <f>D16*1.3*1.105/0.9</f>
        <v/>
      </c>
      <c r="H16" s="220">
        <f>G16*1.21</f>
        <v/>
      </c>
      <c r="I16" s="215">
        <f>ROUND(H16/100,0)*100</f>
        <v/>
      </c>
      <c r="K16" s="236" t="n">
        <v>3347.2</v>
      </c>
      <c r="L16" s="257" t="n">
        <v>3012.48</v>
      </c>
      <c r="M16" s="257" t="n">
        <v>2845.12</v>
      </c>
      <c r="N16" s="257" t="n">
        <v>2677.76</v>
      </c>
    </row>
    <row r="17">
      <c r="A17" s="124" t="n">
        <v>927</v>
      </c>
      <c r="B17" s="223" t="inlineStr">
        <is>
          <t>Toalla Blanca Especial 17,5 x 25 ( tiza ) Unita</t>
        </is>
      </c>
      <c r="D17" s="215">
        <f>N17*0.93</f>
        <v/>
      </c>
      <c r="E17" s="223" t="n"/>
      <c r="F17" s="220">
        <f>D17*1.3*1.105</f>
        <v/>
      </c>
      <c r="G17" s="219">
        <f>D17*1.3*1.105/0.9</f>
        <v/>
      </c>
      <c r="H17" s="220">
        <f>G17*1.21</f>
        <v/>
      </c>
      <c r="I17" s="215">
        <f>ROUND(H17/100,0)*100</f>
        <v/>
      </c>
      <c r="K17" s="236" t="n">
        <v>1923.41</v>
      </c>
      <c r="L17" s="257" t="n">
        <v>1731.07</v>
      </c>
      <c r="M17" s="257" t="n">
        <v>1634.9</v>
      </c>
      <c r="N17" s="257" t="n">
        <v>1538.73</v>
      </c>
    </row>
    <row r="18">
      <c r="A18" s="182" t="n">
        <v>928</v>
      </c>
      <c r="B18" s="224" t="inlineStr">
        <is>
          <t>Cajas x 2500 Toallas Beige 21x37</t>
        </is>
      </c>
      <c r="D18" s="227">
        <f>N18*0.93</f>
        <v/>
      </c>
      <c r="E18" s="224" t="n"/>
      <c r="F18" s="227">
        <f>D18*1.3*1.105</f>
        <v/>
      </c>
      <c r="G18" s="226">
        <f>D18*1.3*1.105/0.9</f>
        <v/>
      </c>
      <c r="H18" s="227">
        <f>G18*1.21</f>
        <v/>
      </c>
      <c r="I18" s="227">
        <f>ROUND(H18/100,0)*100</f>
        <v/>
      </c>
      <c r="J18" s="193" t="n"/>
      <c r="K18" s="261" t="n">
        <v>2834.81</v>
      </c>
      <c r="L18" s="263" t="n">
        <v>2551.33</v>
      </c>
      <c r="M18" s="263" t="n">
        <v>2409.59</v>
      </c>
      <c r="N18" s="263" t="n">
        <v>2267.85</v>
      </c>
    </row>
    <row r="19">
      <c r="A19" s="182" t="n">
        <v>930</v>
      </c>
      <c r="B19" s="224" t="inlineStr">
        <is>
          <t>Toalla Blanca Super 21x37 cm</t>
        </is>
      </c>
      <c r="C19" s="224" t="n"/>
      <c r="D19" s="227">
        <f>N19*0.93</f>
        <v/>
      </c>
      <c r="E19" s="224" t="n"/>
      <c r="F19" s="227">
        <f>D19*1.3*1.105</f>
        <v/>
      </c>
      <c r="G19" s="226">
        <f>D19*1.3*1.105/0.9</f>
        <v/>
      </c>
      <c r="H19" s="227">
        <f>G19*1.21</f>
        <v/>
      </c>
      <c r="I19" s="227">
        <f>ROUND(H19/100,0)*100</f>
        <v/>
      </c>
      <c r="J19" s="193" t="n"/>
      <c r="K19" s="261" t="n">
        <v>3618.07</v>
      </c>
      <c r="L19" s="263" t="n">
        <v>3256.26</v>
      </c>
      <c r="M19" s="263" t="n">
        <v>3075.36</v>
      </c>
      <c r="N19" s="263" t="n">
        <v>2894.46</v>
      </c>
    </row>
    <row r="20">
      <c r="A20" s="124" t="n">
        <v>931</v>
      </c>
      <c r="B20" s="223" t="inlineStr">
        <is>
          <t>Caja x 2500 Toallas Beige Unitas 17,5 cm x 25 cm</t>
        </is>
      </c>
      <c r="D20" s="215">
        <f>N20*0.93</f>
        <v/>
      </c>
      <c r="E20" s="223" t="n"/>
      <c r="F20" s="220">
        <f>D20*1.3*1.105</f>
        <v/>
      </c>
      <c r="G20" s="219">
        <f>D20*1.3*1.105/0.9</f>
        <v/>
      </c>
      <c r="H20" s="220">
        <f>G20*1.21</f>
        <v/>
      </c>
      <c r="I20" s="215">
        <f>ROUND(H20/100,0)*100</f>
        <v/>
      </c>
      <c r="K20" s="236" t="n">
        <v>1769.53</v>
      </c>
      <c r="L20" s="257" t="n">
        <v>1592.58</v>
      </c>
      <c r="M20" s="257" t="n">
        <v>1504.1</v>
      </c>
      <c r="N20" s="257" t="n">
        <v>1415.62</v>
      </c>
    </row>
    <row r="21">
      <c r="A21" s="182" t="n">
        <v>932</v>
      </c>
      <c r="B21" s="224" t="inlineStr">
        <is>
          <t>Caja x 2500 Toallas Beige 21 cm x 25 cm simple hoja</t>
        </is>
      </c>
      <c r="D21" s="227">
        <f>N21*0.93</f>
        <v/>
      </c>
      <c r="E21" s="224" t="n"/>
      <c r="F21" s="227">
        <f>D21*1.3*1.105</f>
        <v/>
      </c>
      <c r="G21" s="227">
        <f>D21*1.3*1.105/0.9</f>
        <v/>
      </c>
      <c r="H21" s="227">
        <f>G21*1.21</f>
        <v/>
      </c>
      <c r="I21" s="227">
        <f>ROUND(H21/100,0)*100</f>
        <v/>
      </c>
      <c r="J21" s="193" t="n"/>
      <c r="K21" s="261" t="n">
        <v>2017.62</v>
      </c>
      <c r="L21" s="263" t="n">
        <v>1815.86</v>
      </c>
      <c r="M21" s="263" t="n">
        <v>1714.98</v>
      </c>
      <c r="N21" s="263" t="n">
        <v>1614.1</v>
      </c>
    </row>
    <row r="22">
      <c r="A22" s="124" t="n"/>
      <c r="B22" s="223" t="n"/>
      <c r="C22" s="223" t="n"/>
      <c r="D22" s="215" t="n"/>
      <c r="E22" s="223" t="n"/>
      <c r="F22" s="222" t="n"/>
      <c r="G22" s="222" t="n"/>
      <c r="H22" s="222" t="n"/>
      <c r="I22" s="223" t="n"/>
      <c r="K22" s="200" t="n"/>
      <c r="L22" s="200" t="n"/>
      <c r="M22" s="200" t="n"/>
      <c r="N22" s="223" t="n"/>
    </row>
    <row r="23">
      <c r="A23" s="117" t="inlineStr">
        <is>
          <t>TOALLAS EN ROLLO</t>
        </is>
      </c>
      <c r="B23" s="271" t="n"/>
      <c r="C23" s="223" t="n"/>
      <c r="D23" s="215" t="n"/>
      <c r="E23" s="223" t="n"/>
      <c r="F23" s="222" t="n"/>
      <c r="G23" s="222" t="n"/>
      <c r="H23" s="222" t="n"/>
      <c r="I23" s="223" t="n"/>
      <c r="K23" s="200" t="n"/>
      <c r="L23" s="200" t="n"/>
      <c r="M23" s="200" t="n"/>
      <c r="N23" s="223" t="n"/>
    </row>
    <row r="24">
      <c r="A24" s="131" t="n"/>
      <c r="B24" s="111" t="n"/>
      <c r="C24" s="223" t="n"/>
      <c r="D24" s="215" t="n"/>
      <c r="E24" s="223" t="n"/>
      <c r="F24" s="222" t="n"/>
      <c r="G24" s="222" t="n"/>
      <c r="H24" s="222" t="n"/>
      <c r="I24" s="223" t="n"/>
      <c r="K24" s="200" t="n"/>
      <c r="L24" s="200" t="n"/>
      <c r="M24" s="200" t="n"/>
      <c r="N24" s="223" t="n"/>
    </row>
    <row r="25">
      <c r="A25" s="124" t="n">
        <v>204</v>
      </c>
      <c r="B25" s="223" t="inlineStr">
        <is>
          <t>Pack X 2 Rollos de toalla x 300 mts Blanca</t>
        </is>
      </c>
      <c r="D25" s="215">
        <f>N25*0.93</f>
        <v/>
      </c>
      <c r="E25" s="223" t="n"/>
      <c r="F25" s="218">
        <f>D25*1.3*1.105</f>
        <v/>
      </c>
      <c r="G25" s="219">
        <f>D25*1.3*1.105/0.9</f>
        <v/>
      </c>
      <c r="H25" s="220">
        <f>G25*1.21</f>
        <v/>
      </c>
      <c r="I25" s="215">
        <f>ROUND(H25/100,0)*100</f>
        <v/>
      </c>
      <c r="K25" s="238" t="n">
        <v>1940.16</v>
      </c>
      <c r="L25" s="256" t="n">
        <v>1746.14</v>
      </c>
      <c r="M25" s="256" t="n">
        <v>1649.14</v>
      </c>
      <c r="N25" s="256" t="n">
        <v>1552.13</v>
      </c>
    </row>
    <row r="26">
      <c r="A26" s="124" t="n">
        <v>205</v>
      </c>
      <c r="B26" s="223" t="inlineStr">
        <is>
          <t>Pack X 2 Rollos de toalla x 240 mts Blanca</t>
        </is>
      </c>
      <c r="D26" s="215">
        <f>N26*0.93</f>
        <v/>
      </c>
      <c r="E26" s="223" t="n"/>
      <c r="F26" s="218">
        <f>D26*1.3*1.105</f>
        <v/>
      </c>
      <c r="G26" s="219">
        <f>D26*1.3*1.105/0.9</f>
        <v/>
      </c>
      <c r="H26" s="220">
        <f>G26*1.21</f>
        <v/>
      </c>
      <c r="I26" s="215">
        <f>ROUND(H26/100,0)*100</f>
        <v/>
      </c>
      <c r="K26" s="236" t="n">
        <v>1546.23</v>
      </c>
      <c r="L26" s="257" t="n">
        <v>1391.61</v>
      </c>
      <c r="M26" s="257" t="n">
        <v>1314.3</v>
      </c>
      <c r="N26" s="257" t="n">
        <v>1236.98</v>
      </c>
    </row>
    <row r="27">
      <c r="A27" s="182" t="n">
        <v>116</v>
      </c>
      <c r="B27" s="224" t="inlineStr">
        <is>
          <t>Pack x 6 Rollos de Toallas x 200 mts. Blanca</t>
        </is>
      </c>
      <c r="D27" s="227">
        <f>N27*0.93</f>
        <v/>
      </c>
      <c r="E27" s="224" t="n"/>
      <c r="F27" s="228">
        <f>D27*1.3*1.105</f>
        <v/>
      </c>
      <c r="G27" s="226">
        <f>D27*1.3*1.105/0.9</f>
        <v/>
      </c>
      <c r="H27" s="227">
        <f>G27*1.21</f>
        <v/>
      </c>
      <c r="I27" s="227">
        <f>ROUND(H27/100,0)*100</f>
        <v/>
      </c>
      <c r="J27" s="193" t="n"/>
      <c r="K27" s="261" t="n">
        <v>3970.78</v>
      </c>
      <c r="L27" s="263" t="n">
        <v>3573.7</v>
      </c>
      <c r="M27" s="263" t="n">
        <v>3375.16</v>
      </c>
      <c r="N27" s="263" t="n">
        <v>3176.62</v>
      </c>
    </row>
    <row r="28">
      <c r="A28" s="124" t="n">
        <v>135</v>
      </c>
      <c r="B28" s="223" t="inlineStr">
        <is>
          <t>Recarga Original P/Dispenser Celmatic 2500 U. Dobles</t>
        </is>
      </c>
      <c r="D28" s="215">
        <f>N28*0.93</f>
        <v/>
      </c>
      <c r="E28" s="223" t="n"/>
      <c r="F28" s="218">
        <f>D28*1.3*1.105</f>
        <v/>
      </c>
      <c r="G28" s="219">
        <f>D28*1.3*1.105/0.9</f>
        <v/>
      </c>
      <c r="H28" s="220">
        <f>G28*1.21</f>
        <v/>
      </c>
      <c r="I28" s="215">
        <f>ROUND(H28/100,0)*100</f>
        <v/>
      </c>
      <c r="K28" s="236" t="n">
        <v>5103.66</v>
      </c>
      <c r="L28" s="257" t="n">
        <v>4593.29</v>
      </c>
      <c r="M28" s="257" t="n">
        <v>4338.11</v>
      </c>
      <c r="N28" s="257" t="n">
        <v>4082.93</v>
      </c>
    </row>
    <row r="29">
      <c r="A29" s="124" t="n">
        <v>136</v>
      </c>
      <c r="B29" s="223" t="inlineStr">
        <is>
          <t>Pack x 4 Recarga Celmatic Due 2400 U. Dobles</t>
        </is>
      </c>
      <c r="D29" s="215">
        <f>N29*0.93</f>
        <v/>
      </c>
      <c r="E29" s="223" t="n"/>
      <c r="F29" s="218">
        <f>D29*1.3*1.105</f>
        <v/>
      </c>
      <c r="G29" s="219">
        <f>D29*1.3*1.105/0.9</f>
        <v/>
      </c>
      <c r="H29" s="220">
        <f>G29*1.21</f>
        <v/>
      </c>
      <c r="I29" s="215">
        <f>ROUND(H29/100,0)*100</f>
        <v/>
      </c>
      <c r="K29" s="236" t="n">
        <v>3817.46</v>
      </c>
      <c r="L29" s="257" t="n">
        <v>3435.71</v>
      </c>
      <c r="M29" s="257" t="n">
        <v>3244.84</v>
      </c>
      <c r="N29" s="257" t="n">
        <v>3053.97</v>
      </c>
    </row>
    <row r="30">
      <c r="A30" s="124" t="n"/>
      <c r="B30" s="223" t="n"/>
      <c r="C30" s="223" t="n"/>
      <c r="D30" s="215" t="n"/>
      <c r="E30" s="223" t="n"/>
      <c r="F30" s="222" t="n"/>
      <c r="G30" s="222" t="n"/>
      <c r="H30" s="222" t="n"/>
      <c r="I30" s="223" t="n"/>
      <c r="K30" s="200" t="n"/>
      <c r="L30" s="200" t="n"/>
      <c r="M30" s="200" t="n"/>
      <c r="N30" s="200" t="n"/>
    </row>
    <row r="31">
      <c r="A31" s="117" t="inlineStr">
        <is>
          <t>CELSOFT</t>
        </is>
      </c>
      <c r="B31" s="158" t="inlineStr">
        <is>
          <t>Precios en Dolares</t>
        </is>
      </c>
      <c r="C31" s="223" t="n"/>
      <c r="D31" s="215" t="n"/>
      <c r="E31" s="223" t="n"/>
      <c r="F31" s="222" t="n"/>
      <c r="G31" s="222" t="n"/>
      <c r="H31" s="222" t="n"/>
      <c r="I31" s="223" t="n"/>
      <c r="K31" s="190" t="n"/>
      <c r="L31" s="190" t="n"/>
      <c r="M31" s="190" t="n"/>
      <c r="N31" s="264" t="n"/>
    </row>
    <row r="32">
      <c r="A32" s="131" t="n"/>
      <c r="B32" s="158" t="n"/>
      <c r="C32" s="223" t="n"/>
      <c r="D32" s="215" t="n"/>
      <c r="E32" s="223" t="n"/>
      <c r="F32" s="222" t="n"/>
      <c r="G32" s="222" t="n"/>
      <c r="H32" s="222" t="n"/>
      <c r="I32" s="223" t="n"/>
      <c r="K32" s="197" t="inlineStr">
        <is>
          <t>U$S</t>
        </is>
      </c>
      <c r="L32" s="190" t="n"/>
      <c r="M32" s="190" t="n"/>
      <c r="N32" s="265" t="n"/>
    </row>
    <row r="33">
      <c r="A33" s="182" t="n">
        <v>501</v>
      </c>
      <c r="B33" s="235" t="inlineStr">
        <is>
          <t>Pack x 2 rollos Cel-Soft de 22,5 x 150 mts</t>
        </is>
      </c>
      <c r="D33" s="227">
        <f>N33*0.93</f>
        <v/>
      </c>
      <c r="E33" s="224" t="n"/>
      <c r="F33" s="228">
        <f>D33*1.3*1.105</f>
        <v/>
      </c>
      <c r="G33" s="226">
        <f>D33*1.3*1.105/0.9</f>
        <v/>
      </c>
      <c r="H33" s="227">
        <f>G33*1.21</f>
        <v/>
      </c>
      <c r="I33" s="227">
        <f>ROUND(H33/100,0)*100</f>
        <v/>
      </c>
      <c r="J33" s="193" t="n"/>
      <c r="K33" s="258" t="n">
        <v>56.3</v>
      </c>
      <c r="L33" s="260" t="n">
        <v>50.68</v>
      </c>
      <c r="M33" s="260" t="n">
        <v>47.87</v>
      </c>
      <c r="N33" s="263" t="n">
        <v>45.06</v>
      </c>
    </row>
    <row r="34">
      <c r="A34" s="124" t="n">
        <v>505</v>
      </c>
      <c r="B34" s="223" t="inlineStr">
        <is>
          <t>Caja x 2000 U. Servilletas Cel-Soft 30 x 40 cm</t>
        </is>
      </c>
      <c r="D34" s="215">
        <f>N34*0.93</f>
        <v/>
      </c>
      <c r="E34" s="223" t="n"/>
      <c r="F34" s="218">
        <f>D34*1.3*1.105</f>
        <v/>
      </c>
      <c r="G34" s="219">
        <f>D34*1.3*1.105/0.9</f>
        <v/>
      </c>
      <c r="H34" s="220">
        <f>G34*1.21</f>
        <v/>
      </c>
      <c r="I34" s="215">
        <f>ROUND(H34/100,0)*100</f>
        <v/>
      </c>
      <c r="K34" s="236" t="n">
        <v>270.5</v>
      </c>
      <c r="L34" s="257" t="n">
        <v>243.45</v>
      </c>
      <c r="M34" s="257" t="n">
        <v>229.93</v>
      </c>
      <c r="N34" s="257" t="n">
        <v>216.4</v>
      </c>
    </row>
    <row r="35">
      <c r="A35" s="124" t="n">
        <v>506</v>
      </c>
      <c r="B35" s="223" t="inlineStr">
        <is>
          <t>Caja x 3500 Toallas Cel-Soft 21 x 25 cm Blancas</t>
        </is>
      </c>
      <c r="D35" s="215">
        <f>N35*0.93</f>
        <v/>
      </c>
      <c r="E35" s="223" t="n"/>
      <c r="F35" s="218">
        <f>D35*1.3*1.105</f>
        <v/>
      </c>
      <c r="G35" s="219">
        <f>D35*1.3*1.105/0.9</f>
        <v/>
      </c>
      <c r="H35" s="220">
        <f>G35*1.21</f>
        <v/>
      </c>
      <c r="I35" s="215">
        <f>ROUND(H35/100,0)*100</f>
        <v/>
      </c>
      <c r="K35" s="236" t="n">
        <v>151.4</v>
      </c>
      <c r="L35" s="257" t="n">
        <v>136.26</v>
      </c>
      <c r="M35" s="257" t="n">
        <v>128.69</v>
      </c>
      <c r="N35" s="257" t="n">
        <v>121.12</v>
      </c>
    </row>
    <row r="36">
      <c r="A36" s="182" t="n">
        <v>512</v>
      </c>
      <c r="B36" s="224" t="inlineStr">
        <is>
          <t>Caja x 2000 U. Servilletas Cel-Soft 30 x 25 cm</t>
        </is>
      </c>
      <c r="D36" s="227">
        <f>N36*0.93</f>
        <v/>
      </c>
      <c r="E36" s="224" t="n"/>
      <c r="F36" s="228">
        <f>D36*1.3*1.105</f>
        <v/>
      </c>
      <c r="G36" s="226">
        <f>D36*1.3*1.105/0.9</f>
        <v/>
      </c>
      <c r="H36" s="227">
        <f>G36*1.21</f>
        <v/>
      </c>
      <c r="I36" s="227">
        <f>ROUND(H36/100,0)*100</f>
        <v/>
      </c>
      <c r="J36" s="193" t="n"/>
      <c r="K36" s="261" t="n">
        <v>171.6</v>
      </c>
      <c r="L36" s="263" t="n">
        <v>154.44</v>
      </c>
      <c r="M36" s="263" t="n">
        <v>145.86</v>
      </c>
      <c r="N36" s="263" t="n">
        <v>137.28</v>
      </c>
    </row>
    <row r="37">
      <c r="A37" s="124" t="n">
        <v>514</v>
      </c>
      <c r="B37" s="223" t="inlineStr">
        <is>
          <t>Caja por 600 servilletas Celsoft 40x40 Victoria Ambra</t>
        </is>
      </c>
      <c r="D37" s="215">
        <f>N37*0.93</f>
        <v/>
      </c>
      <c r="E37" s="223" t="n"/>
      <c r="F37" s="218">
        <f>D37*1.3*1.105</f>
        <v/>
      </c>
      <c r="G37" s="219">
        <f>D37*1.3*1.105/0.9</f>
        <v/>
      </c>
      <c r="H37" s="220">
        <f>G37*1.21</f>
        <v/>
      </c>
      <c r="I37" s="215">
        <f>ROUND(H37/100,0)*100</f>
        <v/>
      </c>
      <c r="K37" s="236" t="n">
        <v>184.98</v>
      </c>
      <c r="L37" s="257" t="n">
        <v>166.48</v>
      </c>
      <c r="M37" s="257" t="n">
        <v>157.23</v>
      </c>
      <c r="N37" s="257" t="n">
        <v>147.98</v>
      </c>
    </row>
    <row r="38">
      <c r="A38" s="124" t="n">
        <v>515</v>
      </c>
      <c r="B38" s="223" t="inlineStr">
        <is>
          <t>Caja por 600 servilletas Celsoft 40x40 Victoria Nero</t>
        </is>
      </c>
      <c r="D38" s="215">
        <f>N38*0.93</f>
        <v/>
      </c>
      <c r="E38" s="223" t="n"/>
      <c r="F38" s="218">
        <f>D38*1.3*1.105</f>
        <v/>
      </c>
      <c r="G38" s="219">
        <f>D38*1.3*1.105/0.9</f>
        <v/>
      </c>
      <c r="H38" s="220">
        <f>G38*1.21</f>
        <v/>
      </c>
      <c r="I38" s="215">
        <f>ROUND(H38/100,0)*100</f>
        <v/>
      </c>
      <c r="K38" s="236" t="n">
        <v>184.98</v>
      </c>
      <c r="L38" s="257" t="n">
        <v>166.48</v>
      </c>
      <c r="M38" s="257" t="n">
        <v>157.23</v>
      </c>
      <c r="N38" s="257" t="n">
        <v>147.98</v>
      </c>
    </row>
    <row r="39">
      <c r="A39" s="124" t="n">
        <v>516</v>
      </c>
      <c r="B39" s="223" t="inlineStr">
        <is>
          <t>Caja por 600 servilletas Celsoft 40x40 Tasca Bordeaux</t>
        </is>
      </c>
      <c r="D39" s="215">
        <f>N39*0.93</f>
        <v/>
      </c>
      <c r="E39" s="223" t="n"/>
      <c r="F39" s="218">
        <f>D39*1.3*1.105</f>
        <v/>
      </c>
      <c r="G39" s="219">
        <f>D39*1.3*1.105/0.9</f>
        <v/>
      </c>
      <c r="H39" s="220">
        <f>G39*1.21</f>
        <v/>
      </c>
      <c r="I39" s="215">
        <f>ROUND(H39/100,0)*100</f>
        <v/>
      </c>
      <c r="K39" s="236" t="n">
        <v>217.63</v>
      </c>
      <c r="L39" s="257" t="n">
        <v>195.87</v>
      </c>
      <c r="M39" s="257" t="n">
        <v>184.99</v>
      </c>
      <c r="N39" s="257" t="n">
        <v>174.1</v>
      </c>
    </row>
    <row r="40">
      <c r="A40" s="124" t="n">
        <v>517</v>
      </c>
      <c r="B40" s="223" t="inlineStr">
        <is>
          <t>Caja por 600 servilletas Celsoft 40x40 Tasca Nero</t>
        </is>
      </c>
      <c r="D40" s="215">
        <f>N40*0.93</f>
        <v/>
      </c>
      <c r="E40" s="223" t="n"/>
      <c r="F40" s="218">
        <f>D40*1.3*1.105</f>
        <v/>
      </c>
      <c r="G40" s="219">
        <f>D40*1.3*1.105/0.9</f>
        <v/>
      </c>
      <c r="H40" s="220">
        <f>G40*1.21</f>
        <v/>
      </c>
      <c r="I40" s="215">
        <f>ROUND(H40/100,0)*100</f>
        <v/>
      </c>
      <c r="K40" s="236" t="n">
        <v>217.63</v>
      </c>
      <c r="L40" s="257" t="n">
        <v>195.87</v>
      </c>
      <c r="M40" s="257" t="n">
        <v>184.99</v>
      </c>
      <c r="N40" s="257" t="n">
        <v>174.1</v>
      </c>
    </row>
    <row r="41">
      <c r="A41" s="124" t="n">
        <v>518</v>
      </c>
      <c r="B41" s="223" t="inlineStr">
        <is>
          <t>Caja por 600 servilletas Celsoft 40x40 Tasca Lino Avorio</t>
        </is>
      </c>
      <c r="D41" s="215">
        <f>N41*0.93</f>
        <v/>
      </c>
      <c r="E41" s="223" t="n"/>
      <c r="F41" s="218">
        <f>D41*1.3*1.105</f>
        <v/>
      </c>
      <c r="G41" s="219">
        <f>D41*1.3*1.105/0.9</f>
        <v/>
      </c>
      <c r="H41" s="220">
        <f>G41*1.21</f>
        <v/>
      </c>
      <c r="I41" s="215">
        <f>ROUND(H41/100,0)*100</f>
        <v/>
      </c>
      <c r="K41" s="236" t="n">
        <v>184.98</v>
      </c>
      <c r="L41" s="257" t="n">
        <v>166.48</v>
      </c>
      <c r="M41" s="257" t="n">
        <v>157.23</v>
      </c>
      <c r="N41" s="257" t="n">
        <v>147.98</v>
      </c>
    </row>
    <row r="42">
      <c r="A42" s="124" t="n">
        <v>519</v>
      </c>
      <c r="B42" s="223" t="inlineStr">
        <is>
          <t>Caja por 600 servilletas Celsoft 40x40 Taca Iuta Grigio</t>
        </is>
      </c>
      <c r="D42" s="215">
        <f>N42*0.93</f>
        <v/>
      </c>
      <c r="E42" s="223" t="n"/>
      <c r="F42" s="218">
        <f>D42*1.3*1.105</f>
        <v/>
      </c>
      <c r="G42" s="219">
        <f>D42*1.3*1.105/0.9</f>
        <v/>
      </c>
      <c r="H42" s="220">
        <f>G42*1.21</f>
        <v/>
      </c>
      <c r="I42" s="215">
        <f>ROUND(H42/100,0)*100</f>
        <v/>
      </c>
      <c r="K42" s="236" t="n">
        <v>184.98</v>
      </c>
      <c r="L42" s="257" t="n">
        <v>166.48</v>
      </c>
      <c r="M42" s="257" t="n">
        <v>157.23</v>
      </c>
      <c r="N42" s="257" t="n">
        <v>147.98</v>
      </c>
    </row>
    <row r="43">
      <c r="A43" s="124" t="n">
        <v>520</v>
      </c>
      <c r="B43" s="223" t="inlineStr">
        <is>
          <t>Caja de servilletas Celsoft 40 x 40 SAMPLER 300 Unid</t>
        </is>
      </c>
      <c r="D43" s="215">
        <f>N43*0.93</f>
        <v/>
      </c>
      <c r="E43" s="223" t="n"/>
      <c r="F43" s="218">
        <f>D43*1.3*1.105</f>
        <v/>
      </c>
      <c r="G43" s="219">
        <f>D43*1.3*1.105/0.9</f>
        <v/>
      </c>
      <c r="H43" s="220">
        <f>G43*1.21</f>
        <v/>
      </c>
      <c r="I43" s="215">
        <f>ROUND(H43/100,0)*100</f>
        <v/>
      </c>
      <c r="K43" s="236" t="n">
        <v>97.91</v>
      </c>
      <c r="L43" s="257" t="n">
        <v>88.12</v>
      </c>
      <c r="M43" s="257" t="n">
        <v>83.22</v>
      </c>
      <c r="N43" s="257" t="n">
        <v>78.33</v>
      </c>
    </row>
    <row r="44">
      <c r="A44" s="124" t="n"/>
      <c r="B44" s="223" t="n"/>
      <c r="C44" s="223" t="n"/>
      <c r="D44" s="215" t="n"/>
      <c r="E44" s="223" t="n"/>
      <c r="F44" s="222" t="n"/>
      <c r="G44" s="222" t="n"/>
      <c r="H44" s="222" t="n"/>
      <c r="I44" s="223" t="n"/>
      <c r="K44" s="200" t="n"/>
      <c r="L44" s="200" t="n"/>
      <c r="M44" s="200" t="n"/>
      <c r="N44" s="200" t="n"/>
    </row>
    <row r="45">
      <c r="A45" s="142" t="inlineStr">
        <is>
          <t>PAPEL HIGIENICO</t>
        </is>
      </c>
      <c r="B45" s="271" t="n"/>
      <c r="C45" s="223" t="n"/>
      <c r="D45" s="215" t="n"/>
      <c r="E45" s="223" t="n"/>
      <c r="F45" s="222" t="n"/>
      <c r="G45" s="222" t="n"/>
      <c r="H45" s="222" t="n"/>
      <c r="I45" s="223" t="n"/>
      <c r="K45" s="200" t="n"/>
      <c r="L45" s="200" t="n"/>
      <c r="M45" s="200" t="n"/>
      <c r="N45" s="200" t="n"/>
    </row>
    <row r="46">
      <c r="A46" s="111" t="n"/>
      <c r="B46" s="223" t="n"/>
      <c r="C46" s="223" t="n"/>
      <c r="D46" s="215" t="n"/>
      <c r="E46" s="223" t="n"/>
      <c r="F46" s="222" t="n"/>
      <c r="G46" s="222" t="n"/>
      <c r="H46" s="222" t="n"/>
      <c r="I46" s="223" t="n"/>
      <c r="K46" s="200" t="n"/>
      <c r="L46" s="200" t="n"/>
      <c r="M46" s="200" t="n"/>
      <c r="N46" s="200" t="n"/>
    </row>
    <row r="47">
      <c r="A47" s="124" t="n">
        <v>211</v>
      </c>
      <c r="B47" s="223" t="inlineStr">
        <is>
          <t>Pack x18 Rollos Higienico Racional D/H x 60 mts</t>
        </is>
      </c>
      <c r="D47" s="215">
        <f>N47*0.93</f>
        <v/>
      </c>
      <c r="E47" s="223" t="n"/>
      <c r="F47" s="218">
        <f>D47*1.3*1.105</f>
        <v/>
      </c>
      <c r="G47" s="219">
        <f>D47*1.3*1.105/0.9</f>
        <v/>
      </c>
      <c r="H47" s="220">
        <f>G47*1.21</f>
        <v/>
      </c>
      <c r="I47" s="215">
        <f>ROUND(H47/100,0)*100</f>
        <v/>
      </c>
      <c r="K47" s="238" t="n">
        <v>2843.86</v>
      </c>
      <c r="L47" s="256" t="n">
        <v>2559.47</v>
      </c>
      <c r="M47" s="256" t="n">
        <v>2417.28</v>
      </c>
      <c r="N47" s="256" t="n">
        <v>2275.09</v>
      </c>
    </row>
    <row r="48">
      <c r="A48" s="124" t="n">
        <v>213</v>
      </c>
      <c r="B48" s="223" t="inlineStr">
        <is>
          <t>Pack x 4 Rollos Higienico Racional x 500 mts Buje 7,5</t>
        </is>
      </c>
      <c r="D48" s="215">
        <f>N48*0.93</f>
        <v/>
      </c>
      <c r="E48" s="223" t="n"/>
      <c r="F48" s="218">
        <f>D48*1.3*1.105</f>
        <v/>
      </c>
      <c r="G48" s="219">
        <f>D48*1.3*1.105/0.9</f>
        <v/>
      </c>
      <c r="H48" s="220">
        <f>G48*1.21</f>
        <v/>
      </c>
      <c r="I48" s="215">
        <f>ROUND(H48/100,0)*100</f>
        <v/>
      </c>
      <c r="K48" s="236" t="n">
        <v>2204.02</v>
      </c>
      <c r="L48" s="257" t="n">
        <v>1983.62</v>
      </c>
      <c r="M48" s="257" t="n">
        <v>1873.42</v>
      </c>
      <c r="N48" s="257" t="n">
        <v>1763.22</v>
      </c>
    </row>
    <row r="49">
      <c r="A49" s="182" t="n">
        <v>214</v>
      </c>
      <c r="B49" s="224" t="inlineStr">
        <is>
          <t>Pack x 18 rollos Papel Higienico Racional x 122 mts</t>
        </is>
      </c>
      <c r="D49" s="227">
        <f>N49*0.93</f>
        <v/>
      </c>
      <c r="E49" s="224" t="n"/>
      <c r="F49" s="228">
        <f>D49*1.3*1.105</f>
        <v/>
      </c>
      <c r="G49" s="226">
        <f>D49*1.3*1.105/0.9</f>
        <v/>
      </c>
      <c r="H49" s="227">
        <f>G49*1.21</f>
        <v/>
      </c>
      <c r="I49" s="227">
        <f>ROUND(H49/100,0)*100</f>
        <v/>
      </c>
      <c r="J49" s="193" t="n"/>
      <c r="K49" s="261" t="n">
        <v>2707.8</v>
      </c>
      <c r="L49" s="263" t="n">
        <v>2437.02</v>
      </c>
      <c r="M49" s="263" t="n">
        <v>2301.63</v>
      </c>
      <c r="N49" s="263" t="n">
        <v>2166.24</v>
      </c>
    </row>
    <row r="50">
      <c r="A50" s="124" t="n">
        <v>218</v>
      </c>
      <c r="B50" s="223" t="inlineStr">
        <is>
          <t>Pack x 8 rollos Higienico Racional x 265 mts buje 7,5</t>
        </is>
      </c>
      <c r="D50" s="215">
        <f>N50*0.93</f>
        <v/>
      </c>
      <c r="E50" s="223" t="n"/>
      <c r="F50" s="218">
        <f>D50*1.3*1.105</f>
        <v/>
      </c>
      <c r="G50" s="219">
        <f>D50*1.3*1.105/0.9</f>
        <v/>
      </c>
      <c r="H50" s="220">
        <f>G50*1.21</f>
        <v/>
      </c>
      <c r="I50" s="215">
        <f>ROUND(H50/100,0)*100</f>
        <v/>
      </c>
      <c r="K50" s="236" t="n">
        <v>2492.2</v>
      </c>
      <c r="L50" s="257" t="n">
        <v>2242.98</v>
      </c>
      <c r="M50" s="257" t="n">
        <v>2118.37</v>
      </c>
      <c r="N50" s="257" t="n">
        <v>1993.76</v>
      </c>
    </row>
    <row r="51">
      <c r="A51" s="182" t="n">
        <v>220</v>
      </c>
      <c r="B51" s="224" t="inlineStr">
        <is>
          <t>Pack x 8 Rollos Papel Higienico Racional x 300 mts</t>
        </is>
      </c>
      <c r="D51" s="227">
        <f>N51*0.93</f>
        <v/>
      </c>
      <c r="E51" s="224" t="n"/>
      <c r="F51" s="228">
        <f>D51*1.3*1.105</f>
        <v/>
      </c>
      <c r="G51" s="226">
        <f>D51*1.3*1.105/0.9</f>
        <v/>
      </c>
      <c r="H51" s="227">
        <f>G51*1.21</f>
        <v/>
      </c>
      <c r="I51" s="227">
        <f>ROUND(H51/100,0)*100</f>
        <v/>
      </c>
      <c r="J51" s="193" t="n"/>
      <c r="K51" s="261" t="n">
        <v>2839.93</v>
      </c>
      <c r="L51" s="263" t="n">
        <v>2555.94</v>
      </c>
      <c r="M51" s="263" t="n">
        <v>2413.94</v>
      </c>
      <c r="N51" s="263" t="n">
        <v>2271.94</v>
      </c>
    </row>
    <row r="52">
      <c r="A52" s="124" t="n">
        <v>222</v>
      </c>
      <c r="B52" s="223" t="inlineStr">
        <is>
          <t>Pack x 8 Rollos Papel Higienico x 260 mts Buje4,5</t>
        </is>
      </c>
      <c r="D52" s="215">
        <f>N52*0.93</f>
        <v/>
      </c>
      <c r="E52" s="223" t="n"/>
      <c r="F52" s="218">
        <f>D52*1.3*1.105</f>
        <v/>
      </c>
      <c r="G52" s="219">
        <f>D52*1.3*1.105/0.9</f>
        <v/>
      </c>
      <c r="H52" s="220">
        <f>G52*1.21</f>
        <v/>
      </c>
      <c r="I52" s="215">
        <f>ROUND(H52/100,0)*100</f>
        <v/>
      </c>
      <c r="K52" s="236" t="n">
        <v>2412.98</v>
      </c>
      <c r="L52" s="257" t="n">
        <v>2171.68</v>
      </c>
      <c r="M52" s="257" t="n">
        <v>2051.03</v>
      </c>
      <c r="N52" s="257" t="n">
        <v>1930.38</v>
      </c>
    </row>
    <row r="53">
      <c r="A53" s="182" t="n">
        <v>909</v>
      </c>
      <c r="B53" s="224" t="inlineStr">
        <is>
          <t>Papel Higiénico 20 x 14,5 8000 h. 4000 usos</t>
        </is>
      </c>
      <c r="D53" s="227">
        <f>N53*0.93</f>
        <v/>
      </c>
      <c r="E53" s="224" t="n"/>
      <c r="F53" s="228">
        <f>D53*1.3*1.105</f>
        <v/>
      </c>
      <c r="G53" s="226">
        <f>D53*1.3*1.105/0.9</f>
        <v/>
      </c>
      <c r="H53" s="227">
        <f>G53*1.21</f>
        <v/>
      </c>
      <c r="I53" s="227">
        <f>ROUND(H53/100,0)*100</f>
        <v/>
      </c>
      <c r="J53" s="193" t="n"/>
      <c r="K53" s="261" t="n">
        <v>3723.9</v>
      </c>
      <c r="L53" s="263" t="n">
        <v>3351.51</v>
      </c>
      <c r="M53" s="263" t="n">
        <v>3165.32</v>
      </c>
      <c r="N53" s="263" t="n">
        <v>2979.12</v>
      </c>
    </row>
    <row r="54">
      <c r="A54" s="124" t="n">
        <v>912</v>
      </c>
      <c r="B54" s="223" t="inlineStr">
        <is>
          <t>Papel Higienico UNITAS(18x14,5cm) 8000 h/4000 usos</t>
        </is>
      </c>
      <c r="D54" s="215">
        <f>N54*0.93</f>
        <v/>
      </c>
      <c r="E54" s="223" t="n"/>
      <c r="F54" s="218">
        <f>D54*1.3*1.105</f>
        <v/>
      </c>
      <c r="G54" s="219">
        <f>D54*1.3*1.105/0.9</f>
        <v/>
      </c>
      <c r="H54" s="220">
        <f>G54*1.21</f>
        <v/>
      </c>
      <c r="I54" s="215">
        <f>ROUND(H54/100,0)*100</f>
        <v/>
      </c>
      <c r="K54" s="236" t="n">
        <v>2991.87</v>
      </c>
      <c r="L54" s="257" t="n">
        <v>2692.68</v>
      </c>
      <c r="M54" s="257" t="n">
        <v>2543.09</v>
      </c>
      <c r="N54" s="257" t="n">
        <v>2393.5</v>
      </c>
    </row>
    <row r="55">
      <c r="A55" s="124" t="n"/>
      <c r="B55" s="223" t="n"/>
      <c r="C55" s="223" t="n"/>
      <c r="D55" s="215" t="n"/>
      <c r="E55" s="223" t="n"/>
      <c r="F55" s="222" t="n"/>
      <c r="G55" s="222" t="n"/>
      <c r="H55" s="222" t="n"/>
      <c r="I55" s="223" t="n"/>
      <c r="K55" s="200" t="n"/>
      <c r="L55" s="200" t="n"/>
      <c r="M55" s="200" t="n"/>
      <c r="N55" s="200" t="n"/>
    </row>
    <row r="56">
      <c r="A56" s="124" t="n"/>
      <c r="B56" s="210" t="n">
        <v>44748</v>
      </c>
      <c r="C56" s="223" t="n"/>
      <c r="D56" s="215" t="n"/>
      <c r="E56" s="223" t="n"/>
      <c r="F56" s="222" t="n"/>
      <c r="G56" s="222" t="n"/>
      <c r="H56" s="222" t="n"/>
      <c r="I56" s="223" t="n"/>
      <c r="K56" s="200" t="n"/>
      <c r="L56" s="200" t="n"/>
      <c r="M56" s="200" t="n"/>
      <c r="N56" s="200" t="n"/>
    </row>
    <row r="57">
      <c r="A57" s="124" t="n"/>
      <c r="B57" s="223" t="n"/>
      <c r="C57" s="223" t="n"/>
      <c r="D57" s="215" t="n"/>
      <c r="E57" s="223" t="n"/>
      <c r="F57" s="222" t="n"/>
      <c r="G57" s="222" t="n"/>
      <c r="H57" s="222" t="n"/>
      <c r="I57" s="223" t="n"/>
      <c r="K57" s="200" t="n"/>
      <c r="L57" s="200" t="n"/>
      <c r="M57" s="200" t="n"/>
      <c r="N57" s="200" t="n"/>
    </row>
    <row r="58">
      <c r="A58" s="117" t="inlineStr">
        <is>
          <t>CAMILLEROS</t>
        </is>
      </c>
      <c r="B58" s="223" t="n"/>
      <c r="C58" s="223" t="n"/>
      <c r="D58" s="215" t="n"/>
      <c r="E58" s="223" t="n"/>
      <c r="F58" s="222" t="n"/>
      <c r="G58" s="222" t="n"/>
      <c r="H58" s="222" t="n"/>
      <c r="I58" s="223" t="n"/>
      <c r="K58" s="200" t="n"/>
      <c r="L58" s="200" t="n"/>
      <c r="M58" s="200" t="n"/>
      <c r="N58" s="200" t="n"/>
    </row>
    <row r="59">
      <c r="A59" s="131" t="n"/>
      <c r="B59" s="223" t="n"/>
      <c r="C59" s="223" t="n"/>
      <c r="D59" s="215" t="n"/>
      <c r="E59" s="223" t="n"/>
      <c r="F59" s="222" t="n"/>
      <c r="G59" s="222" t="n"/>
      <c r="H59" s="222" t="n"/>
      <c r="I59" s="223" t="n"/>
      <c r="K59" s="200" t="n"/>
      <c r="L59" s="200" t="n"/>
      <c r="M59" s="200" t="n"/>
      <c r="N59" s="200" t="n"/>
    </row>
    <row r="60">
      <c r="A60" s="182" t="n">
        <v>301</v>
      </c>
      <c r="B60" s="224" t="inlineStr">
        <is>
          <t>Pack x 2 Rollos Camilleros bco s/h 54x100mts Prec</t>
        </is>
      </c>
      <c r="D60" s="227" t="n">
        <v>1927.48</v>
      </c>
      <c r="E60" s="193" t="n"/>
      <c r="F60" s="228">
        <f>D60*1.3*1.105</f>
        <v/>
      </c>
      <c r="G60" s="226">
        <f>D60*1.3*1.105/0.9</f>
        <v/>
      </c>
      <c r="H60" s="227">
        <f>G60*1.21</f>
        <v/>
      </c>
      <c r="I60" s="227">
        <f>ROUND(H60/100,0)*100</f>
        <v/>
      </c>
      <c r="J60" s="193" t="n"/>
      <c r="K60" s="258" t="n">
        <v>2999.51</v>
      </c>
      <c r="L60" s="260" t="n">
        <v>2699.56</v>
      </c>
      <c r="M60" s="260" t="n">
        <v>2549.58</v>
      </c>
      <c r="N60" s="260" t="n">
        <v>2399.61</v>
      </c>
    </row>
    <row r="61">
      <c r="A61" s="124" t="n"/>
      <c r="B61" s="155" t="n"/>
      <c r="C61" s="223" t="n"/>
      <c r="D61" s="215" t="n"/>
      <c r="E61" s="223" t="n"/>
      <c r="F61" s="222" t="n"/>
      <c r="G61" s="222" t="n"/>
      <c r="H61" s="222" t="n"/>
      <c r="I61" s="223" t="n"/>
      <c r="K61" s="200" t="n"/>
      <c r="L61" s="200" t="n"/>
      <c r="M61" s="200" t="n"/>
      <c r="N61" s="200" t="n"/>
    </row>
    <row r="62">
      <c r="A62" s="142" t="inlineStr">
        <is>
          <t>DISPENSERS</t>
        </is>
      </c>
      <c r="B62" s="223" t="n"/>
      <c r="C62" s="223" t="n"/>
      <c r="D62" s="215" t="n"/>
      <c r="E62" s="223" t="n"/>
      <c r="F62" s="222" t="n"/>
      <c r="G62" s="222" t="n"/>
      <c r="H62" s="222" t="n"/>
      <c r="I62" s="223" t="n"/>
      <c r="K62" s="200" t="n"/>
      <c r="L62" s="200" t="n"/>
      <c r="M62" s="200" t="n"/>
      <c r="N62" s="200" t="n"/>
    </row>
    <row r="63">
      <c r="A63" s="111" t="n"/>
      <c r="B63" s="223" t="n"/>
      <c r="C63" s="223" t="n"/>
      <c r="D63" s="215" t="n"/>
      <c r="E63" s="223" t="n"/>
      <c r="F63" s="222" t="n"/>
      <c r="G63" s="222" t="n"/>
      <c r="H63" s="222" t="n"/>
      <c r="I63" s="223" t="n"/>
      <c r="K63" s="200" t="n"/>
      <c r="L63" s="200" t="n"/>
      <c r="M63" s="200" t="n"/>
      <c r="N63" s="200" t="n"/>
    </row>
    <row r="64">
      <c r="A64" s="124" t="n">
        <v>403</v>
      </c>
      <c r="B64" s="223" t="inlineStr">
        <is>
          <t>Portabobina de Pared</t>
        </is>
      </c>
      <c r="C64" s="223" t="n"/>
      <c r="D64" s="215">
        <f>N64*0.93</f>
        <v/>
      </c>
      <c r="E64" s="223" t="n"/>
      <c r="F64" s="218">
        <f>D64*1.3*1.105</f>
        <v/>
      </c>
      <c r="G64" s="219">
        <f>D64*1.3*1.105/0.9</f>
        <v/>
      </c>
      <c r="H64" s="220">
        <f>G64*1.21</f>
        <v/>
      </c>
      <c r="I64" s="215">
        <f>ROUND(H64/100,0)*100</f>
        <v/>
      </c>
      <c r="K64" s="238" t="n">
        <v>4878</v>
      </c>
      <c r="L64" s="256" t="n">
        <v>4390.2</v>
      </c>
      <c r="M64" s="256" t="n">
        <v>4146.3</v>
      </c>
      <c r="N64" s="256" t="n">
        <v>3902.4</v>
      </c>
    </row>
    <row r="65">
      <c r="A65" s="124" t="n">
        <v>404</v>
      </c>
      <c r="B65" s="223" t="inlineStr">
        <is>
          <t>Portarollo para Camilla</t>
        </is>
      </c>
      <c r="C65" s="223" t="n"/>
      <c r="D65" s="215">
        <f>N65*0.93</f>
        <v/>
      </c>
      <c r="E65" s="223" t="n"/>
      <c r="F65" s="218">
        <f>D65*1.3*1.105</f>
        <v/>
      </c>
      <c r="G65" s="219">
        <f>D65*1.3*1.105/0.9</f>
        <v/>
      </c>
      <c r="H65" s="220">
        <f>G65*1.21</f>
        <v/>
      </c>
      <c r="I65" s="215">
        <f>ROUND(H65/100,0)*100</f>
        <v/>
      </c>
      <c r="K65" s="236" t="n">
        <v>6731.4</v>
      </c>
      <c r="L65" s="257" t="n">
        <v>6058.26</v>
      </c>
      <c r="M65" s="257" t="n">
        <v>5721.69</v>
      </c>
      <c r="N65" s="257" t="n">
        <v>5385.12</v>
      </c>
    </row>
    <row r="66">
      <c r="A66" s="124" t="n">
        <v>418</v>
      </c>
      <c r="B66" s="223" t="inlineStr">
        <is>
          <t>Portabobina de Piso</t>
        </is>
      </c>
      <c r="C66" s="223" t="n"/>
      <c r="D66" s="215">
        <f>N66*0.93</f>
        <v/>
      </c>
      <c r="E66" s="223" t="n"/>
      <c r="F66" s="218">
        <f>D66*1.3*1.105</f>
        <v/>
      </c>
      <c r="G66" s="219">
        <f>D66*1.3*1.105/0.9</f>
        <v/>
      </c>
      <c r="H66" s="220">
        <f>G66*1.21</f>
        <v/>
      </c>
      <c r="I66" s="215">
        <f>ROUND(H66/100,0)*100</f>
        <v/>
      </c>
      <c r="K66" s="236" t="n">
        <v>5365.66</v>
      </c>
      <c r="L66" s="257" t="n">
        <v>4829.09</v>
      </c>
      <c r="M66" s="257" t="n">
        <v>4560.81</v>
      </c>
      <c r="N66" s="257" t="n">
        <v>4292.53</v>
      </c>
    </row>
    <row r="67">
      <c r="A67" s="124" t="n">
        <v>422</v>
      </c>
      <c r="B67" s="223" t="inlineStr">
        <is>
          <t>Dispenser Celmatic Due</t>
        </is>
      </c>
      <c r="C67" s="223" t="n"/>
      <c r="D67" s="215">
        <f>N67*0.93</f>
        <v/>
      </c>
      <c r="E67" s="223" t="n"/>
      <c r="F67" s="218">
        <f>D67*1.3*1.105</f>
        <v/>
      </c>
      <c r="G67" s="219">
        <f>D67*1.3*1.105/0.9</f>
        <v/>
      </c>
      <c r="H67" s="220">
        <f>G67*1.21</f>
        <v/>
      </c>
      <c r="I67" s="215">
        <f>ROUND(H67/100,0)*100</f>
        <v/>
      </c>
      <c r="K67" s="236" t="n">
        <v>6871.43</v>
      </c>
      <c r="L67" s="257" t="n">
        <v>6184.29</v>
      </c>
      <c r="M67" s="257" t="n">
        <v>5840.72</v>
      </c>
      <c r="N67" s="257" t="n">
        <v>5497.14</v>
      </c>
    </row>
    <row r="68">
      <c r="A68" s="124" t="n">
        <v>424</v>
      </c>
      <c r="B68" s="223" t="inlineStr">
        <is>
          <t>Costo Comodato Disp. Papel Rollo Celmatic</t>
        </is>
      </c>
      <c r="D68" s="215">
        <f>N68*0.93</f>
        <v/>
      </c>
      <c r="E68" s="223" t="n"/>
      <c r="F68" s="218">
        <f>D68*1.3*1.105</f>
        <v/>
      </c>
      <c r="G68" s="219">
        <f>D68*1.3*1.105/0.9</f>
        <v/>
      </c>
      <c r="H68" s="220">
        <f>G68*1.21</f>
        <v/>
      </c>
      <c r="I68" s="215">
        <f>ROUND(H68/100,0)*100</f>
        <v/>
      </c>
      <c r="K68" s="236" t="n">
        <v>8073.46</v>
      </c>
      <c r="L68" s="257" t="n">
        <v>8073.46</v>
      </c>
      <c r="M68" s="257" t="n">
        <v>8073.46</v>
      </c>
      <c r="N68" s="257" t="n">
        <v>8073.46</v>
      </c>
    </row>
    <row r="69">
      <c r="A69" s="124" t="n">
        <v>425</v>
      </c>
      <c r="B69" s="223" t="inlineStr">
        <is>
          <t>Dosificador para Jabón Líquido Recargable</t>
        </is>
      </c>
      <c r="D69" s="215">
        <f>N69*0.93</f>
        <v/>
      </c>
      <c r="E69" s="223" t="n"/>
      <c r="F69" s="218">
        <f>D69*1.3*1.105</f>
        <v/>
      </c>
      <c r="G69" s="219">
        <f>D69*1.3*1.105/0.9</f>
        <v/>
      </c>
      <c r="H69" s="220">
        <f>G69*1.21</f>
        <v/>
      </c>
      <c r="I69" s="215">
        <f>ROUND(H69/100,0)*100</f>
        <v/>
      </c>
      <c r="K69" s="236" t="n">
        <v>2578.92</v>
      </c>
      <c r="L69" s="257" t="n">
        <v>2321.03</v>
      </c>
      <c r="M69" s="257" t="n">
        <v>2192.08</v>
      </c>
      <c r="N69" s="257" t="n">
        <v>2063.14</v>
      </c>
    </row>
    <row r="70">
      <c r="A70" s="124" t="n">
        <v>427</v>
      </c>
      <c r="B70" s="223" t="inlineStr">
        <is>
          <t>Dispenser Para Papel Higienico Racional 350</t>
        </is>
      </c>
      <c r="D70" s="215">
        <f>N70*0.93</f>
        <v/>
      </c>
      <c r="E70" s="223" t="n"/>
      <c r="F70" s="218">
        <f>D70*1.3*1.105</f>
        <v/>
      </c>
      <c r="G70" s="219">
        <f>D70*1.3*1.105/0.9</f>
        <v/>
      </c>
      <c r="H70" s="220">
        <f>G70*1.21</f>
        <v/>
      </c>
      <c r="I70" s="215">
        <f>ROUND(H70/100,0)*100</f>
        <v/>
      </c>
      <c r="K70" s="236" t="n">
        <v>3150.09</v>
      </c>
      <c r="L70" s="257" t="n">
        <v>2835.08</v>
      </c>
      <c r="M70" s="257" t="n">
        <v>2677.58</v>
      </c>
      <c r="N70" s="257" t="n">
        <v>2520.07</v>
      </c>
    </row>
    <row r="71">
      <c r="A71" s="124" t="n">
        <v>428</v>
      </c>
      <c r="B71" s="223" t="inlineStr">
        <is>
          <t>Dispenser para Papel Higiénico</t>
        </is>
      </c>
      <c r="C71" s="223" t="n"/>
      <c r="D71" s="215">
        <f>N71*0.93</f>
        <v/>
      </c>
      <c r="E71" s="223" t="n"/>
      <c r="F71" s="218">
        <f>D71*1.3*1.105</f>
        <v/>
      </c>
      <c r="G71" s="219">
        <f>D71*1.3*1.105/0.9</f>
        <v/>
      </c>
      <c r="H71" s="220">
        <f>G71*1.21</f>
        <v/>
      </c>
      <c r="I71" s="215">
        <f>ROUND(H71/100,0)*100</f>
        <v/>
      </c>
      <c r="K71" s="236" t="n">
        <v>3602.54</v>
      </c>
      <c r="L71" s="257" t="n">
        <v>3242.29</v>
      </c>
      <c r="M71" s="257" t="n">
        <v>3062.16</v>
      </c>
      <c r="N71" s="257" t="n">
        <v>2882.03</v>
      </c>
    </row>
    <row r="72">
      <c r="A72" s="124" t="n">
        <v>429</v>
      </c>
      <c r="B72" s="223" t="inlineStr">
        <is>
          <t>Dispenser para Toallas de Papel</t>
        </is>
      </c>
      <c r="C72" s="223" t="n"/>
      <c r="D72" s="215">
        <f>N72*0.93</f>
        <v/>
      </c>
      <c r="E72" s="223" t="n"/>
      <c r="F72" s="218">
        <f>D72*1.3*1.105</f>
        <v/>
      </c>
      <c r="G72" s="219">
        <f>D72*1.3*1.105/0.9</f>
        <v/>
      </c>
      <c r="H72" s="220">
        <f>G72*1.21</f>
        <v/>
      </c>
      <c r="I72" s="215">
        <f>ROUND(H72/100,0)*100</f>
        <v/>
      </c>
      <c r="K72" s="236" t="n">
        <v>2584.58</v>
      </c>
      <c r="L72" s="257" t="n">
        <v>2326.12</v>
      </c>
      <c r="M72" s="257" t="n">
        <v>2196.89</v>
      </c>
      <c r="N72" s="257" t="n">
        <v>2067.66</v>
      </c>
    </row>
    <row r="73">
      <c r="A73" s="124" t="n">
        <v>430</v>
      </c>
      <c r="B73" s="223" t="inlineStr">
        <is>
          <t>Dispenser Para Papel Higienico Racional 600</t>
        </is>
      </c>
      <c r="D73" s="215">
        <f>N73*0.93</f>
        <v/>
      </c>
      <c r="E73" s="223" t="n"/>
      <c r="F73" s="218">
        <f>D73*1.3*1.105</f>
        <v/>
      </c>
      <c r="G73" s="219">
        <f>D73*1.3*1.105/0.9</f>
        <v/>
      </c>
      <c r="H73" s="220">
        <f>G73*1.21</f>
        <v/>
      </c>
      <c r="I73" s="215">
        <f>ROUND(H73/100,0)*100</f>
        <v/>
      </c>
      <c r="K73" s="236" t="n">
        <v>5071.16</v>
      </c>
      <c r="L73" s="257" t="n">
        <v>4564.04</v>
      </c>
      <c r="M73" s="257" t="n">
        <v>4310.49</v>
      </c>
      <c r="N73" s="257" t="n">
        <v>4056.93</v>
      </c>
    </row>
    <row r="74">
      <c r="A74" s="124" t="n"/>
      <c r="B74" s="223" t="n"/>
      <c r="C74" s="223" t="n"/>
      <c r="D74" s="215" t="n"/>
      <c r="E74" s="223" t="n"/>
      <c r="F74" s="222" t="n"/>
      <c r="G74" s="222" t="n"/>
      <c r="H74" s="222" t="n"/>
      <c r="I74" s="223" t="n"/>
      <c r="K74" s="200" t="n"/>
      <c r="L74" s="200" t="n"/>
      <c r="M74" s="200" t="n"/>
      <c r="N74" s="200" t="n"/>
    </row>
    <row r="75">
      <c r="A75" s="124" t="n"/>
      <c r="B75" s="223" t="n"/>
      <c r="C75" s="223" t="n"/>
      <c r="D75" s="215" t="n"/>
      <c r="E75" s="223" t="n"/>
      <c r="F75" s="222" t="n"/>
      <c r="G75" s="222" t="n"/>
      <c r="H75" s="222" t="n"/>
      <c r="I75" s="223" t="n"/>
      <c r="K75" s="200" t="n"/>
      <c r="L75" s="200" t="n"/>
      <c r="M75" s="200" t="n"/>
      <c r="N75" s="200" t="n"/>
    </row>
    <row r="76">
      <c r="A76" s="124" t="n"/>
      <c r="B76" s="223" t="n"/>
      <c r="C76" s="223" t="n"/>
      <c r="D76" s="215" t="n"/>
      <c r="E76" s="223" t="n"/>
      <c r="F76" s="222" t="n"/>
      <c r="G76" s="222" t="n"/>
      <c r="H76" s="222" t="n"/>
      <c r="I76" s="223" t="n"/>
      <c r="K76" s="200" t="n"/>
      <c r="L76" s="200" t="n"/>
      <c r="M76" s="200" t="n"/>
      <c r="N76" s="200" t="n"/>
    </row>
    <row r="77">
      <c r="A77" s="117" t="inlineStr">
        <is>
          <t>LIMPIEZA INDUSTRIAL</t>
        </is>
      </c>
      <c r="B77" s="271" t="n"/>
      <c r="C77" s="223" t="n"/>
      <c r="D77" s="215" t="n"/>
      <c r="E77" s="223" t="n"/>
      <c r="F77" s="222" t="n"/>
      <c r="G77" s="222" t="n"/>
      <c r="H77" s="222" t="n"/>
      <c r="I77" s="223" t="n"/>
      <c r="K77" s="200" t="n"/>
      <c r="L77" s="200" t="n"/>
      <c r="M77" s="200" t="n"/>
      <c r="N77" s="200" t="n"/>
    </row>
    <row r="78">
      <c r="A78" s="131" t="n"/>
      <c r="B78" s="223" t="n"/>
      <c r="C78" s="223" t="n"/>
      <c r="D78" s="215" t="n"/>
      <c r="E78" s="223" t="n"/>
      <c r="F78" s="222" t="n"/>
      <c r="G78" s="222" t="n"/>
      <c r="H78" s="222" t="n"/>
      <c r="I78" s="223" t="n"/>
      <c r="K78" s="200" t="n"/>
      <c r="L78" s="200" t="n"/>
      <c r="M78" s="200" t="n"/>
      <c r="N78" s="200" t="n"/>
    </row>
    <row r="79">
      <c r="A79" s="182" t="n">
        <v>101</v>
      </c>
      <c r="B79" s="224" t="inlineStr">
        <is>
          <t>Pack x 6 bobinas 22,5 cm x 300 porciones</t>
        </is>
      </c>
      <c r="D79" s="227">
        <f>N79*0.93</f>
        <v/>
      </c>
      <c r="E79" s="224" t="n"/>
      <c r="F79" s="228">
        <f>D79*1.3*1.105</f>
        <v/>
      </c>
      <c r="G79" s="226">
        <f>D79*1.3*1.105/0.9</f>
        <v/>
      </c>
      <c r="H79" s="227">
        <f>G79*1.21</f>
        <v/>
      </c>
      <c r="I79" s="227">
        <f>ROUND(H79/100,0)*100</f>
        <v/>
      </c>
      <c r="J79" s="193" t="n"/>
      <c r="K79" s="258" t="n">
        <v>3876.81</v>
      </c>
      <c r="L79" s="260" t="n">
        <v>3489.13</v>
      </c>
      <c r="M79" s="260" t="n">
        <v>3295.29</v>
      </c>
      <c r="N79" s="260" t="n">
        <v>3101.45</v>
      </c>
    </row>
    <row r="80">
      <c r="A80" s="124" t="n">
        <v>109</v>
      </c>
      <c r="B80" s="223" t="inlineStr">
        <is>
          <t>Pack x 2 bobinas papel original 22,5 cm x 270 mts</t>
        </is>
      </c>
      <c r="D80" s="215">
        <f>N80*0.93</f>
        <v/>
      </c>
      <c r="E80" s="223" t="n"/>
      <c r="F80" s="218">
        <f>D80*1.3*1.105</f>
        <v/>
      </c>
      <c r="G80" s="219">
        <f>D80*1.3*1.105/0.9</f>
        <v/>
      </c>
      <c r="H80" s="220">
        <f>G80*1.21</f>
        <v/>
      </c>
      <c r="I80" s="215">
        <f>ROUND(H80/100,0)*100</f>
        <v/>
      </c>
      <c r="K80" s="236" t="n">
        <v>3025.97</v>
      </c>
      <c r="L80" s="257" t="n">
        <v>2723.37</v>
      </c>
      <c r="M80" s="257" t="n">
        <v>2572.07</v>
      </c>
      <c r="N80" s="257" t="n">
        <v>2420.78</v>
      </c>
    </row>
    <row r="81">
      <c r="A81" s="182" t="n">
        <v>123</v>
      </c>
      <c r="B81" s="224" t="inlineStr">
        <is>
          <t>Pack x 2 bobinas Papel Original 900 hjs/360 mts.</t>
        </is>
      </c>
      <c r="D81" s="227">
        <f>N81*0.93</f>
        <v/>
      </c>
      <c r="E81" s="224" t="n"/>
      <c r="F81" s="228">
        <f>D81*1.3*1.105</f>
        <v/>
      </c>
      <c r="G81" s="226">
        <f>D81*1.3*1.105/0.9</f>
        <v/>
      </c>
      <c r="H81" s="227">
        <f>G81*1.21</f>
        <v/>
      </c>
      <c r="I81" s="227">
        <f>ROUND(H81/100,0)*100</f>
        <v/>
      </c>
      <c r="J81" s="193" t="n"/>
      <c r="K81" s="261" t="n">
        <v>4444.91</v>
      </c>
      <c r="L81" s="263" t="n">
        <v>4000.42</v>
      </c>
      <c r="M81" s="263" t="n">
        <v>3778.17</v>
      </c>
      <c r="N81" s="263" t="n">
        <v>3555.93</v>
      </c>
    </row>
    <row r="82">
      <c r="A82" s="124" t="n">
        <v>809</v>
      </c>
      <c r="B82" s="223" t="inlineStr">
        <is>
          <t>Pack x 4 Rollos 600 porc 25x25 Rep Tambo</t>
        </is>
      </c>
      <c r="D82" s="215">
        <f>N82*0.93</f>
        <v/>
      </c>
      <c r="E82" s="223" t="n"/>
      <c r="F82" s="218">
        <f>D82*1.3*1.105</f>
        <v/>
      </c>
      <c r="G82" s="219">
        <f>D82*1.3*1.105/0.9</f>
        <v/>
      </c>
      <c r="H82" s="220">
        <f>G82*1.21</f>
        <v/>
      </c>
      <c r="I82" s="215">
        <f>ROUND(H82/100,0)*100</f>
        <v/>
      </c>
      <c r="K82" s="236" t="n">
        <v>4617.46</v>
      </c>
      <c r="L82" s="257" t="n">
        <v>4155.71</v>
      </c>
      <c r="M82" s="257" t="n">
        <v>3924.84</v>
      </c>
      <c r="N82" s="257" t="n">
        <v>3693.97</v>
      </c>
    </row>
    <row r="83">
      <c r="A83" s="124" t="n"/>
      <c r="B83" s="223" t="n"/>
      <c r="C83" s="223" t="n"/>
      <c r="D83" s="215" t="n"/>
      <c r="E83" s="223" t="n"/>
      <c r="F83" s="222" t="n"/>
      <c r="G83" s="222" t="n"/>
      <c r="H83" s="222" t="n"/>
      <c r="I83" s="223" t="n"/>
      <c r="K83" s="200" t="n"/>
      <c r="L83" s="200" t="n"/>
      <c r="M83" s="200" t="n"/>
      <c r="N83" s="200" t="n"/>
    </row>
    <row r="84">
      <c r="A84" s="124" t="n"/>
      <c r="B84" s="223" t="n"/>
      <c r="C84" s="223" t="n"/>
      <c r="D84" s="215" t="n"/>
      <c r="E84" s="223" t="n"/>
      <c r="F84" s="222" t="n"/>
      <c r="G84" s="222" t="n"/>
      <c r="H84" s="222" t="n"/>
      <c r="I84" s="223" t="n"/>
      <c r="K84" s="200" t="n"/>
      <c r="L84" s="200" t="n"/>
      <c r="M84" s="200" t="n"/>
      <c r="N84" s="200" t="n"/>
    </row>
    <row r="85">
      <c r="A85" s="117" t="inlineStr">
        <is>
          <t>PAÑOS DE LIMPIEZA DE ALTA PERFORMANCE</t>
        </is>
      </c>
      <c r="B85" s="223" t="n"/>
      <c r="C85" s="223" t="n"/>
      <c r="D85" s="215" t="n"/>
      <c r="E85" s="223" t="n"/>
      <c r="F85" s="222" t="n"/>
      <c r="G85" s="222" t="n"/>
      <c r="H85" s="222" t="n"/>
      <c r="I85" s="223" t="n"/>
      <c r="K85" s="200" t="n"/>
      <c r="L85" s="200" t="n"/>
      <c r="M85" s="200" t="n"/>
      <c r="N85" s="200" t="n"/>
    </row>
    <row r="86">
      <c r="A86" s="131" t="n"/>
      <c r="B86" s="223" t="n"/>
      <c r="C86" s="223" t="n"/>
      <c r="D86" s="215" t="n"/>
      <c r="E86" s="223" t="n"/>
      <c r="F86" s="222" t="n"/>
      <c r="G86" s="222" t="n"/>
      <c r="H86" s="222" t="n"/>
      <c r="I86" s="223" t="n"/>
      <c r="K86" s="200" t="n"/>
      <c r="L86" s="200" t="n"/>
      <c r="M86" s="200" t="n"/>
      <c r="N86" s="200" t="n"/>
    </row>
    <row r="87">
      <c r="A87" s="157" t="inlineStr">
        <is>
          <t>Linea Softclean</t>
        </is>
      </c>
      <c r="C87" s="158" t="n"/>
      <c r="D87" s="215" t="n"/>
      <c r="E87" s="223" t="n"/>
      <c r="F87" s="222" t="n"/>
      <c r="G87" s="222" t="n"/>
      <c r="H87" s="222" t="n"/>
      <c r="I87" s="223" t="n"/>
      <c r="K87" s="197" t="inlineStr">
        <is>
          <t>U$S</t>
        </is>
      </c>
      <c r="L87" s="190" t="n"/>
      <c r="M87" s="190" t="n"/>
      <c r="N87" s="265" t="n"/>
    </row>
    <row r="88">
      <c r="A88" s="186" t="n">
        <v>601</v>
      </c>
      <c r="B88" s="223" t="inlineStr">
        <is>
          <t>Rollo precortado Maxi blanco 30 x 38 x 500 softclean</t>
        </is>
      </c>
      <c r="D88" s="215">
        <f>N88*0.93</f>
        <v/>
      </c>
      <c r="E88" s="223" t="n"/>
      <c r="F88" s="218">
        <f>D88*1.3*1.105</f>
        <v/>
      </c>
      <c r="G88" s="219">
        <f>D88*1.3*1.105/0.9</f>
        <v/>
      </c>
      <c r="H88" s="220">
        <f>G88*1.21</f>
        <v/>
      </c>
      <c r="I88" s="215">
        <f>ROUND(H88/100,0)*100</f>
        <v/>
      </c>
      <c r="K88" s="239" t="n">
        <v>61.86</v>
      </c>
      <c r="L88" s="268" t="n">
        <v>55.67</v>
      </c>
      <c r="M88" s="268" t="n">
        <v>52.58</v>
      </c>
      <c r="N88" s="268" t="n">
        <v>49.49</v>
      </c>
    </row>
    <row r="89">
      <c r="A89" s="242" t="n">
        <v>605</v>
      </c>
      <c r="B89" s="224" t="inlineStr">
        <is>
          <t>Caja x 250 Paños Ultratex de 34cm x 60cm</t>
        </is>
      </c>
      <c r="D89" s="227">
        <f>N89*0.93</f>
        <v/>
      </c>
      <c r="E89" s="224" t="n"/>
      <c r="F89" s="228">
        <f>D89*1.3*1.105</f>
        <v/>
      </c>
      <c r="G89" s="226">
        <f>D89*1.3*1.105/0.9</f>
        <v/>
      </c>
      <c r="H89" s="227">
        <f>G89*1.21</f>
        <v/>
      </c>
      <c r="I89" s="227">
        <f>ROUND(H89/100,0)*100</f>
        <v/>
      </c>
      <c r="J89" s="193" t="n"/>
      <c r="K89" s="266" t="n">
        <v>240.32</v>
      </c>
      <c r="L89" s="267" t="n">
        <v>216.29</v>
      </c>
      <c r="M89" s="267" t="n">
        <v>204.27</v>
      </c>
      <c r="N89" s="267" t="n">
        <v>192.26</v>
      </c>
    </row>
    <row r="90">
      <c r="A90" s="186" t="n">
        <v>606</v>
      </c>
      <c r="B90" s="223" t="inlineStr">
        <is>
          <t>Caja x 300 Paños Ultratex de 45,7cm x 53,3cm</t>
        </is>
      </c>
      <c r="D90" s="215">
        <f>N90*0.93</f>
        <v/>
      </c>
      <c r="E90" s="223" t="n"/>
      <c r="F90" s="218">
        <f>D90*1.3*1.105</f>
        <v/>
      </c>
      <c r="G90" s="219">
        <f>D90*1.3*1.105/0.9</f>
        <v/>
      </c>
      <c r="H90" s="220">
        <f>G90*1.21</f>
        <v/>
      </c>
      <c r="I90" s="215">
        <f>ROUND(H90/100,0)*100</f>
        <v/>
      </c>
      <c r="K90" s="239" t="n">
        <v>340</v>
      </c>
      <c r="L90" s="268" t="n">
        <v>306</v>
      </c>
      <c r="M90" s="268" t="n">
        <v>289</v>
      </c>
      <c r="N90" s="268" t="n">
        <v>272</v>
      </c>
    </row>
    <row r="91">
      <c r="A91" s="186" t="n">
        <v>608</v>
      </c>
      <c r="B91" s="223" t="inlineStr">
        <is>
          <t>Repuesto x 2 rollos Softclean x 350 mts</t>
        </is>
      </c>
      <c r="D91" s="215">
        <f>N91*0.93</f>
        <v/>
      </c>
      <c r="E91" s="223" t="n"/>
      <c r="F91" s="218">
        <f>D91*1.3*1.105</f>
        <v/>
      </c>
      <c r="G91" s="219">
        <f>D91*1.3*1.105/0.9</f>
        <v/>
      </c>
      <c r="H91" s="220">
        <f>G91*1.21</f>
        <v/>
      </c>
      <c r="I91" s="215">
        <f>ROUND(H91/100,0)*100</f>
        <v/>
      </c>
      <c r="K91" s="239" t="n">
        <v>56.18</v>
      </c>
      <c r="L91" s="268" t="n">
        <v>50.56</v>
      </c>
      <c r="M91" s="268" t="n">
        <v>47.75</v>
      </c>
      <c r="N91" s="268" t="n">
        <v>44.94</v>
      </c>
    </row>
    <row r="92">
      <c r="A92" s="186" t="n">
        <v>612</v>
      </c>
      <c r="B92" s="223" t="inlineStr">
        <is>
          <t>Contenedor Mini Softclean x 150 porc. 13 x 26.5cm</t>
        </is>
      </c>
      <c r="D92" s="215">
        <f>N92*0.93</f>
        <v/>
      </c>
      <c r="E92" s="223" t="n"/>
      <c r="F92" s="218">
        <f>D92*1.3*1.105</f>
        <v/>
      </c>
      <c r="G92" s="219">
        <f>D92*1.3*1.105/0.9</f>
        <v/>
      </c>
      <c r="H92" s="220">
        <f>G92*1.21</f>
        <v/>
      </c>
      <c r="I92" s="215">
        <f>ROUND(H92/100,0)*100</f>
        <v/>
      </c>
      <c r="K92" s="239" t="n">
        <v>8.56</v>
      </c>
      <c r="L92" s="268" t="n">
        <v>7.7</v>
      </c>
      <c r="M92" s="268" t="n">
        <v>7.28</v>
      </c>
      <c r="N92" s="268" t="n">
        <v>6.85</v>
      </c>
    </row>
    <row r="93">
      <c r="A93" s="186" t="n">
        <v>614</v>
      </c>
      <c r="B93" s="223" t="inlineStr">
        <is>
          <t>Rollo SoftClean S 70x 875 Porciones de 30x 25</t>
        </is>
      </c>
      <c r="D93" s="215">
        <f>N93*0.93</f>
        <v/>
      </c>
      <c r="E93" s="223" t="n"/>
      <c r="F93" s="218">
        <f>D93*1.3*1.105</f>
        <v/>
      </c>
      <c r="G93" s="219">
        <f>D93*1.3*1.105/0.9</f>
        <v/>
      </c>
      <c r="H93" s="220">
        <f>G93*1.21</f>
        <v/>
      </c>
      <c r="I93" s="215">
        <f>ROUND(H93/100,0)*100</f>
        <v/>
      </c>
      <c r="K93" s="239" t="n">
        <v>67.68000000000001</v>
      </c>
      <c r="L93" s="268" t="n">
        <v>60.91</v>
      </c>
      <c r="M93" s="268" t="n">
        <v>57.53</v>
      </c>
      <c r="N93" s="268" t="n">
        <v>54.14</v>
      </c>
    </row>
    <row r="94">
      <c r="A94" s="186" t="n">
        <v>615</v>
      </c>
      <c r="B94" s="223" t="inlineStr">
        <is>
          <t>Contenedor Center Softclean x 350 22,5 x26,5</t>
        </is>
      </c>
      <c r="D94" s="215">
        <f>N94*0.93</f>
        <v/>
      </c>
      <c r="E94" s="223" t="n"/>
      <c r="F94" s="218">
        <f>D94*1.3*1.105</f>
        <v/>
      </c>
      <c r="G94" s="219">
        <f>D94*1.3*1.105/0.9</f>
        <v/>
      </c>
      <c r="H94" s="220">
        <f>G94*1.21</f>
        <v/>
      </c>
      <c r="I94" s="215">
        <f>ROUND(H94/100,0)*100</f>
        <v/>
      </c>
      <c r="K94" s="239" t="n">
        <v>29.43</v>
      </c>
      <c r="L94" s="268" t="n">
        <v>26.49</v>
      </c>
      <c r="M94" s="268" t="n">
        <v>25.02</v>
      </c>
      <c r="N94" s="268" t="n">
        <v>23.54</v>
      </c>
    </row>
    <row r="95">
      <c r="A95" s="186" t="n">
        <v>616</v>
      </c>
      <c r="B95" s="223" t="inlineStr">
        <is>
          <t>Rollo Mini Sofclean x 190 porciones de 22,5 x 26,5</t>
        </is>
      </c>
      <c r="D95" s="215">
        <f>N95*0.93</f>
        <v/>
      </c>
      <c r="E95" s="223" t="n"/>
      <c r="F95" s="218">
        <f>D95*1.3*1.105</f>
        <v/>
      </c>
      <c r="G95" s="219">
        <f>D95*1.3*1.105/0.9</f>
        <v/>
      </c>
      <c r="H95" s="220">
        <f>G95*1.21</f>
        <v/>
      </c>
      <c r="I95" s="215">
        <f>ROUND(H95/100,0)*100</f>
        <v/>
      </c>
      <c r="K95" s="239" t="n">
        <v>14.71</v>
      </c>
      <c r="L95" s="268" t="n">
        <v>13.24</v>
      </c>
      <c r="M95" s="268" t="n">
        <v>12.5</v>
      </c>
      <c r="N95" s="268" t="n">
        <v>11.77</v>
      </c>
    </row>
    <row r="96">
      <c r="A96" s="242" t="n">
        <v>617</v>
      </c>
      <c r="B96" s="224" t="inlineStr">
        <is>
          <t>Caja 1/4 Folded Softclean 500 30 x 30 cm Celeste</t>
        </is>
      </c>
      <c r="D96" s="227">
        <f>N96*0.93</f>
        <v/>
      </c>
      <c r="E96" s="224" t="n"/>
      <c r="F96" s="228">
        <f>D96*1.3*1.105</f>
        <v/>
      </c>
      <c r="G96" s="226">
        <f>D96*1.3*1.105/0.9</f>
        <v/>
      </c>
      <c r="H96" s="227">
        <f>G96*1.21</f>
        <v/>
      </c>
      <c r="I96" s="227">
        <f>ROUND(H96/100,0)*100</f>
        <v/>
      </c>
      <c r="J96" s="193" t="n"/>
      <c r="K96" s="266" t="n">
        <v>48.82</v>
      </c>
      <c r="L96" s="267" t="n">
        <v>43.94</v>
      </c>
      <c r="M96" s="267" t="n">
        <v>41.5</v>
      </c>
      <c r="N96" s="267" t="n">
        <v>39.06</v>
      </c>
    </row>
    <row r="97">
      <c r="A97" s="186" t="n">
        <v>618</v>
      </c>
      <c r="B97" s="223" t="inlineStr">
        <is>
          <t>Rollo Precortado Softclean 600 porciones de 30x 26,5</t>
        </is>
      </c>
      <c r="D97" s="215">
        <f>N97*0.93</f>
        <v/>
      </c>
      <c r="E97" s="223" t="n"/>
      <c r="F97" s="218">
        <f>D97*1.3*1.105</f>
        <v/>
      </c>
      <c r="G97" s="219">
        <f>D97*1.3*1.105/0.9</f>
        <v/>
      </c>
      <c r="H97" s="220">
        <f>G97*1.21</f>
        <v/>
      </c>
      <c r="I97" s="215">
        <f>ROUND(H97/100,0)*100</f>
        <v/>
      </c>
      <c r="K97" s="239" t="n">
        <v>48.82</v>
      </c>
      <c r="L97" s="268" t="n">
        <v>43.94</v>
      </c>
      <c r="M97" s="268" t="n">
        <v>41.5</v>
      </c>
      <c r="N97" s="268" t="n">
        <v>39.06</v>
      </c>
    </row>
    <row r="98">
      <c r="A98" s="186" t="n"/>
      <c r="B98" s="223" t="n"/>
      <c r="C98" s="223" t="n"/>
      <c r="D98" s="215" t="n"/>
      <c r="E98" s="223" t="n"/>
      <c r="F98" s="222" t="n"/>
      <c r="G98" s="222" t="n"/>
      <c r="H98" s="222" t="n"/>
      <c r="I98" s="223" t="n"/>
      <c r="K98" s="195" t="n"/>
      <c r="L98" s="195" t="n"/>
      <c r="M98" s="195" t="n"/>
      <c r="N98" s="268" t="n"/>
    </row>
    <row r="99">
      <c r="A99" s="168" t="inlineStr">
        <is>
          <t>Linea Sontara</t>
        </is>
      </c>
      <c r="C99" s="158" t="n"/>
      <c r="D99" s="215" t="n"/>
      <c r="E99" s="223" t="n"/>
      <c r="F99" s="222" t="n"/>
      <c r="G99" s="222" t="n"/>
      <c r="H99" s="222" t="n"/>
      <c r="I99" s="223" t="n"/>
      <c r="K99" s="197" t="n"/>
      <c r="L99" s="197" t="n"/>
      <c r="M99" s="197" t="n"/>
      <c r="N99" s="269" t="n"/>
    </row>
    <row r="100">
      <c r="A100" s="186" t="n">
        <v>604</v>
      </c>
      <c r="B100" s="223" t="inlineStr">
        <is>
          <t>Rollo precortado Maxi de 30 x38 blanco</t>
        </is>
      </c>
      <c r="D100" s="215">
        <f>N100*0.93</f>
        <v/>
      </c>
      <c r="E100" s="223" t="n"/>
      <c r="F100" s="218">
        <f>D100*1.3*1.105</f>
        <v/>
      </c>
      <c r="G100" s="219">
        <f>D100*1.3*1.105/0.9</f>
        <v/>
      </c>
      <c r="H100" s="220">
        <f>G100*1.21</f>
        <v/>
      </c>
      <c r="I100" s="215">
        <f>ROUND(H100/100,0)*100</f>
        <v/>
      </c>
      <c r="K100" s="250" t="n">
        <v>119.35</v>
      </c>
      <c r="L100" s="247" t="n">
        <v>107.42</v>
      </c>
      <c r="M100" s="247" t="n">
        <v>101.45</v>
      </c>
      <c r="N100" s="268" t="n">
        <v>95.48</v>
      </c>
    </row>
    <row r="101">
      <c r="A101" s="186" t="n">
        <v>619</v>
      </c>
      <c r="B101" s="223" t="inlineStr">
        <is>
          <t>Centerfeed Sontara Celeste 350 porc22,5 x 26,5</t>
        </is>
      </c>
      <c r="D101" s="215">
        <f>N101*0.93</f>
        <v/>
      </c>
      <c r="E101" s="223" t="n"/>
      <c r="F101" s="218">
        <f>D101*1.3*1.105</f>
        <v/>
      </c>
      <c r="G101" s="219">
        <f>D101*1.3*1.105/0.9</f>
        <v/>
      </c>
      <c r="H101" s="220">
        <f>G101*1.21</f>
        <v/>
      </c>
      <c r="I101" s="215">
        <f>ROUND(H101/100,0)*100</f>
        <v/>
      </c>
      <c r="K101" s="239" t="n">
        <v>60.54</v>
      </c>
      <c r="L101" s="268" t="n">
        <v>54.49</v>
      </c>
      <c r="M101" s="268" t="n">
        <v>51.46</v>
      </c>
      <c r="N101" s="268" t="n">
        <v>48.43</v>
      </c>
    </row>
    <row r="102">
      <c r="A102" s="186" t="n">
        <v>620</v>
      </c>
      <c r="B102" s="223" t="inlineStr">
        <is>
          <t>Rollo prec Sontara por 600 porc 30 x26,5 celeste</t>
        </is>
      </c>
      <c r="D102" s="215">
        <f>N102*0.93</f>
        <v/>
      </c>
      <c r="E102" s="223" t="n"/>
      <c r="F102" s="218">
        <f>D102*1.3*1.105</f>
        <v/>
      </c>
      <c r="G102" s="219">
        <f>D102*1.3*1.105/0.9</f>
        <v/>
      </c>
      <c r="H102" s="220">
        <f>G102*1.21</f>
        <v/>
      </c>
      <c r="I102" s="215">
        <f>ROUND(H102/100,0)*100</f>
        <v/>
      </c>
      <c r="K102" s="239" t="n">
        <v>112.39</v>
      </c>
      <c r="L102" s="268" t="n">
        <v>101.15</v>
      </c>
      <c r="M102" s="268" t="n">
        <v>95.53</v>
      </c>
      <c r="N102" s="268" t="n">
        <v>89.91</v>
      </c>
    </row>
    <row r="103">
      <c r="A103" s="186" t="n">
        <v>621</v>
      </c>
      <c r="B103" s="223" t="inlineStr">
        <is>
          <t>Rollo Sontara Mini x 190 porc 22,5 x26,5 celeste</t>
        </is>
      </c>
      <c r="D103" s="215">
        <f>N103*0.93</f>
        <v/>
      </c>
      <c r="E103" s="223" t="n"/>
      <c r="F103" s="218">
        <f>D103*1.3*1.105</f>
        <v/>
      </c>
      <c r="G103" s="219">
        <f>D103*1.3*1.105/0.9</f>
        <v/>
      </c>
      <c r="H103" s="220">
        <f>G103*1.21</f>
        <v/>
      </c>
      <c r="I103" s="215">
        <f>ROUND(H103/100,0)*100</f>
        <v/>
      </c>
      <c r="K103" s="239" t="n">
        <v>27.51</v>
      </c>
      <c r="L103" s="268" t="n">
        <v>24.76</v>
      </c>
      <c r="M103" s="268" t="n">
        <v>23.38</v>
      </c>
      <c r="N103" s="268" t="n">
        <v>22.01</v>
      </c>
    </row>
    <row r="104">
      <c r="A104" s="186" t="n">
        <v>627</v>
      </c>
      <c r="B104" s="223" t="inlineStr">
        <is>
          <t>SMP 300 Paños de 22,5 cm x 22,5 cm</t>
        </is>
      </c>
      <c r="D104" s="215">
        <f>N104*0.93</f>
        <v/>
      </c>
      <c r="E104" s="223" t="n"/>
      <c r="F104" s="218">
        <f>D104*1.3*1.105</f>
        <v/>
      </c>
      <c r="G104" s="219">
        <f>D104*1.3*1.105/0.9</f>
        <v/>
      </c>
      <c r="H104" s="220">
        <f>G104*1.21</f>
        <v/>
      </c>
      <c r="I104" s="215">
        <f>ROUND(H104/100,0)*100</f>
        <v/>
      </c>
      <c r="K104" s="239" t="n">
        <v>72.64</v>
      </c>
      <c r="L104" s="268" t="n">
        <v>65.38</v>
      </c>
      <c r="M104" s="268" t="n">
        <v>61.74</v>
      </c>
      <c r="N104" s="268" t="n">
        <v>58.11</v>
      </c>
    </row>
    <row r="105">
      <c r="A105" s="171" t="n">
        <v>645</v>
      </c>
      <c r="B105" s="175" t="inlineStr">
        <is>
          <t>Caja por 500Paños Sontara de 30 x 30 cm celeste</t>
        </is>
      </c>
      <c r="D105" s="215">
        <f>N105*0.93</f>
        <v/>
      </c>
      <c r="E105" s="223" t="n"/>
      <c r="F105" s="218">
        <f>D105*1.3*1.105</f>
        <v/>
      </c>
      <c r="G105" s="219">
        <f>D105*1.3*1.105/0.9</f>
        <v/>
      </c>
      <c r="H105" s="220">
        <f>G105*1.21</f>
        <v/>
      </c>
      <c r="I105" s="215">
        <f>ROUND(H105/100,0)*100</f>
        <v/>
      </c>
      <c r="K105" s="239" t="n">
        <v>104.18</v>
      </c>
      <c r="L105" s="268" t="n">
        <v>93.76000000000001</v>
      </c>
      <c r="M105" s="268" t="n">
        <v>88.55</v>
      </c>
      <c r="N105" s="268" t="n">
        <v>83.34</v>
      </c>
    </row>
    <row r="106">
      <c r="A106" s="186" t="n">
        <v>656</v>
      </c>
      <c r="B106" s="175" t="inlineStr">
        <is>
          <t>Caja por 400 Paños Sontara de 30 x 30 cm Blancos</t>
        </is>
      </c>
      <c r="D106" s="215">
        <f>N106*0.93</f>
        <v/>
      </c>
      <c r="E106" s="223" t="n"/>
      <c r="F106" s="218">
        <f>D106*1.3*1.105</f>
        <v/>
      </c>
      <c r="G106" s="219">
        <f>D106*1.3*1.105/0.9</f>
        <v/>
      </c>
      <c r="H106" s="220">
        <f>G106*1.21</f>
        <v/>
      </c>
      <c r="I106" s="215">
        <f>ROUND(H106/100,0)*100</f>
        <v/>
      </c>
      <c r="K106" s="239" t="n">
        <v>77.33</v>
      </c>
      <c r="L106" s="268" t="n">
        <v>69.59999999999999</v>
      </c>
      <c r="M106" s="268" t="n">
        <v>65.73</v>
      </c>
      <c r="N106" s="268" t="n">
        <v>61.86</v>
      </c>
    </row>
    <row r="107">
      <c r="A107" s="223" t="n"/>
      <c r="B107" s="175" t="n"/>
      <c r="C107" s="175" t="n"/>
      <c r="D107" s="215" t="n"/>
      <c r="E107" s="223" t="n"/>
      <c r="F107" s="223" t="n"/>
      <c r="G107" s="223" t="n"/>
      <c r="H107" s="223" t="n"/>
      <c r="I107" s="223" t="n"/>
      <c r="K107" s="223" t="n"/>
      <c r="L107" s="223" t="n"/>
      <c r="M107" s="223" t="n"/>
      <c r="N107" s="223" t="n"/>
    </row>
    <row r="108">
      <c r="A108" s="223" t="n"/>
      <c r="B108" s="175" t="n"/>
      <c r="C108" s="223" t="n"/>
      <c r="D108" s="215" t="n"/>
      <c r="E108" s="223" t="n"/>
      <c r="F108" s="223" t="n"/>
      <c r="G108" s="223" t="n"/>
      <c r="H108" s="223" t="n"/>
      <c r="I108" s="223" t="n"/>
      <c r="K108" s="223" t="n"/>
      <c r="L108" s="223" t="n"/>
      <c r="M108" s="223" t="n"/>
      <c r="N108" s="223" t="n"/>
    </row>
    <row r="109">
      <c r="A109" s="223" t="n"/>
      <c r="B109" s="175" t="n"/>
      <c r="C109" s="223" t="n"/>
      <c r="D109" s="215" t="n"/>
      <c r="E109" s="223" t="n"/>
      <c r="F109" s="223" t="n"/>
      <c r="G109" s="223" t="n"/>
      <c r="H109" s="223" t="n"/>
      <c r="I109" s="223" t="n"/>
      <c r="K109" s="223" t="n"/>
      <c r="L109" s="223" t="n"/>
      <c r="M109" s="223" t="n"/>
      <c r="N109" s="223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E110" s="223" t="n"/>
      <c r="F110" s="223" t="n"/>
      <c r="G110" s="223" t="n"/>
      <c r="H110" s="223" t="n"/>
      <c r="I110" s="223" t="n"/>
      <c r="K110" s="223" t="n"/>
      <c r="L110" s="223" t="n"/>
      <c r="M110" s="223" t="n"/>
      <c r="N110" s="223" t="n"/>
    </row>
  </sheetData>
  <mergeCells count="65">
    <mergeCell ref="B91:C91"/>
    <mergeCell ref="B97:C97"/>
    <mergeCell ref="B47:C47"/>
    <mergeCell ref="B16:C16"/>
    <mergeCell ref="B54:C54"/>
    <mergeCell ref="B100:C100"/>
    <mergeCell ref="B7:C7"/>
    <mergeCell ref="B25:C25"/>
    <mergeCell ref="B90:C90"/>
    <mergeCell ref="B81:C81"/>
    <mergeCell ref="A45:B45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B52:C52"/>
    <mergeCell ref="B21:C21"/>
    <mergeCell ref="B48:C48"/>
    <mergeCell ref="B70:C70"/>
    <mergeCell ref="A99:B99"/>
    <mergeCell ref="B42:C42"/>
    <mergeCell ref="B101:C101"/>
    <mergeCell ref="B14:C14"/>
    <mergeCell ref="B60:C60"/>
    <mergeCell ref="B17:C17"/>
    <mergeCell ref="B88:C88"/>
    <mergeCell ref="B82:C82"/>
    <mergeCell ref="B53:C53"/>
    <mergeCell ref="B73:C73"/>
    <mergeCell ref="B69:C69"/>
    <mergeCell ref="B38:C38"/>
    <mergeCell ref="B29:C29"/>
    <mergeCell ref="A77:B77"/>
    <mergeCell ref="B103:C103"/>
    <mergeCell ref="B34:C34"/>
    <mergeCell ref="B37:C37"/>
    <mergeCell ref="B41:C41"/>
    <mergeCell ref="B28:C28"/>
    <mergeCell ref="A23:B23"/>
    <mergeCell ref="B40:C40"/>
    <mergeCell ref="B49:C49"/>
    <mergeCell ref="B92:C92"/>
    <mergeCell ref="B6:C6"/>
    <mergeCell ref="B68:C68"/>
    <mergeCell ref="B15:C15"/>
    <mergeCell ref="B33:C33"/>
    <mergeCell ref="B104:C104"/>
    <mergeCell ref="B80:C80"/>
    <mergeCell ref="B95:C95"/>
    <mergeCell ref="B20:C20"/>
    <mergeCell ref="B51:C51"/>
    <mergeCell ref="B89:C89"/>
    <mergeCell ref="B36:C36"/>
    <mergeCell ref="B94:C94"/>
    <mergeCell ref="B50:C50"/>
    <mergeCell ref="B26:C26"/>
    <mergeCell ref="B79:C79"/>
    <mergeCell ref="B35:C35"/>
    <mergeCell ref="B106:C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2026-02-03T19:15:41Z</dcterms:created>
  <dcterms:modified xmlns:dcterms="http://purl.org/dc/terms/" xmlns:xsi="http://www.w3.org/2001/XMLSchema-instance" xsi:type="dcterms:W3CDTF">2026-02-03T19:28:44Z</dcterms:modified>
</cp:coreProperties>
</file>